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ark-my.sharepoint.com/personal/rossetti_uark_edu/Documents/MyDocuments/Teaching/Book/Third Edition/RossettiSimulationModelingArena3rdEditionBookSupportFiles/ChapterFiles/Chapter7/"/>
    </mc:Choice>
  </mc:AlternateContent>
  <xr:revisionPtr revIDLastSave="1" documentId="8_{F5015F95-E683-44CB-BA7D-FBDD96D7EADB}" xr6:coauthVersionLast="47" xr6:coauthVersionMax="47" xr10:uidLastSave="{F5394332-0079-4F85-B4EE-71112DB7EFE5}"/>
  <bookViews>
    <workbookView xWindow="3510" yWindow="3510" windowWidth="21600" windowHeight="1129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FrequencyStatsByRep!$A$1:$J$2</definedName>
    <definedName name="ExternalData_1" localSheetId="5" hidden="1">OutputStatsByRep!$A$1:$H$4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P4" i="20" s="1" a="1"/>
  <c r="P4" i="20" s="1"/>
  <c r="J2" i="20" a="1"/>
  <c r="J2" i="20" s="1"/>
  <c r="J3" i="20" a="1"/>
  <c r="J3" i="20" s="1"/>
  <c r="J4" i="20" a="1"/>
  <c r="J4" i="20" s="1"/>
  <c r="M2" i="20" a="1"/>
  <c r="M2" i="20"/>
  <c r="M3" i="20" a="1"/>
  <c r="M3" i="20"/>
  <c r="M4" i="20" a="1"/>
  <c r="M4" i="20"/>
  <c r="M2" i="18"/>
  <c r="M3" i="18"/>
  <c r="O2" i="18" s="1" a="1"/>
  <c r="O2" i="18" s="1"/>
  <c r="N2" i="18" a="1"/>
  <c r="N2" i="18" s="1"/>
  <c r="N3" i="18" a="1"/>
  <c r="N3" i="18" s="1"/>
  <c r="U3" i="18" s="1"/>
  <c r="Q2" i="18" a="1"/>
  <c r="Q2" i="18" s="1"/>
  <c r="Q3" i="18" a="1"/>
  <c r="Q3" i="18"/>
  <c r="L2" i="17"/>
  <c r="L3" i="17"/>
  <c r="L4" i="17"/>
  <c r="O7" i="17" s="1" a="1"/>
  <c r="O7" i="17" s="1"/>
  <c r="L5" i="17"/>
  <c r="O3" i="17" s="1" a="1"/>
  <c r="O3" i="17" s="1"/>
  <c r="L6" i="17"/>
  <c r="U5" i="17" s="1" a="1"/>
  <c r="U5" i="17" s="1"/>
  <c r="L7" i="17"/>
  <c r="L8" i="17"/>
  <c r="M2" i="17" a="1"/>
  <c r="M2" i="17" s="1"/>
  <c r="M3" i="17" a="1"/>
  <c r="M3" i="17" s="1"/>
  <c r="W3" i="17" s="1"/>
  <c r="M4" i="17" a="1"/>
  <c r="M4" i="17" s="1"/>
  <c r="W4" i="17" s="1"/>
  <c r="M5" i="17" a="1"/>
  <c r="M5" i="17" s="1"/>
  <c r="M6" i="17" a="1"/>
  <c r="M6" i="17" s="1"/>
  <c r="M7" i="17" a="1"/>
  <c r="M7" i="17" s="1"/>
  <c r="W7" i="17" s="1"/>
  <c r="M8" i="17" a="1"/>
  <c r="M8" i="17"/>
  <c r="W8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V4" i="17" a="1"/>
  <c r="V4" i="17" s="1"/>
  <c r="G2" i="16"/>
  <c r="L3" i="20" l="1" a="1"/>
  <c r="L3" i="20" s="1"/>
  <c r="N3" i="20" s="1"/>
  <c r="O2" i="20" a="1"/>
  <c r="O2" i="20" s="1"/>
  <c r="K3" i="20" a="1"/>
  <c r="K3" i="20" s="1"/>
  <c r="L4" i="20" a="1"/>
  <c r="L4" i="20" s="1"/>
  <c r="N4" i="20" s="1"/>
  <c r="K2" i="20" a="1"/>
  <c r="K2" i="20" s="1"/>
  <c r="K4" i="20" a="1"/>
  <c r="K4" i="20" s="1"/>
  <c r="O3" i="20" a="1"/>
  <c r="O3" i="20" s="1"/>
  <c r="L2" i="20" a="1"/>
  <c r="L2" i="20" s="1"/>
  <c r="N2" i="20" s="1"/>
  <c r="P3" i="20" a="1"/>
  <c r="P3" i="20" s="1"/>
  <c r="P2" i="20" a="1"/>
  <c r="P2" i="20" s="1"/>
  <c r="O4" i="20" a="1"/>
  <c r="O4" i="20" s="1"/>
  <c r="O3" i="18" a="1"/>
  <c r="O3" i="18" s="1"/>
  <c r="S3" i="18" a="1"/>
  <c r="S3" i="18" s="1"/>
  <c r="S2" i="18" a="1"/>
  <c r="S2" i="18" s="1"/>
  <c r="U2" i="18"/>
  <c r="P3" i="18" a="1"/>
  <c r="P3" i="18" s="1"/>
  <c r="R3" i="18" s="1"/>
  <c r="T3" i="18" a="1"/>
  <c r="T3" i="18" s="1"/>
  <c r="P2" i="18" a="1"/>
  <c r="P2" i="18" s="1"/>
  <c r="R2" i="18" s="1"/>
  <c r="T2" i="18" a="1"/>
  <c r="T2" i="18" s="1"/>
  <c r="N5" i="17" a="1"/>
  <c r="N5" i="17" s="1"/>
  <c r="U8" i="17" a="1"/>
  <c r="U8" i="17" s="1"/>
  <c r="X6" i="17" a="1"/>
  <c r="X6" i="17" s="1"/>
  <c r="T3" i="17" a="1"/>
  <c r="T3" i="17" s="1"/>
  <c r="S2" i="17" a="1"/>
  <c r="S2" i="17" s="1"/>
  <c r="O6" i="17" a="1"/>
  <c r="O6" i="17" s="1"/>
  <c r="U7" i="17" a="1"/>
  <c r="U7" i="17" s="1"/>
  <c r="R4" i="17" a="1"/>
  <c r="R4" i="17" s="1"/>
  <c r="U6" i="17" a="1"/>
  <c r="U6" i="17" s="1"/>
  <c r="X7" i="17" a="1"/>
  <c r="X7" i="17" s="1"/>
  <c r="T5" i="17" a="1"/>
  <c r="T5" i="17" s="1"/>
  <c r="T4" i="17" a="1"/>
  <c r="T4" i="17" s="1"/>
  <c r="X5" i="17" a="1"/>
  <c r="X5" i="17" s="1"/>
  <c r="Y5" i="17" s="1"/>
  <c r="X4" i="17" a="1"/>
  <c r="X4" i="17" s="1"/>
  <c r="Y4" i="17" s="1"/>
  <c r="Q4" i="17" s="1"/>
  <c r="X3" i="17" a="1"/>
  <c r="X3" i="17" s="1"/>
  <c r="Y3" i="17" s="1"/>
  <c r="Q3" i="17" s="1"/>
  <c r="S7" i="17" a="1"/>
  <c r="S7" i="17" s="1"/>
  <c r="X2" i="17" a="1"/>
  <c r="X2" i="17" s="1"/>
  <c r="V8" i="17" a="1"/>
  <c r="V8" i="17" s="1"/>
  <c r="S6" i="17" a="1"/>
  <c r="S6" i="17" s="1"/>
  <c r="R7" i="17" a="1"/>
  <c r="R7" i="17" s="1"/>
  <c r="V3" i="17" a="1"/>
  <c r="V3" i="17" s="1"/>
  <c r="S4" i="17" a="1"/>
  <c r="S4" i="17" s="1"/>
  <c r="O4" i="17" a="1"/>
  <c r="O4" i="17" s="1"/>
  <c r="N7" i="17" a="1"/>
  <c r="N7" i="17" s="1"/>
  <c r="U4" i="17" a="1"/>
  <c r="U4" i="17" s="1"/>
  <c r="R6" i="17" a="1"/>
  <c r="R6" i="17" s="1"/>
  <c r="V2" i="17" a="1"/>
  <c r="V2" i="17" s="1"/>
  <c r="R5" i="17" a="1"/>
  <c r="R5" i="17" s="1"/>
  <c r="N6" i="17" a="1"/>
  <c r="N6" i="17" s="1"/>
  <c r="O8" i="17" a="1"/>
  <c r="O8" i="17" s="1"/>
  <c r="Y7" i="17"/>
  <c r="Q7" i="17" s="1"/>
  <c r="N4" i="17" a="1"/>
  <c r="N4" i="17" s="1"/>
  <c r="T8" i="17" a="1"/>
  <c r="T8" i="17" s="1"/>
  <c r="V6" i="17" a="1"/>
  <c r="V6" i="17" s="1"/>
  <c r="T7" i="17" a="1"/>
  <c r="T7" i="17" s="1"/>
  <c r="S3" i="17" a="1"/>
  <c r="S3" i="17" s="1"/>
  <c r="U2" i="17" a="1"/>
  <c r="U2" i="17" s="1"/>
  <c r="S5" i="17" a="1"/>
  <c r="S5" i="17" s="1"/>
  <c r="N3" i="17" a="1"/>
  <c r="N3" i="17" s="1"/>
  <c r="V7" i="17" a="1"/>
  <c r="V7" i="17" s="1"/>
  <c r="X8" i="17" a="1"/>
  <c r="X8" i="17" s="1"/>
  <c r="Y8" i="17" s="1"/>
  <c r="V5" i="17" a="1"/>
  <c r="V5" i="17" s="1"/>
  <c r="T6" i="17" a="1"/>
  <c r="T6" i="17" s="1"/>
  <c r="O5" i="17" a="1"/>
  <c r="O5" i="17" s="1"/>
  <c r="S8" i="17" a="1"/>
  <c r="S8" i="17" s="1"/>
  <c r="Y6" i="17"/>
  <c r="Q6" i="17" s="1"/>
  <c r="W6" i="17"/>
  <c r="Y2" i="17"/>
  <c r="W2" i="17"/>
  <c r="W5" i="17"/>
  <c r="R3" i="17" a="1"/>
  <c r="R3" i="17" s="1"/>
  <c r="R2" i="17" a="1"/>
  <c r="R2" i="17" s="1"/>
  <c r="N2" i="17" a="1"/>
  <c r="N2" i="17" s="1"/>
  <c r="O2" i="17" a="1"/>
  <c r="O2" i="17" s="1"/>
  <c r="U3" i="17" a="1"/>
  <c r="U3" i="17" s="1"/>
  <c r="R8" i="17" a="1"/>
  <c r="R8" i="17" s="1"/>
  <c r="T2" i="17" a="1"/>
  <c r="T2" i="17" s="1"/>
  <c r="N8" i="17" a="1"/>
  <c r="N8" i="17" s="1"/>
  <c r="Q8" i="17" l="1"/>
  <c r="Q5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rossetti\OneDrive - University of Arkansas\mydocuments\teaching\book\third edition\rossettisimulationmodelingarena3rdeditionbooksupportfiles\chapterfiles\chapter7\simpleagvexamplenew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<sst xmlns="http://schemas.openxmlformats.org/spreadsheetml/2006/main" count="258" uniqueCount="89">
  <si>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</si>
  <si>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</si>
  <si>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</si>
  <si>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</si>
  <si>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</si>
  <si>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</si>
  <si>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</si>
  <si>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</si>
  <si>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</si>
  <si>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</si>
  <si>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</si>
  <si>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</si>
  <si>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</si>
  <si>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</si>
  <si>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</si>
  <si>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</si>
  <si>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</si>
  <si>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</si>
  <si>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</si>
  <si>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</si>
  <si>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</si>
  <si>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</si>
  <si>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</si>
  <si>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</si>
  <si>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</si>
  <si>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</si>
  <si>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</si>
  <si>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</si>
  <si>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</si>
  <si>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</si>
  <si>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</si>
  <si>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</si>
  <si>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</si>
  <si>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</si>
  <si>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</si>
  <si>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</si>
  <si>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</si>
  <si>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</si>
  <si>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</si>
  <si>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</si>
  <si>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</si>
  <si>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</si>
  <si>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</si>
  <si>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</si>
  <si>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</si>
  <si>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</si>
  <si>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</si>
  <si>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</si>
  <si>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</si>
  <si>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</si>
  <si>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</si>
  <si>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</si>
  <si>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</si>
  <si>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</si>
  <si>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</si>
  <si>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</si>
  <si>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</si>
  <si>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</si>
  <si>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</si>
  <si>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</si>
  <si>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</si>
  <si>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</si>
  <si>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</si>
  <si>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</si>
  <si>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</si>
  <si>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</si>
  <si>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</si>
  <si>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</si>
  <si>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C:\Users\rossetti\OneDrive - University of Arkansas\MyDocuments\Teaching\Book\Third Edition\RossettiSimulationModelingArena3rdEditionBookSupportFiles\ChapterFiles\Chapter7\SimpleAGVExampleNew.p</t>
  </si>
  <si>
    <t>2026-08-31 09:58:44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</si>
  <si>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</si>
  <si>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</si>
  <si>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</si>
  <si>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</si>
  <si>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</si>
  <si>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</si>
  <si>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</si>
  <si>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</si>
  <si>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Request Transporter.Queue</t>
  </si>
  <si>
    <t>Waiting Time</t>
  </si>
  <si>
    <t>Queue</t>
  </si>
  <si>
    <t>WIP</t>
  </si>
  <si>
    <t>Number Waiting</t>
  </si>
  <si>
    <t>Entity 1.NumberIn</t>
  </si>
  <si>
    <t>Number In</t>
  </si>
  <si>
    <t>Entity 1.NumberOut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</si>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</sst>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1594988425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15950000002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0">
        <s v="Entity 1"/>
        <s v="Request Transporter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31.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79.599999999999994"/>
    </cacheField>
    <cacheField name="Maximum" numFmtId="0">
      <sharedItems containsSemiMixedTypes="0" containsString="0" containsNumber="1" minValue="0" maxValue="184.19999999999899"/>
    </cacheField>
    <cacheField name="NumberObservations" numFmtId="0">
      <sharedItems containsSemiMixedTypes="0" containsString="0" containsNumber="1" containsInteger="1" minValue="12" maxValue="14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31.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31.9"/>
    </cacheField>
    <cacheField name="MaximumAverage" numFmtId="0">
      <sharedItems containsSemiMixedTypes="0" containsString="0" containsNumber="1" minValue="0" maxValue="131.9"/>
    </cacheField>
    <cacheField name="OverallMinimum" numFmtId="0">
      <sharedItems containsSemiMixedTypes="0" containsString="0" containsNumber="1" minValue="0" maxValue="79.599999999999994"/>
    </cacheField>
    <cacheField name="OverallMaximum" numFmtId="0">
      <sharedItems containsSemiMixedTypes="0" containsString="0" containsNumber="1" minValue="0" maxValue="184.19999999999899"/>
    </cacheField>
    <cacheField name="AverageNumberObservations" numFmtId="0">
      <sharedItems containsSemiMixedTypes="0" containsString="0" containsNumber="1" containsInteger="1" minValue="12" maxValue="14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15950000002" createdVersion="7" refreshedVersion="8" minRefreshableVersion="3" recordCount="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79">
        <s v="Entity 1.NumberIn"/>
        <s v="Entity 1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12" maxValue="2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12" maxValue="2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12" maxValue="20"/>
    </cacheField>
    <cacheField name="Maximum" numFmtId="0">
      <sharedItems containsSemiMixedTypes="0" containsString="0" containsNumber="1" containsInteger="1" minValue="12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15950115741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15950115741" createdVersion="7" refreshedVersion="8" minRefreshableVersion="3" recordCount="2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5">
        <s v="Entity 1"/>
        <s v="Request Transporter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Number Waiting"/>
        <m u="1"/>
        <s v="Number Scheduled" u="1"/>
        <s v="Number Busy" u="1"/>
        <s v="Levels" u="1"/>
        <s v="Instantaneous Utilization" u="1"/>
      </sharedItems>
    </cacheField>
    <cacheField name="Source" numFmtId="0">
      <sharedItems containsBlank="1" count="5">
        <s v="Entity"/>
        <s v="Queue"/>
        <m u="1"/>
        <s v="Resource" u="1"/>
        <s v="User Specified" u="1"/>
      </sharedItems>
    </cacheField>
    <cacheField name="Average" numFmtId="0">
      <sharedItems containsSemiMixedTypes="0" containsString="0" containsNumber="1" minValue="2.8912499999999901" maxValue="4.83916666666666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6" maxValue="8"/>
    </cacheField>
    <cacheField name="LastRecordedValue" numFmtId="0">
      <sharedItems containsSemiMixedTypes="0" containsString="0" containsNumber="1" containsInteger="1" minValue="6" maxValue="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2.8912499999999901" maxValue="4.83916666666666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2.8912499999999901" maxValue="4.8391666666666602"/>
    </cacheField>
    <cacheField name="MaximumAverage" numFmtId="0">
      <sharedItems containsSemiMixedTypes="0" containsString="0" containsNumber="1" minValue="2.8912499999999901" maxValue="4.8391666666666602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6-08-31 09:58:44"/>
    <n v="1"/>
    <x v="0"/>
    <x v="0"/>
    <x v="0"/>
    <n v="0"/>
    <n v="2E+20"/>
    <n v="0"/>
    <n v="0"/>
    <n v="12"/>
    <s v="Unnamed ProjectEntity 1NVA TimeEntity"/>
    <n v="1"/>
    <n v="0"/>
    <n v="0"/>
    <n v="0.95"/>
    <n v="4E+20"/>
    <n v="0"/>
    <n v="0"/>
    <n v="0"/>
    <n v="0"/>
    <n v="12"/>
    <n v="2E+20"/>
    <n v="1"/>
    <n v="1"/>
  </r>
  <r>
    <x v="0"/>
    <s v="2026-08-31 09:58:44"/>
    <n v="1"/>
    <x v="0"/>
    <x v="1"/>
    <x v="0"/>
    <n v="40"/>
    <n v="2E+20"/>
    <n v="40"/>
    <n v="40"/>
    <n v="12"/>
    <s v="Unnamed ProjectEntity 1Other TimeEntity"/>
    <n v="1"/>
    <n v="40"/>
    <n v="0"/>
    <n v="0.95"/>
    <n v="4E+20"/>
    <n v="40"/>
    <n v="40"/>
    <n v="40"/>
    <n v="40"/>
    <n v="12"/>
    <n v="2E+20"/>
    <n v="1"/>
    <n v="1"/>
  </r>
  <r>
    <x v="0"/>
    <s v="2026-08-31 09:58:44"/>
    <n v="1"/>
    <x v="0"/>
    <x v="2"/>
    <x v="0"/>
    <n v="131.9"/>
    <n v="2E+20"/>
    <n v="79.599999999999994"/>
    <n v="184.19999999999899"/>
    <n v="12"/>
    <s v="Unnamed ProjectEntity 1Total TimeEntity"/>
    <n v="1"/>
    <n v="131.9"/>
    <n v="0"/>
    <n v="0.95"/>
    <n v="4E+20"/>
    <n v="131.9"/>
    <n v="131.9"/>
    <n v="79.599999999999994"/>
    <n v="184.19999999999899"/>
    <n v="12"/>
    <n v="2E+20"/>
    <n v="1"/>
    <n v="1"/>
  </r>
  <r>
    <x v="0"/>
    <s v="2026-08-31 09:58:44"/>
    <n v="1"/>
    <x v="0"/>
    <x v="3"/>
    <x v="0"/>
    <n v="32.233333333333199"/>
    <n v="2E+20"/>
    <n v="30.599999999999799"/>
    <n v="41.2"/>
    <n v="12"/>
    <s v="Unnamed ProjectEntity 1Transfer TimeEntity"/>
    <n v="1"/>
    <n v="32.233333333333199"/>
    <n v="0"/>
    <n v="0.95"/>
    <n v="4E+20"/>
    <n v="32.233333333333199"/>
    <n v="32.233333333333199"/>
    <n v="30.599999999999799"/>
    <n v="41.2"/>
    <n v="12"/>
    <n v="2E+20"/>
    <n v="1"/>
    <n v="1"/>
  </r>
  <r>
    <x v="0"/>
    <s v="2026-08-31 09:58:44"/>
    <n v="1"/>
    <x v="0"/>
    <x v="4"/>
    <x v="0"/>
    <n v="0"/>
    <n v="2E+20"/>
    <n v="0"/>
    <n v="0"/>
    <n v="12"/>
    <s v="Unnamed ProjectEntity 1VA TimeEntity"/>
    <n v="1"/>
    <n v="0"/>
    <n v="0"/>
    <n v="0.95"/>
    <n v="4E+20"/>
    <n v="0"/>
    <n v="0"/>
    <n v="0"/>
    <n v="0"/>
    <n v="12"/>
    <n v="2E+20"/>
    <n v="1"/>
    <n v="1"/>
  </r>
  <r>
    <x v="0"/>
    <s v="2026-08-31 09:58:44"/>
    <n v="1"/>
    <x v="0"/>
    <x v="5"/>
    <x v="0"/>
    <n v="59.666666666666501"/>
    <n v="2E+20"/>
    <n v="0"/>
    <n v="113.6"/>
    <n v="12"/>
    <s v="Unnamed ProjectEntity 1Wait TimeEntity"/>
    <n v="1"/>
    <n v="59.666666666666501"/>
    <n v="0"/>
    <n v="0.95"/>
    <n v="4E+20"/>
    <n v="59.666666666666501"/>
    <n v="59.666666666666501"/>
    <n v="0"/>
    <n v="113.6"/>
    <n v="12"/>
    <n v="2E+20"/>
    <n v="1"/>
    <n v="1"/>
  </r>
  <r>
    <x v="0"/>
    <s v="2026-08-31 09:58:44"/>
    <n v="1"/>
    <x v="1"/>
    <x v="6"/>
    <x v="1"/>
    <n v="70.199999999999804"/>
    <n v="2E+20"/>
    <n v="0"/>
    <n v="134.19999999999899"/>
    <n v="14"/>
    <s v="Unnamed ProjectRequest Transporter.QueueWaiting TimeQueue"/>
    <n v="1"/>
    <n v="70.199999999999804"/>
    <n v="0"/>
    <n v="0.95"/>
    <n v="4E+20"/>
    <n v="70.199999999999804"/>
    <n v="70.199999999999804"/>
    <n v="0"/>
    <n v="134.19999999999899"/>
    <n v="14"/>
    <n v="2E+20"/>
    <n v="1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s v="2026-08-31 09:58:44"/>
    <n v="1"/>
    <x v="0"/>
    <x v="0"/>
    <x v="0"/>
    <n v="20"/>
    <n v="0"/>
    <s v="Unnamed ProjectEntity 1.NumberInNumber InEntity"/>
    <n v="1"/>
    <n v="20"/>
    <n v="0"/>
    <n v="0.95"/>
    <n v="4E+20"/>
    <n v="20"/>
    <n v="20"/>
  </r>
  <r>
    <x v="0"/>
    <s v="2026-08-31 09:58:44"/>
    <n v="1"/>
    <x v="1"/>
    <x v="1"/>
    <x v="0"/>
    <n v="12"/>
    <n v="0"/>
    <s v="Unnamed ProjectEntity 1.NumberOutNumber OutEntity"/>
    <n v="1"/>
    <n v="12"/>
    <n v="0"/>
    <n v="0.95"/>
    <n v="4E+20"/>
    <n v="12"/>
    <n v="12"/>
  </r>
  <r>
    <x v="0"/>
    <s v="2026-08-31 09:58:44"/>
    <n v="1"/>
    <x v="2"/>
    <x v="1"/>
    <x v="1"/>
    <n v="12"/>
    <n v="0"/>
    <s v="Unnamed ProjectSystem.NumberOutNumber OutSystem"/>
    <n v="1"/>
    <n v="12"/>
    <n v="0"/>
    <n v="0.95"/>
    <n v="4E+20"/>
    <n v="12"/>
    <n v="1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2026-08-31 09:58:44"/>
    <n v="1"/>
    <x v="0"/>
    <x v="0"/>
    <x v="0"/>
    <n v="4.8391666666666602"/>
    <n v="2E+20"/>
    <n v="0"/>
    <n v="8"/>
    <n v="8"/>
    <n v="0"/>
    <s v="Unnamed ProjectEntity 1WIPEntity"/>
    <n v="1"/>
    <n v="4.8391666666666602"/>
    <n v="0"/>
    <n v="0.95"/>
    <n v="4E+20"/>
    <n v="4.8391666666666602"/>
    <n v="4.8391666666666602"/>
    <n v="2E+20"/>
  </r>
  <r>
    <x v="0"/>
    <s v="2026-08-31 09:58:44"/>
    <n v="1"/>
    <x v="1"/>
    <x v="1"/>
    <x v="1"/>
    <n v="2.8912499999999901"/>
    <n v="2E+20"/>
    <n v="0"/>
    <n v="6"/>
    <n v="6"/>
    <n v="0"/>
    <s v="Unnamed ProjectRequest Transporter.QueueNumber WaitingQueue"/>
    <n v="1"/>
    <n v="2.8912499999999901"/>
    <n v="0"/>
    <n v="0.95"/>
    <n v="4E+20"/>
    <n v="2.8912499999999901"/>
    <n v="2.8912499999999901"/>
    <n v="2E+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2"/>
        <item m="1" x="35"/>
        <item m="1" x="7"/>
        <item m="1" x="87"/>
        <item m="1" x="70"/>
        <item m="1" x="40"/>
        <item m="1" x="96"/>
        <item m="1" x="28"/>
        <item m="1" x="32"/>
        <item x="0"/>
        <item m="1" x="65"/>
        <item m="1" x="77"/>
        <item m="1" x="82"/>
        <item m="1" x="6"/>
        <item m="1" x="34"/>
        <item m="1" x="24"/>
        <item m="1" x="99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2"/>
        <item m="1" x="62"/>
        <item m="1" x="49"/>
        <item m="1" x="66"/>
        <item m="1" x="51"/>
        <item x="0"/>
        <item x="1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5"/>
        <item m="1" x="17"/>
        <item m="1" x="78"/>
        <item m="1" x="45"/>
        <item m="1" x="12"/>
        <item m="1" x="73"/>
        <item m="1" x="69"/>
        <item m="1" x="46"/>
        <item m="1" x="13"/>
        <item m="1" x="74"/>
        <item m="1" x="70"/>
        <item m="1" x="8"/>
        <item m="1" x="42"/>
        <item m="1" x="26"/>
        <item m="1" x="16"/>
        <item m="1" x="67"/>
        <item m="1" x="38"/>
        <item m="1" x="68"/>
        <item m="1" x="39"/>
        <item m="1" x="25"/>
        <item m="1" x="20"/>
        <item m="1" x="47"/>
        <item m="1" x="22"/>
        <item m="1" x="77"/>
        <item m="1" x="71"/>
        <item m="1" x="21"/>
        <item m="1" x="19"/>
        <item m="1" x="64"/>
        <item m="1" x="72"/>
        <item m="1" x="9"/>
        <item m="1" x="27"/>
        <item m="1" x="40"/>
        <item m="1" x="61"/>
        <item m="1" x="76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15"/>
      <x/>
      <x/>
    </i>
    <i r="1">
      <x v="16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4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5">
        <item m="1" x="17"/>
        <item m="1" x="8"/>
        <item m="1" x="24"/>
        <item m="1" x="33"/>
        <item m="1" x="46"/>
        <item m="1" x="45"/>
        <item m="1" x="9"/>
        <item m="1" x="110"/>
        <item m="1" x="88"/>
        <item m="1" x="51"/>
        <item m="1" x="38"/>
        <item m="1" x="42"/>
        <item x="0"/>
        <item m="1" x="27"/>
        <item m="1" x="109"/>
        <item m="1" x="31"/>
        <item m="1" x="82"/>
        <item m="1" x="96"/>
        <item m="1" x="6"/>
        <item m="1" x="32"/>
        <item m="1" x="119"/>
        <item m="1" x="21"/>
        <item m="1" x="111"/>
        <item m="1" x="10"/>
        <item m="1" x="37"/>
        <item m="1" x="63"/>
        <item m="1" x="7"/>
        <item m="1" x="13"/>
        <item m="1" x="83"/>
        <item m="1" x="64"/>
        <item m="1" x="98"/>
        <item m="1" x="54"/>
        <item m="1" x="18"/>
        <item m="1" x="48"/>
        <item m="1" x="84"/>
        <item m="1" x="69"/>
        <item m="1" x="19"/>
        <item m="1" x="29"/>
        <item m="1" x="91"/>
        <item m="1" x="5"/>
        <item m="1" x="118"/>
        <item m="1" x="76"/>
        <item m="1" x="16"/>
        <item m="1" x="101"/>
        <item m="1" x="47"/>
        <item m="1" x="120"/>
        <item m="1" x="81"/>
        <item m="1" x="23"/>
        <item m="1" x="68"/>
        <item m="1" x="87"/>
        <item m="1" x="100"/>
        <item m="1" x="108"/>
        <item m="1" x="117"/>
        <item m="1" x="4"/>
        <item m="1" x="22"/>
        <item m="1" x="36"/>
        <item m="1" x="25"/>
        <item m="1" x="3"/>
        <item m="1" x="97"/>
        <item m="1" x="114"/>
        <item m="1" x="40"/>
        <item m="1" x="75"/>
        <item m="1" x="28"/>
        <item m="1" x="49"/>
        <item m="1" x="34"/>
        <item m="1" x="58"/>
        <item m="1" x="43"/>
        <item m="1" x="65"/>
        <item m="1" x="50"/>
        <item m="1" x="77"/>
        <item m="1" x="59"/>
        <item m="1" x="85"/>
        <item m="1" x="66"/>
        <item m="1" x="94"/>
        <item m="1" x="78"/>
        <item m="1" x="99"/>
        <item m="1" x="86"/>
        <item m="1" x="103"/>
        <item m="1" x="115"/>
        <item m="1" x="105"/>
        <item m="1" x="89"/>
        <item m="1" x="62"/>
        <item m="1" x="41"/>
        <item m="1" x="56"/>
        <item m="1" x="20"/>
        <item m="1" x="26"/>
        <item m="1" x="35"/>
        <item m="1" x="39"/>
        <item m="1" x="71"/>
        <item m="1" x="116"/>
        <item m="1" x="106"/>
        <item m="1" x="90"/>
        <item m="1" x="57"/>
        <item m="1" x="124"/>
        <item m="1" x="73"/>
        <item m="1" x="61"/>
        <item m="1" x="93"/>
        <item m="1" x="74"/>
        <item m="1" x="53"/>
        <item m="1" x="60"/>
        <item m="1" x="14"/>
        <item m="1" x="79"/>
        <item m="1" x="95"/>
        <item m="1" x="104"/>
        <item m="1" x="112"/>
        <item m="1" x="123"/>
        <item m="1" x="11"/>
        <item m="1" x="30"/>
        <item m="1" x="122"/>
        <item m="1" x="12"/>
        <item m="1" x="80"/>
        <item m="1" x="55"/>
        <item m="1" x="70"/>
        <item m="1" x="15"/>
        <item m="1" x="121"/>
        <item m="1" x="102"/>
        <item m="1" x="52"/>
        <item m="1" x="113"/>
        <item m="1" x="72"/>
        <item m="1" x="92"/>
        <item m="1" x="107"/>
        <item m="1" x="44"/>
        <item m="1" x="67"/>
        <item m="1" x="2"/>
        <item x="1"/>
      </items>
    </pivotField>
    <pivotField axis="axisRow" compact="0" outline="0" showAll="0" defaultSubtotal="0">
      <items count="7">
        <item m="1" x="6"/>
        <item m="1" x="4"/>
        <item m="1" x="3"/>
        <item x="1"/>
        <item x="0"/>
        <item m="1" x="5"/>
        <item m="1" x="2"/>
      </items>
    </pivotField>
    <pivotField axis="axisRow" compact="0" outline="0" showAll="0" defaultSubtotal="0">
      <items count="5">
        <item x="0"/>
        <item x="1"/>
        <item m="1" x="3"/>
        <item m="1" x="4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12"/>
      <x v="4"/>
      <x/>
    </i>
    <i r="1">
      <x v="124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3" tableType="queryTable" totalsRowShown="0">
  <autoFilter ref="A1:U3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4" tableType="queryTable" totalsRowShown="0">
  <autoFilter ref="A1:P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</v>
      </c>
      <c r="F2">
        <v>480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12</v>
      </c>
      <c r="O3" t="s">
        <v>67</v>
      </c>
      <c r="P3" t="s">
        <v>70</v>
      </c>
      <c r="Q3" t="s">
        <v>81</v>
      </c>
      <c r="R3" t="s">
        <v>72</v>
      </c>
      <c r="S3" s="5">
        <v>4.8391666666666602</v>
      </c>
      <c r="T3" s="5">
        <v>2E+20</v>
      </c>
      <c r="U3" s="5">
        <v>0</v>
      </c>
      <c r="V3" s="5">
        <v>4.8391666666666602</v>
      </c>
      <c r="W3" s="5">
        <v>4.8391666666666602</v>
      </c>
      <c r="X3" s="5">
        <v>0</v>
      </c>
      <c r="Y3" s="5">
        <v>8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87</v>
      </c>
      <c r="AM3" t="s">
        <v>86</v>
      </c>
      <c r="AN3" t="s">
        <v>88</v>
      </c>
      <c r="AO3" s="5">
        <v>12</v>
      </c>
      <c r="AP3" s="5">
        <v>4E+20</v>
      </c>
      <c r="AQ3" s="5">
        <v>0</v>
      </c>
      <c r="AR3" s="5">
        <v>12</v>
      </c>
      <c r="AS3" s="5">
        <v>12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73</v>
      </c>
      <c r="D4" t="s">
        <v>72</v>
      </c>
      <c r="E4" s="5">
        <v>40</v>
      </c>
      <c r="F4" s="5">
        <v>1</v>
      </c>
      <c r="G4" s="5">
        <v>2E+20</v>
      </c>
      <c r="H4" s="5">
        <v>0</v>
      </c>
      <c r="I4" s="5">
        <v>40</v>
      </c>
      <c r="J4" s="5">
        <v>40</v>
      </c>
      <c r="K4" s="5">
        <v>40</v>
      </c>
      <c r="L4" s="5">
        <v>40</v>
      </c>
      <c r="M4" s="5">
        <v>12</v>
      </c>
      <c r="P4" t="s">
        <v>78</v>
      </c>
      <c r="Q4" t="s">
        <v>82</v>
      </c>
      <c r="R4" t="s">
        <v>80</v>
      </c>
      <c r="S4" s="5">
        <v>2.8912499999999901</v>
      </c>
      <c r="T4" s="5">
        <v>2E+20</v>
      </c>
      <c r="U4" s="5">
        <v>0</v>
      </c>
      <c r="V4" s="5">
        <v>2.8912499999999901</v>
      </c>
      <c r="W4" s="5">
        <v>2.8912499999999901</v>
      </c>
      <c r="X4" s="5">
        <v>0</v>
      </c>
      <c r="Y4" s="5">
        <v>6</v>
      </c>
      <c r="AL4" t="s">
        <v>83</v>
      </c>
      <c r="AM4" t="s">
        <v>84</v>
      </c>
      <c r="AN4" t="s">
        <v>72</v>
      </c>
      <c r="AO4" s="5">
        <v>20</v>
      </c>
      <c r="AP4" s="5">
        <v>4E+20</v>
      </c>
      <c r="AQ4" s="5">
        <v>0</v>
      </c>
      <c r="AR4" s="5">
        <v>20</v>
      </c>
      <c r="AS4" s="5">
        <v>20</v>
      </c>
    </row>
    <row r="5" spans="1:52" x14ac:dyDescent="0.25">
      <c r="C5" t="s">
        <v>74</v>
      </c>
      <c r="D5" t="s">
        <v>72</v>
      </c>
      <c r="E5" s="5">
        <v>131.9</v>
      </c>
      <c r="F5" s="5">
        <v>1</v>
      </c>
      <c r="G5" s="5">
        <v>2E+20</v>
      </c>
      <c r="H5" s="5">
        <v>0</v>
      </c>
      <c r="I5" s="5">
        <v>131.9</v>
      </c>
      <c r="J5" s="5">
        <v>131.9</v>
      </c>
      <c r="K5" s="5">
        <v>79.599999999999994</v>
      </c>
      <c r="L5" s="5">
        <v>184.19999999999899</v>
      </c>
      <c r="M5" s="5">
        <v>12</v>
      </c>
      <c r="AL5" t="s">
        <v>85</v>
      </c>
      <c r="AM5" t="s">
        <v>86</v>
      </c>
      <c r="AN5" t="s">
        <v>72</v>
      </c>
      <c r="AO5" s="5">
        <v>12</v>
      </c>
      <c r="AP5" s="5">
        <v>4E+20</v>
      </c>
      <c r="AQ5" s="5">
        <v>0</v>
      </c>
      <c r="AR5" s="5">
        <v>12</v>
      </c>
      <c r="AS5" s="5">
        <v>12</v>
      </c>
    </row>
    <row r="6" spans="1:52" x14ac:dyDescent="0.25">
      <c r="C6" t="s">
        <v>75</v>
      </c>
      <c r="D6" t="s">
        <v>72</v>
      </c>
      <c r="E6" s="5">
        <v>32.233333333333199</v>
      </c>
      <c r="F6" s="5">
        <v>1</v>
      </c>
      <c r="G6" s="5">
        <v>2E+20</v>
      </c>
      <c r="H6" s="5">
        <v>0</v>
      </c>
      <c r="I6" s="5">
        <v>32.233333333333199</v>
      </c>
      <c r="J6" s="5">
        <v>32.233333333333199</v>
      </c>
      <c r="K6" s="5">
        <v>30.599999999999799</v>
      </c>
      <c r="L6" s="5">
        <v>41.2</v>
      </c>
      <c r="M6" s="5">
        <v>12</v>
      </c>
    </row>
    <row r="7" spans="1:52" x14ac:dyDescent="0.25">
      <c r="C7" t="s">
        <v>76</v>
      </c>
      <c r="D7" t="s">
        <v>72</v>
      </c>
      <c r="E7" s="5">
        <v>0</v>
      </c>
      <c r="F7" s="5">
        <v>1</v>
      </c>
      <c r="G7" s="5">
        <v>2E+20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12</v>
      </c>
    </row>
    <row r="8" spans="1:52" x14ac:dyDescent="0.25">
      <c r="C8" t="s">
        <v>77</v>
      </c>
      <c r="D8" t="s">
        <v>72</v>
      </c>
      <c r="E8" s="5">
        <v>59.666666666666501</v>
      </c>
      <c r="F8" s="5">
        <v>1</v>
      </c>
      <c r="G8" s="5">
        <v>2E+20</v>
      </c>
      <c r="H8" s="5">
        <v>0</v>
      </c>
      <c r="I8" s="5">
        <v>59.666666666666501</v>
      </c>
      <c r="J8" s="5">
        <v>59.666666666666501</v>
      </c>
      <c r="K8" s="5">
        <v>0</v>
      </c>
      <c r="L8" s="5">
        <v>113.6</v>
      </c>
      <c r="M8" s="5">
        <v>12</v>
      </c>
    </row>
    <row r="9" spans="1:52" x14ac:dyDescent="0.25">
      <c r="B9" t="s">
        <v>78</v>
      </c>
      <c r="C9" t="s">
        <v>79</v>
      </c>
      <c r="D9" t="s">
        <v>80</v>
      </c>
      <c r="E9" s="5">
        <v>70.199999999999804</v>
      </c>
      <c r="F9" s="5">
        <v>1</v>
      </c>
      <c r="G9" s="5">
        <v>2E+20</v>
      </c>
      <c r="H9" s="5">
        <v>0</v>
      </c>
      <c r="I9" s="5">
        <v>70.199999999999804</v>
      </c>
      <c r="J9" s="5">
        <v>70.199999999999804</v>
      </c>
      <c r="K9" s="5">
        <v>0</v>
      </c>
      <c r="L9" s="5">
        <v>134.19999999999899</v>
      </c>
      <c r="M9" s="5">
        <v>14</v>
      </c>
    </row>
  </sheetData>
  <dataConsolidate/>
  <conditionalFormatting pivot="1" sqref="G3:G9">
    <cfRule type="expression" dxfId="29" priority="10">
      <formula>G3=200000000000000000000</formula>
    </cfRule>
  </conditionalFormatting>
  <conditionalFormatting pivot="1" sqref="T3:T4">
    <cfRule type="expression" dxfId="28" priority="9">
      <formula>T3=200000000000000000000</formula>
    </cfRule>
  </conditionalFormatting>
  <conditionalFormatting pivot="1" sqref="T3:T4">
    <cfRule type="expression" dxfId="27" priority="8">
      <formula>T3=300000000000000000000</formula>
    </cfRule>
  </conditionalFormatting>
  <conditionalFormatting pivot="1" sqref="G3:G9">
    <cfRule type="expression" dxfId="26" priority="7">
      <formula>G3=300000000000000000000</formula>
    </cfRule>
  </conditionalFormatting>
  <conditionalFormatting pivot="1" sqref="F3:F9">
    <cfRule type="expression" dxfId="25" priority="6">
      <formula>F3=0</formula>
    </cfRule>
  </conditionalFormatting>
  <conditionalFormatting pivot="1" sqref="F3:F9">
    <cfRule type="expression" dxfId="24" priority="5">
      <formula>F3=1</formula>
    </cfRule>
  </conditionalFormatting>
  <conditionalFormatting pivot="1" sqref="T3:T4">
    <cfRule type="expression" dxfId="23" priority="4">
      <formula>T3=400000000000000000000</formula>
    </cfRule>
  </conditionalFormatting>
  <conditionalFormatting pivot="1" sqref="AP3:AP5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9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6.1406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60.285156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12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12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40</v>
      </c>
      <c r="H3">
        <v>2E+20</v>
      </c>
      <c r="I3">
        <v>40</v>
      </c>
      <c r="J3">
        <v>40</v>
      </c>
      <c r="K3">
        <v>12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40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40</v>
      </c>
      <c r="S3" cm="1">
        <f t="array" ref="S3">MAX(IF((DiscreteStatsTable[GroupByKey]=DiscreteStatsTable[[#This Row],[GroupByKey]]),(DiscreteStatsTable[GroupByKey]=DiscreteStatsTable[[#This Row],[GroupByKey]])*DiscreteStatsTable[Average]))</f>
        <v>40</v>
      </c>
      <c r="T3" cm="1">
        <f t="array" ref="T3">MIN(IF((DiscreteStatsTable[GroupByKey]=DiscreteStatsTable[[#This Row],[GroupByKey]]),(DiscreteStatsTable[GroupByKey]=DiscreteStatsTable[[#This Row],[GroupByKey]])*DiscreteStatsTable[Minimum]))</f>
        <v>40</v>
      </c>
      <c r="U3" cm="1">
        <f t="array" ref="U3">MAX(IF((DiscreteStatsTable[GroupByKey]=DiscreteStatsTable[[#This Row],[GroupByKey]]),(DiscreteStatsTable[GroupByKey]=DiscreteStatsTable[[#This Row],[GroupByKey]])*DiscreteStatsTable[Maximum]))</f>
        <v>40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12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131.9</v>
      </c>
      <c r="H4">
        <v>2E+20</v>
      </c>
      <c r="I4">
        <v>79.599999999999994</v>
      </c>
      <c r="J4">
        <v>184.19999999999899</v>
      </c>
      <c r="K4">
        <v>12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131.9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131.9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131.9</v>
      </c>
      <c r="T4" cm="1">
        <f t="array" ref="T4">MIN(IF((DiscreteStatsTable[GroupByKey]=DiscreteStatsTable[[#This Row],[GroupByKey]]),(DiscreteStatsTable[GroupByKey]=DiscreteStatsTable[[#This Row],[GroupByKey]])*DiscreteStatsTable[Minimum]))</f>
        <v>79.599999999999994</v>
      </c>
      <c r="U4" cm="1">
        <f t="array" ref="U4">MAX(IF((DiscreteStatsTable[GroupByKey]=DiscreteStatsTable[[#This Row],[GroupByKey]]),(DiscreteStatsTable[GroupByKey]=DiscreteStatsTable[[#This Row],[GroupByKey]])*DiscreteStatsTable[Maximum]))</f>
        <v>184.19999999999899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12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32.233333333333199</v>
      </c>
      <c r="H5">
        <v>2E+20</v>
      </c>
      <c r="I5">
        <v>30.599999999999799</v>
      </c>
      <c r="J5">
        <v>41.2</v>
      </c>
      <c r="K5">
        <v>12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32.233333333333199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32.233333333333199</v>
      </c>
      <c r="S5" cm="1">
        <f t="array" ref="S5">MAX(IF((DiscreteStatsTable[GroupByKey]=DiscreteStatsTable[[#This Row],[GroupByKey]]),(DiscreteStatsTable[GroupByKey]=DiscreteStatsTable[[#This Row],[GroupByKey]])*DiscreteStatsTable[Average]))</f>
        <v>32.233333333333199</v>
      </c>
      <c r="T5" cm="1">
        <f t="array" ref="T5">MIN(IF((DiscreteStatsTable[GroupByKey]=DiscreteStatsTable[[#This Row],[GroupByKey]]),(DiscreteStatsTable[GroupByKey]=DiscreteStatsTable[[#This Row],[GroupByKey]])*DiscreteStatsTable[Minimum]))</f>
        <v>30.599999999999799</v>
      </c>
      <c r="U5" cm="1">
        <f t="array" ref="U5">MAX(IF((DiscreteStatsTable[GroupByKey]=DiscreteStatsTable[[#This Row],[GroupByKey]]),(DiscreteStatsTable[GroupByKey]=DiscreteStatsTable[[#This Row],[GroupByKey]])*DiscreteStatsTable[Maximum]))</f>
        <v>41.2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12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12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12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59.666666666666501</v>
      </c>
      <c r="H7">
        <v>2E+20</v>
      </c>
      <c r="I7">
        <v>0</v>
      </c>
      <c r="J7">
        <v>113.6</v>
      </c>
      <c r="K7">
        <v>12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59.666666666666501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59.666666666666501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59.666666666666501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113.6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12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70.199999999999804</v>
      </c>
      <c r="H8">
        <v>2E+20</v>
      </c>
      <c r="I8">
        <v>0</v>
      </c>
      <c r="J8">
        <v>134.19999999999899</v>
      </c>
      <c r="K8">
        <v>14</v>
      </c>
      <c r="L8" t="str">
        <f>DiscreteStatsTable[[#This Row],[ProjectName]]&amp;DiscreteStatsTable[[#This Row],[Name]]&amp;DiscreteStatsTable[[#This Row],[Type]]&amp;DiscreteStatsTable[[#This Row],[Source]]</f>
        <v>Unnamed ProjectRequest Transporter.QueueWaiting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70.199999999999804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70.199999999999804</v>
      </c>
      <c r="S8" cm="1">
        <f t="array" ref="S8">MAX(IF((DiscreteStatsTable[GroupByKey]=DiscreteStatsTable[[#This Row],[GroupByKey]]),(DiscreteStatsTable[GroupByKey]=DiscreteStatsTable[[#This Row],[GroupByKey]])*DiscreteStatsTable[Average]))</f>
        <v>70.199999999999804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134.19999999999899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14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19" priority="23">
      <formula>H2=200000000000000000000</formula>
    </cfRule>
  </conditionalFormatting>
  <conditionalFormatting sqref="H2:H8">
    <cfRule type="expression" dxfId="18" priority="21">
      <formula>H2=300000000000000000000</formula>
    </cfRule>
  </conditionalFormatting>
  <conditionalFormatting sqref="L2:Y8">
    <cfRule type="expression" dxfId="17" priority="19">
      <formula>MOD(ROW(),2)=0</formula>
    </cfRule>
  </conditionalFormatting>
  <conditionalFormatting sqref="Y2:Y8">
    <cfRule type="expression" dxfId="16" priority="14">
      <formula>Y2=0</formula>
    </cfRule>
    <cfRule type="expression" dxfId="15" priority="16">
      <formula>Y2=1</formula>
    </cfRule>
  </conditionalFormatting>
  <conditionalFormatting sqref="Y3:Y8">
    <cfRule type="expression" dxfId="14" priority="15">
      <formula>Y3=1</formula>
    </cfRule>
  </conditionalFormatting>
  <conditionalFormatting sqref="W2:W8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8 W2:W8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3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6.140625" bestFit="1" customWidth="1"/>
    <col min="5" max="5" width="15.710937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3.28515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4.8391666666666602</v>
      </c>
      <c r="H2">
        <v>2E+20</v>
      </c>
      <c r="I2">
        <v>0</v>
      </c>
      <c r="J2">
        <v>8</v>
      </c>
      <c r="K2">
        <v>8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4.8391666666666602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4.8391666666666602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4.8391666666666602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69</v>
      </c>
      <c r="C3">
        <v>1</v>
      </c>
      <c r="D3" t="s">
        <v>78</v>
      </c>
      <c r="E3" t="s">
        <v>82</v>
      </c>
      <c r="F3" t="s">
        <v>80</v>
      </c>
      <c r="G3">
        <v>2.8912499999999901</v>
      </c>
      <c r="H3">
        <v>2E+20</v>
      </c>
      <c r="I3">
        <v>0</v>
      </c>
      <c r="J3">
        <v>6</v>
      </c>
      <c r="K3">
        <v>6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ProjectRequest Transporter.QueueNumber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2.8912499999999901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2.8912499999999901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2.8912499999999901</v>
      </c>
      <c r="U3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3">
    <cfRule type="expression" dxfId="10" priority="9">
      <formula>H2=200000000000000000000</formula>
    </cfRule>
  </conditionalFormatting>
  <conditionalFormatting sqref="H2:H3">
    <cfRule type="expression" dxfId="9" priority="7">
      <formula>H2=300000000000000000000</formula>
    </cfRule>
  </conditionalFormatting>
  <conditionalFormatting sqref="M2:U3">
    <cfRule type="expression" dxfId="8" priority="5">
      <formula>MOD(ROW(),2)=0</formula>
    </cfRule>
  </conditionalFormatting>
  <conditionalFormatting sqref="U2:U3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3 U2:U3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4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" bestFit="1" customWidth="1"/>
    <col min="5" max="5" width="12" bestFit="1" customWidth="1"/>
    <col min="6" max="6" width="9.28515625" bestFit="1" customWidth="1"/>
    <col min="7" max="7" width="17" bestFit="1" customWidth="1"/>
    <col min="8" max="8" width="12" bestFit="1" customWidth="1"/>
    <col min="9" max="9" width="52.710937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83</v>
      </c>
      <c r="E2" t="s">
        <v>84</v>
      </c>
      <c r="F2" t="s">
        <v>72</v>
      </c>
      <c r="G2">
        <v>20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20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20</v>
      </c>
      <c r="P2" cm="1">
        <f t="array" ref="P2">MAX(IF((OutputTable[GroupByKey]=OutputTable[[#This Row],[GroupByKey]]),(OutputTable[GroupByKey]=OutputTable[[#This Row],[GroupByKey]])*OutputTable[RecordedValue]))</f>
        <v>20</v>
      </c>
    </row>
    <row r="3" spans="1:16" x14ac:dyDescent="0.25">
      <c r="A3" t="s">
        <v>67</v>
      </c>
      <c r="B3" t="s">
        <v>69</v>
      </c>
      <c r="C3">
        <v>1</v>
      </c>
      <c r="D3" t="s">
        <v>85</v>
      </c>
      <c r="E3" t="s">
        <v>86</v>
      </c>
      <c r="F3" t="s">
        <v>72</v>
      </c>
      <c r="G3">
        <v>12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12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12</v>
      </c>
      <c r="P3" cm="1">
        <f t="array" ref="P3">MAX(IF((OutputTable[GroupByKey]=OutputTable[[#This Row],[GroupByKey]]),(OutputTable[GroupByKey]=OutputTable[[#This Row],[GroupByKey]])*OutputTable[RecordedValue]))</f>
        <v>12</v>
      </c>
    </row>
    <row r="4" spans="1:16" x14ac:dyDescent="0.25">
      <c r="A4" t="s">
        <v>67</v>
      </c>
      <c r="B4" t="s">
        <v>69</v>
      </c>
      <c r="C4">
        <v>1</v>
      </c>
      <c r="D4" t="s">
        <v>87</v>
      </c>
      <c r="E4" t="s">
        <v>86</v>
      </c>
      <c r="F4" t="s">
        <v>88</v>
      </c>
      <c r="G4">
        <v>12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12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12</v>
      </c>
      <c r="P4" cm="1">
        <f t="array" ref="P4">MAX(IF((OutputTable[GroupByKey]=OutputTable[[#This Row],[GroupByKey]]),(OutputTable[GroupByKey]=OutputTable[[#This Row],[GroupByKey]])*OutputTable[RecordedValue]))</f>
        <v>12</v>
      </c>
    </row>
  </sheetData>
  <phoneticPr fontId="2" type="noConversion"/>
  <conditionalFormatting sqref="I2:P4">
    <cfRule type="expression" dxfId="2" priority="2">
      <formula>MOD(ROW(),2)=0</formula>
    </cfRule>
  </conditionalFormatting>
  <conditionalFormatting sqref="N2:N4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9c742c4-e61c-4fa5-be89-a3cb566a80d1}" enabled="0" method="" siteId="{79c742c4-e61c-4fa5-be89-a3cb566a80d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Manuel Rossetti</cp:lastModifiedBy>
  <cp:lastPrinted>2022-03-22T10:33:10Z</cp:lastPrinted>
  <dcterms:created xsi:type="dcterms:W3CDTF">2020-06-29T21:30:31Z</dcterms:created>
  <dcterms:modified xsi:type="dcterms:W3CDTF">2026-08-31T14:59:12Z</dcterms:modified>
</cp:coreProperties>
</file>
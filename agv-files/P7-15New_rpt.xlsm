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uark-my.sharepoint.com/personal/rossetti_uark_edu/Documents/MyDocuments/Teaching/Courses/Simulation Courses/Agent Based Simulation/AGV Data/"/>
    </mc:Choice>
  </mc:AlternateContent>
  <xr:revisionPtr revIDLastSave="1" documentId="8_{F5015F95-E683-44CB-BA7D-FBDD96D7EADB}" xr6:coauthVersionLast="47" xr6:coauthVersionMax="47" xr10:uidLastSave="{75772A40-6133-453B-B052-7D38269F5F27}"/>
  <bookViews>
    <workbookView xWindow="3510" yWindow="3510" windowWidth="21600" windowHeight="11295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ContinuousTimeStatsByRep!$A$1:$L$281</definedName>
    <definedName name="ExternalData_1" localSheetId="4" hidden="1">CounterStatsByRep!$A$1:$G$2</definedName>
    <definedName name="ExternalData_1" localSheetId="2" hidden="1">DiscreteTimeStatsByRep!$A$1:$K$241</definedName>
    <definedName name="ExternalData_1" localSheetId="6" hidden="1">FrequencyStatsByRep!$A$1:$J$2</definedName>
    <definedName name="ExternalData_1" localSheetId="5" hidden="1">OutputStatsByRep!$A$1:$H$151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O136" i="20" s="1" a="1"/>
  <c r="O136" i="20" s="1"/>
  <c r="I6" i="20"/>
  <c r="O8" i="20" s="1" a="1"/>
  <c r="O8" i="20" s="1"/>
  <c r="I7" i="20"/>
  <c r="P63" i="20" s="1" a="1"/>
  <c r="P63" i="20" s="1"/>
  <c r="I8" i="20"/>
  <c r="I9" i="20"/>
  <c r="I10" i="20"/>
  <c r="I11" i="20"/>
  <c r="P131" i="20" s="1" a="1"/>
  <c r="P131" i="20" s="1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P139" i="20" s="1" a="1"/>
  <c r="P139" i="20" s="1"/>
  <c r="I34" i="20"/>
  <c r="I35" i="20"/>
  <c r="I36" i="20"/>
  <c r="I37" i="20"/>
  <c r="I38" i="20"/>
  <c r="I39" i="20"/>
  <c r="L39" i="20" s="1" a="1"/>
  <c r="L39" i="20" s="1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O102" i="20" s="1" a="1"/>
  <c r="O102" i="20" s="1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K145" i="20" s="1" a="1"/>
  <c r="K145" i="20" s="1"/>
  <c r="I146" i="20"/>
  <c r="I147" i="20"/>
  <c r="I148" i="20"/>
  <c r="I149" i="20"/>
  <c r="I150" i="20"/>
  <c r="I151" i="20"/>
  <c r="J2" i="20" a="1"/>
  <c r="J2" i="20"/>
  <c r="J3" i="20" a="1"/>
  <c r="J3" i="20" s="1"/>
  <c r="J4" i="20" a="1"/>
  <c r="J4" i="20" s="1"/>
  <c r="J5" i="20" a="1"/>
  <c r="J5" i="20"/>
  <c r="J6" i="20" a="1"/>
  <c r="J6" i="20" s="1"/>
  <c r="J7" i="20" a="1"/>
  <c r="J7" i="20" s="1"/>
  <c r="J8" i="20" a="1"/>
  <c r="J8" i="20" s="1"/>
  <c r="J9" i="20" a="1"/>
  <c r="J9" i="20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 s="1"/>
  <c r="J19" i="20" a="1"/>
  <c r="J19" i="20" s="1"/>
  <c r="J20" i="20" a="1"/>
  <c r="J20" i="20" s="1"/>
  <c r="J21" i="20" a="1"/>
  <c r="J21" i="20" s="1"/>
  <c r="J22" i="20" a="1"/>
  <c r="J22" i="20"/>
  <c r="J23" i="20" a="1"/>
  <c r="J23" i="20" s="1"/>
  <c r="J24" i="20" a="1"/>
  <c r="J24" i="20" s="1"/>
  <c r="J25" i="20" a="1"/>
  <c r="J25" i="20" s="1"/>
  <c r="J26" i="20" a="1"/>
  <c r="J26" i="20"/>
  <c r="J27" i="20" a="1"/>
  <c r="J27" i="20" s="1"/>
  <c r="J28" i="20" a="1"/>
  <c r="J28" i="20"/>
  <c r="J29" i="20" a="1"/>
  <c r="J29" i="20" s="1"/>
  <c r="J30" i="20" a="1"/>
  <c r="J30" i="20" s="1"/>
  <c r="J31" i="20" a="1"/>
  <c r="J31" i="20" s="1"/>
  <c r="J32" i="20" a="1"/>
  <c r="J32" i="20"/>
  <c r="J33" i="20" a="1"/>
  <c r="J33" i="20" s="1"/>
  <c r="J34" i="20" a="1"/>
  <c r="J34" i="20"/>
  <c r="J35" i="20" a="1"/>
  <c r="J35" i="20" s="1"/>
  <c r="J36" i="20" a="1"/>
  <c r="J36" i="20" s="1"/>
  <c r="J37" i="20" a="1"/>
  <c r="J37" i="20" s="1"/>
  <c r="J38" i="20" a="1"/>
  <c r="J38" i="20" s="1"/>
  <c r="J39" i="20" a="1"/>
  <c r="J39" i="20" s="1"/>
  <c r="J40" i="20" a="1"/>
  <c r="J40" i="20"/>
  <c r="J41" i="20" a="1"/>
  <c r="J41" i="20" s="1"/>
  <c r="J42" i="20" a="1"/>
  <c r="J42" i="20"/>
  <c r="J43" i="20" a="1"/>
  <c r="J43" i="20" s="1"/>
  <c r="J44" i="20" a="1"/>
  <c r="J44" i="20" s="1"/>
  <c r="J45" i="20" a="1"/>
  <c r="J45" i="20" s="1"/>
  <c r="J46" i="20" a="1"/>
  <c r="J46" i="20" s="1"/>
  <c r="J47" i="20" a="1"/>
  <c r="J47" i="20" s="1"/>
  <c r="J48" i="20" a="1"/>
  <c r="J48" i="20"/>
  <c r="J49" i="20" a="1"/>
  <c r="J49" i="20" s="1"/>
  <c r="J50" i="20" a="1"/>
  <c r="J50" i="20" s="1"/>
  <c r="J51" i="20" a="1"/>
  <c r="J51" i="20" s="1"/>
  <c r="J52" i="20" a="1"/>
  <c r="J52" i="20" s="1"/>
  <c r="J53" i="20" a="1"/>
  <c r="J53" i="20" s="1"/>
  <c r="J54" i="20" a="1"/>
  <c r="J54" i="20" s="1"/>
  <c r="J55" i="20" a="1"/>
  <c r="J55" i="20" s="1"/>
  <c r="J56" i="20" a="1"/>
  <c r="J56" i="20"/>
  <c r="J57" i="20" a="1"/>
  <c r="J57" i="20" s="1"/>
  <c r="J58" i="20" a="1"/>
  <c r="J58" i="20" s="1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J64" i="20" a="1"/>
  <c r="J64" i="20" s="1"/>
  <c r="J65" i="20" a="1"/>
  <c r="J65" i="20" s="1"/>
  <c r="J66" i="20" a="1"/>
  <c r="J66" i="20"/>
  <c r="J67" i="20" a="1"/>
  <c r="J67" i="20" s="1"/>
  <c r="J68" i="20" a="1"/>
  <c r="J68" i="20" s="1"/>
  <c r="J69" i="20" a="1"/>
  <c r="J69" i="20" s="1"/>
  <c r="J70" i="20" a="1"/>
  <c r="J70" i="20" s="1"/>
  <c r="J71" i="20" a="1"/>
  <c r="J71" i="20" s="1"/>
  <c r="J72" i="20" a="1"/>
  <c r="J72" i="20"/>
  <c r="J73" i="20" a="1"/>
  <c r="J73" i="20" s="1"/>
  <c r="J74" i="20" a="1"/>
  <c r="J74" i="20" s="1"/>
  <c r="J75" i="20" a="1"/>
  <c r="J75" i="20" s="1"/>
  <c r="J76" i="20" a="1"/>
  <c r="J76" i="20" s="1"/>
  <c r="J77" i="20" a="1"/>
  <c r="J77" i="20"/>
  <c r="J78" i="20" a="1"/>
  <c r="J78" i="20"/>
  <c r="J79" i="20" a="1"/>
  <c r="J79" i="20" s="1"/>
  <c r="J80" i="20" a="1"/>
  <c r="J80" i="20" s="1"/>
  <c r="J81" i="20" a="1"/>
  <c r="J81" i="20" s="1"/>
  <c r="J82" i="20" a="1"/>
  <c r="J82" i="20"/>
  <c r="J83" i="20" a="1"/>
  <c r="J83" i="20" s="1"/>
  <c r="J84" i="20" a="1"/>
  <c r="J84" i="20" s="1"/>
  <c r="J85" i="20" a="1"/>
  <c r="J85" i="20" s="1"/>
  <c r="J86" i="20" a="1"/>
  <c r="J86" i="20"/>
  <c r="J87" i="20" a="1"/>
  <c r="J87" i="20" s="1"/>
  <c r="J88" i="20" a="1"/>
  <c r="J88" i="20" s="1"/>
  <c r="J89" i="20" a="1"/>
  <c r="J89" i="20"/>
  <c r="J90" i="20" a="1"/>
  <c r="J90" i="20"/>
  <c r="J91" i="20" a="1"/>
  <c r="J91" i="20" s="1"/>
  <c r="J92" i="20" a="1"/>
  <c r="J92" i="20" s="1"/>
  <c r="J93" i="20" a="1"/>
  <c r="J93" i="20" s="1"/>
  <c r="J94" i="20" a="1"/>
  <c r="J94" i="20" s="1"/>
  <c r="J95" i="20" a="1"/>
  <c r="J95" i="20" s="1"/>
  <c r="J96" i="20" a="1"/>
  <c r="J96" i="20" s="1"/>
  <c r="J97" i="20" a="1"/>
  <c r="J97" i="20" s="1"/>
  <c r="J98" i="20" a="1"/>
  <c r="J98" i="20"/>
  <c r="J99" i="20" a="1"/>
  <c r="J99" i="20" s="1"/>
  <c r="J100" i="20" a="1"/>
  <c r="J100" i="20" s="1"/>
  <c r="J101" i="20" a="1"/>
  <c r="J101" i="20"/>
  <c r="J102" i="20" a="1"/>
  <c r="J102" i="20" s="1"/>
  <c r="J103" i="20" a="1"/>
  <c r="J103" i="20" s="1"/>
  <c r="J104" i="20" a="1"/>
  <c r="J104" i="20"/>
  <c r="J105" i="20" a="1"/>
  <c r="J105" i="20" s="1"/>
  <c r="J106" i="20" a="1"/>
  <c r="J106" i="20" s="1"/>
  <c r="J107" i="20" a="1"/>
  <c r="J107" i="20" s="1"/>
  <c r="J108" i="20" a="1"/>
  <c r="J108" i="20" s="1"/>
  <c r="J109" i="20" a="1"/>
  <c r="J109" i="20" s="1"/>
  <c r="J110" i="20" a="1"/>
  <c r="J110" i="20" s="1"/>
  <c r="J111" i="20" a="1"/>
  <c r="J111" i="20" s="1"/>
  <c r="J112" i="20" a="1"/>
  <c r="J112" i="20"/>
  <c r="J113" i="20" a="1"/>
  <c r="J113" i="20"/>
  <c r="J114" i="20" a="1"/>
  <c r="J114" i="20" s="1"/>
  <c r="J115" i="20" a="1"/>
  <c r="J115" i="20" s="1"/>
  <c r="J116" i="20" a="1"/>
  <c r="J116" i="20" s="1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 s="1"/>
  <c r="J122" i="20" a="1"/>
  <c r="J122" i="20"/>
  <c r="J123" i="20" a="1"/>
  <c r="J123" i="20" s="1"/>
  <c r="J124" i="20" a="1"/>
  <c r="J124" i="20" s="1"/>
  <c r="J125" i="20" a="1"/>
  <c r="J125" i="20"/>
  <c r="J126" i="20" a="1"/>
  <c r="J126" i="20"/>
  <c r="J127" i="20" a="1"/>
  <c r="J127" i="20" s="1"/>
  <c r="J128" i="20" a="1"/>
  <c r="J128" i="20" s="1"/>
  <c r="J129" i="20" a="1"/>
  <c r="J129" i="20" s="1"/>
  <c r="J130" i="20" a="1"/>
  <c r="J130" i="20" s="1"/>
  <c r="J131" i="20" a="1"/>
  <c r="J131" i="20" s="1"/>
  <c r="J132" i="20" a="1"/>
  <c r="J132" i="20" s="1"/>
  <c r="J133" i="20" a="1"/>
  <c r="J133" i="20" s="1"/>
  <c r="J134" i="20" a="1"/>
  <c r="J134" i="20" s="1"/>
  <c r="J135" i="20" a="1"/>
  <c r="J135" i="20" s="1"/>
  <c r="J136" i="20" a="1"/>
  <c r="J136" i="20"/>
  <c r="J137" i="20" a="1"/>
  <c r="J137" i="20" s="1"/>
  <c r="J138" i="20" a="1"/>
  <c r="J138" i="20"/>
  <c r="J139" i="20" a="1"/>
  <c r="J139" i="20"/>
  <c r="J140" i="20" a="1"/>
  <c r="J140" i="20" s="1"/>
  <c r="J141" i="20" a="1"/>
  <c r="J141" i="20" s="1"/>
  <c r="J142" i="20" a="1"/>
  <c r="J142" i="20" s="1"/>
  <c r="J143" i="20" a="1"/>
  <c r="J143" i="20" s="1"/>
  <c r="J144" i="20" a="1"/>
  <c r="J144" i="20" s="1"/>
  <c r="J145" i="20" a="1"/>
  <c r="J145" i="20" s="1"/>
  <c r="J146" i="20" a="1"/>
  <c r="J146" i="20" s="1"/>
  <c r="J147" i="20" a="1"/>
  <c r="J147" i="20" s="1"/>
  <c r="J148" i="20" a="1"/>
  <c r="J148" i="20"/>
  <c r="J149" i="20" a="1"/>
  <c r="J149" i="20"/>
  <c r="J150" i="20" a="1"/>
  <c r="J150" i="20" s="1"/>
  <c r="J151" i="20" a="1"/>
  <c r="J151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M17" i="20" a="1"/>
  <c r="M17" i="20" s="1"/>
  <c r="M18" i="20" a="1"/>
  <c r="M18" i="20" s="1"/>
  <c r="M19" i="20" a="1"/>
  <c r="M19" i="20" s="1"/>
  <c r="M20" i="20" a="1"/>
  <c r="M20" i="20"/>
  <c r="M21" i="20" a="1"/>
  <c r="M21" i="20" s="1"/>
  <c r="M22" i="20" a="1"/>
  <c r="M22" i="20"/>
  <c r="M23" i="20" a="1"/>
  <c r="M23" i="20" s="1"/>
  <c r="M24" i="20" a="1"/>
  <c r="M24" i="20" s="1"/>
  <c r="M25" i="20" a="1"/>
  <c r="M25" i="20" s="1"/>
  <c r="M26" i="20" a="1"/>
  <c r="M26" i="20" s="1"/>
  <c r="M27" i="20" a="1"/>
  <c r="M27" i="20" s="1"/>
  <c r="M28" i="20" a="1"/>
  <c r="M28" i="20" s="1"/>
  <c r="M29" i="20" a="1"/>
  <c r="M29" i="20" s="1"/>
  <c r="M30" i="20" a="1"/>
  <c r="M30" i="20" s="1"/>
  <c r="M31" i="20" a="1"/>
  <c r="M31" i="20" s="1"/>
  <c r="M32" i="20" a="1"/>
  <c r="M32" i="20" s="1"/>
  <c r="M33" i="20" a="1"/>
  <c r="M33" i="20"/>
  <c r="M34" i="20" a="1"/>
  <c r="M34" i="20"/>
  <c r="M35" i="20" a="1"/>
  <c r="M35" i="20" s="1"/>
  <c r="M36" i="20" a="1"/>
  <c r="M36" i="20" s="1"/>
  <c r="M37" i="20" a="1"/>
  <c r="M37" i="20" s="1"/>
  <c r="M38" i="20" a="1"/>
  <c r="M38" i="20" s="1"/>
  <c r="M39" i="20" a="1"/>
  <c r="M39" i="20"/>
  <c r="M40" i="20" a="1"/>
  <c r="M40" i="20" s="1"/>
  <c r="M41" i="20" a="1"/>
  <c r="M41" i="20" s="1"/>
  <c r="M42" i="20" a="1"/>
  <c r="M42" i="20" s="1"/>
  <c r="M43" i="20" a="1"/>
  <c r="M43" i="20" s="1"/>
  <c r="M44" i="20" a="1"/>
  <c r="M44" i="20"/>
  <c r="M45" i="20" a="1"/>
  <c r="M45" i="20" s="1"/>
  <c r="M46" i="20" a="1"/>
  <c r="M46" i="20" s="1"/>
  <c r="M47" i="20" a="1"/>
  <c r="M47" i="20" s="1"/>
  <c r="M48" i="20" a="1"/>
  <c r="M48" i="20"/>
  <c r="M49" i="20" a="1"/>
  <c r="M49" i="20" s="1"/>
  <c r="M50" i="20" a="1"/>
  <c r="M50" i="20"/>
  <c r="M51" i="20" a="1"/>
  <c r="M51" i="20" s="1"/>
  <c r="M52" i="20" a="1"/>
  <c r="M52" i="20"/>
  <c r="M53" i="20" a="1"/>
  <c r="M53" i="20" s="1"/>
  <c r="M54" i="20" a="1"/>
  <c r="M54" i="20" s="1"/>
  <c r="M55" i="20" a="1"/>
  <c r="M55" i="20"/>
  <c r="M56" i="20" a="1"/>
  <c r="M56" i="20"/>
  <c r="M57" i="20" a="1"/>
  <c r="M57" i="20"/>
  <c r="M58" i="20" a="1"/>
  <c r="M58" i="20" s="1"/>
  <c r="M59" i="20" a="1"/>
  <c r="M59" i="20" s="1"/>
  <c r="M60" i="20" a="1"/>
  <c r="M60" i="20" s="1"/>
  <c r="M61" i="20" a="1"/>
  <c r="M61" i="20" s="1"/>
  <c r="M62" i="20" a="1"/>
  <c r="M62" i="20" s="1"/>
  <c r="M63" i="20" a="1"/>
  <c r="M63" i="20" s="1"/>
  <c r="M64" i="20" a="1"/>
  <c r="M64" i="20" s="1"/>
  <c r="M65" i="20" a="1"/>
  <c r="M65" i="20" s="1"/>
  <c r="M66" i="20" a="1"/>
  <c r="M66" i="20" s="1"/>
  <c r="M67" i="20" a="1"/>
  <c r="M67" i="20"/>
  <c r="M68" i="20" a="1"/>
  <c r="M68" i="20" s="1"/>
  <c r="M69" i="20" a="1"/>
  <c r="M69" i="20" s="1"/>
  <c r="M70" i="20" a="1"/>
  <c r="M70" i="20" s="1"/>
  <c r="M71" i="20" a="1"/>
  <c r="M71" i="20" s="1"/>
  <c r="M72" i="20" a="1"/>
  <c r="M72" i="20" s="1"/>
  <c r="M73" i="20" a="1"/>
  <c r="M73" i="20"/>
  <c r="M74" i="20" a="1"/>
  <c r="M74" i="20" s="1"/>
  <c r="M75" i="20" a="1"/>
  <c r="M75" i="20" s="1"/>
  <c r="M76" i="20" a="1"/>
  <c r="M76" i="20" s="1"/>
  <c r="M77" i="20" a="1"/>
  <c r="M77" i="20" s="1"/>
  <c r="M78" i="20" a="1"/>
  <c r="M78" i="20" s="1"/>
  <c r="M79" i="20" a="1"/>
  <c r="M79" i="20"/>
  <c r="M80" i="20" a="1"/>
  <c r="M80" i="20" s="1"/>
  <c r="M81" i="20" a="1"/>
  <c r="M81" i="20" s="1"/>
  <c r="M82" i="20" a="1"/>
  <c r="M82" i="20"/>
  <c r="M83" i="20" a="1"/>
  <c r="M83" i="20" s="1"/>
  <c r="M84" i="20" a="1"/>
  <c r="M84" i="20" s="1"/>
  <c r="M85" i="20" a="1"/>
  <c r="M85" i="20" s="1"/>
  <c r="M86" i="20" a="1"/>
  <c r="M86" i="20" s="1"/>
  <c r="M87" i="20" a="1"/>
  <c r="M87" i="20" s="1"/>
  <c r="M88" i="20" a="1"/>
  <c r="M88" i="20" s="1"/>
  <c r="M89" i="20" a="1"/>
  <c r="M89" i="20" s="1"/>
  <c r="M90" i="20" a="1"/>
  <c r="M90" i="20"/>
  <c r="M91" i="20" a="1"/>
  <c r="M91" i="20"/>
  <c r="M92" i="20" a="1"/>
  <c r="M92" i="20" s="1"/>
  <c r="M93" i="20" a="1"/>
  <c r="M93" i="20" s="1"/>
  <c r="M94" i="20" a="1"/>
  <c r="M94" i="20" s="1"/>
  <c r="M95" i="20" a="1"/>
  <c r="M95" i="20" s="1"/>
  <c r="M96" i="20" a="1"/>
  <c r="M96" i="20" s="1"/>
  <c r="M97" i="20" a="1"/>
  <c r="M97" i="20" s="1"/>
  <c r="M98" i="20" a="1"/>
  <c r="M98" i="20" s="1"/>
  <c r="M99" i="20" a="1"/>
  <c r="M99" i="20"/>
  <c r="M100" i="20" a="1"/>
  <c r="M100" i="20"/>
  <c r="M101" i="20" a="1"/>
  <c r="M101" i="20" s="1"/>
  <c r="M102" i="20" a="1"/>
  <c r="M102" i="20" s="1"/>
  <c r="M103" i="20" a="1"/>
  <c r="M103" i="20" s="1"/>
  <c r="M104" i="20" a="1"/>
  <c r="M104" i="20" s="1"/>
  <c r="M105" i="20" a="1"/>
  <c r="M105" i="20" s="1"/>
  <c r="M106" i="20" a="1"/>
  <c r="M106" i="20" s="1"/>
  <c r="M107" i="20" a="1"/>
  <c r="M107" i="20" s="1"/>
  <c r="M108" i="20" a="1"/>
  <c r="M108" i="20" s="1"/>
  <c r="M109" i="20" a="1"/>
  <c r="M109" i="20" s="1"/>
  <c r="M110" i="20" a="1"/>
  <c r="M110" i="20"/>
  <c r="M111" i="20" a="1"/>
  <c r="M111" i="20" s="1"/>
  <c r="M112" i="20" a="1"/>
  <c r="M112" i="20" s="1"/>
  <c r="M113" i="20" a="1"/>
  <c r="M113" i="20"/>
  <c r="M114" i="20" a="1"/>
  <c r="M114" i="20"/>
  <c r="M115" i="20" a="1"/>
  <c r="M115" i="20" s="1"/>
  <c r="M116" i="20" a="1"/>
  <c r="M116" i="20" s="1"/>
  <c r="M117" i="20" a="1"/>
  <c r="M117" i="20" s="1"/>
  <c r="M118" i="20" a="1"/>
  <c r="M118" i="20" s="1"/>
  <c r="M119" i="20" a="1"/>
  <c r="M119" i="20" s="1"/>
  <c r="M120" i="20" a="1"/>
  <c r="M120" i="20" s="1"/>
  <c r="M121" i="20" a="1"/>
  <c r="M121" i="20" s="1"/>
  <c r="M122" i="20" a="1"/>
  <c r="M122" i="20" s="1"/>
  <c r="M123" i="20" a="1"/>
  <c r="M123" i="20" s="1"/>
  <c r="M124" i="20" a="1"/>
  <c r="M124" i="20"/>
  <c r="M125" i="20" a="1"/>
  <c r="M125" i="20" s="1"/>
  <c r="M126" i="20" a="1"/>
  <c r="M126" i="20" s="1"/>
  <c r="M127" i="20" a="1"/>
  <c r="M127" i="20"/>
  <c r="M128" i="20" a="1"/>
  <c r="M128" i="20" s="1"/>
  <c r="M129" i="20" a="1"/>
  <c r="M129" i="20" s="1"/>
  <c r="M130" i="20" a="1"/>
  <c r="M130" i="20" s="1"/>
  <c r="M131" i="20" a="1"/>
  <c r="M131" i="20" s="1"/>
  <c r="M132" i="20" a="1"/>
  <c r="M132" i="20" s="1"/>
  <c r="M133" i="20" a="1"/>
  <c r="M133" i="20" s="1"/>
  <c r="M134" i="20" a="1"/>
  <c r="M134" i="20" s="1"/>
  <c r="M135" i="20" a="1"/>
  <c r="M135" i="20" s="1"/>
  <c r="M136" i="20" a="1"/>
  <c r="M136" i="20" s="1"/>
  <c r="M137" i="20" a="1"/>
  <c r="M137" i="20" s="1"/>
  <c r="M138" i="20" a="1"/>
  <c r="M138" i="20" s="1"/>
  <c r="M139" i="20" a="1"/>
  <c r="M139" i="20" s="1"/>
  <c r="M140" i="20" a="1"/>
  <c r="M140" i="20" s="1"/>
  <c r="M141" i="20" a="1"/>
  <c r="M141" i="20" s="1"/>
  <c r="M142" i="20" a="1"/>
  <c r="M142" i="20" s="1"/>
  <c r="M143" i="20" a="1"/>
  <c r="M143" i="20"/>
  <c r="M144" i="20" a="1"/>
  <c r="M144" i="20" s="1"/>
  <c r="M145" i="20" a="1"/>
  <c r="M145" i="20" s="1"/>
  <c r="M146" i="20" a="1"/>
  <c r="M146" i="20" s="1"/>
  <c r="M147" i="20" a="1"/>
  <c r="M147" i="20" s="1"/>
  <c r="M148" i="20" a="1"/>
  <c r="M148" i="20"/>
  <c r="M149" i="20" a="1"/>
  <c r="M149" i="20" s="1"/>
  <c r="M150" i="20" a="1"/>
  <c r="M150" i="20" s="1"/>
  <c r="M151" i="20" a="1"/>
  <c r="M151" i="20"/>
  <c r="O119" i="20" a="1"/>
  <c r="O119" i="20" s="1"/>
  <c r="P95" i="20" a="1"/>
  <c r="P95" i="20" s="1"/>
  <c r="P119" i="20" a="1"/>
  <c r="P119" i="20" s="1"/>
  <c r="P123" i="20" a="1"/>
  <c r="P123" i="20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S81" i="18" s="1" a="1"/>
  <c r="S81" i="18" s="1"/>
  <c r="M15" i="18"/>
  <c r="T82" i="18" s="1" a="1"/>
  <c r="T82" i="18" s="1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T79" i="18" s="1" a="1"/>
  <c r="T79" i="18" s="1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S94" i="18" s="1" a="1"/>
  <c r="S94" i="18" s="1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T143" i="18" s="1" a="1"/>
  <c r="T143" i="18" s="1"/>
  <c r="M144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M173" i="18"/>
  <c r="M174" i="18"/>
  <c r="M175" i="18"/>
  <c r="T175" i="18" s="1" a="1"/>
  <c r="T175" i="18" s="1"/>
  <c r="M176" i="18"/>
  <c r="M177" i="18"/>
  <c r="M178" i="18"/>
  <c r="M179" i="18"/>
  <c r="M180" i="18"/>
  <c r="M181" i="18"/>
  <c r="M182" i="18"/>
  <c r="M183" i="18"/>
  <c r="M184" i="18"/>
  <c r="M185" i="18"/>
  <c r="M186" i="18"/>
  <c r="M187" i="18"/>
  <c r="M188" i="18"/>
  <c r="M189" i="18"/>
  <c r="M190" i="18"/>
  <c r="M191" i="18"/>
  <c r="M192" i="18"/>
  <c r="M193" i="18"/>
  <c r="M194" i="18"/>
  <c r="M195" i="18"/>
  <c r="M196" i="18"/>
  <c r="M197" i="18"/>
  <c r="M198" i="18"/>
  <c r="M199" i="18"/>
  <c r="M200" i="18"/>
  <c r="M201" i="18"/>
  <c r="M202" i="18"/>
  <c r="M203" i="18"/>
  <c r="M204" i="18"/>
  <c r="M205" i="18"/>
  <c r="M206" i="18"/>
  <c r="M207" i="18"/>
  <c r="T207" i="18" s="1" a="1"/>
  <c r="T207" i="18" s="1"/>
  <c r="M208" i="18"/>
  <c r="M209" i="18"/>
  <c r="M210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25" i="18"/>
  <c r="M226" i="18"/>
  <c r="M227" i="18"/>
  <c r="M228" i="18"/>
  <c r="M229" i="18"/>
  <c r="M230" i="18"/>
  <c r="M231" i="18"/>
  <c r="M232" i="18"/>
  <c r="M233" i="18"/>
  <c r="M234" i="18"/>
  <c r="M235" i="18"/>
  <c r="M236" i="18"/>
  <c r="M237" i="18"/>
  <c r="M238" i="18"/>
  <c r="M239" i="18"/>
  <c r="M240" i="18"/>
  <c r="M241" i="18"/>
  <c r="M242" i="18"/>
  <c r="M243" i="18"/>
  <c r="M244" i="18"/>
  <c r="M245" i="18"/>
  <c r="M246" i="18"/>
  <c r="M247" i="18"/>
  <c r="M248" i="18"/>
  <c r="M249" i="18"/>
  <c r="M250" i="18"/>
  <c r="M251" i="18"/>
  <c r="M252" i="18"/>
  <c r="M253" i="18"/>
  <c r="M254" i="18"/>
  <c r="M255" i="18"/>
  <c r="M256" i="18"/>
  <c r="M257" i="18"/>
  <c r="M258" i="18"/>
  <c r="M259" i="18"/>
  <c r="M260" i="18"/>
  <c r="M261" i="18"/>
  <c r="M262" i="18"/>
  <c r="M263" i="18"/>
  <c r="M264" i="18"/>
  <c r="M265" i="18"/>
  <c r="M266" i="18"/>
  <c r="M267" i="18"/>
  <c r="M268" i="18"/>
  <c r="M269" i="18"/>
  <c r="M270" i="18"/>
  <c r="M271" i="18"/>
  <c r="M272" i="18"/>
  <c r="M273" i="18"/>
  <c r="M274" i="18"/>
  <c r="M275" i="18"/>
  <c r="M276" i="18"/>
  <c r="M277" i="18"/>
  <c r="M278" i="18"/>
  <c r="M279" i="18"/>
  <c r="M280" i="18"/>
  <c r="M281" i="18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N11" i="18" a="1"/>
  <c r="N11" i="18"/>
  <c r="N12" i="18" a="1"/>
  <c r="N12" i="18"/>
  <c r="N13" i="18" a="1"/>
  <c r="N13" i="18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/>
  <c r="N21" i="18" a="1"/>
  <c r="N21" i="18" s="1"/>
  <c r="N22" i="18" a="1"/>
  <c r="N22" i="18" s="1"/>
  <c r="N23" i="18" a="1"/>
  <c r="N23" i="18"/>
  <c r="N24" i="18" a="1"/>
  <c r="N24" i="18" s="1"/>
  <c r="N25" i="18" a="1"/>
  <c r="N25" i="18" s="1"/>
  <c r="N26" i="18" a="1"/>
  <c r="N26" i="18" s="1"/>
  <c r="N27" i="18" a="1"/>
  <c r="N27" i="18" s="1"/>
  <c r="N28" i="18" a="1"/>
  <c r="N28" i="18"/>
  <c r="N29" i="18" a="1"/>
  <c r="N29" i="18"/>
  <c r="N30" i="18" a="1"/>
  <c r="N30" i="18" s="1"/>
  <c r="N31" i="18" a="1"/>
  <c r="N31" i="18" s="1"/>
  <c r="N32" i="18" a="1"/>
  <c r="N32" i="18" s="1"/>
  <c r="N33" i="18" a="1"/>
  <c r="N33" i="18"/>
  <c r="N34" i="18" a="1"/>
  <c r="N34" i="18" s="1"/>
  <c r="N35" i="18" a="1"/>
  <c r="N35" i="18" s="1"/>
  <c r="N36" i="18" a="1"/>
  <c r="N36" i="18" s="1"/>
  <c r="N37" i="18" a="1"/>
  <c r="N37" i="18" s="1"/>
  <c r="N38" i="18" a="1"/>
  <c r="N38" i="18" s="1"/>
  <c r="N39" i="18" a="1"/>
  <c r="N39" i="18"/>
  <c r="N40" i="18" a="1"/>
  <c r="N40" i="18" s="1"/>
  <c r="N41" i="18" a="1"/>
  <c r="N41" i="18"/>
  <c r="N42" i="18" a="1"/>
  <c r="N42" i="18" s="1"/>
  <c r="N43" i="18" a="1"/>
  <c r="N43" i="18"/>
  <c r="N44" i="18" a="1"/>
  <c r="N44" i="18"/>
  <c r="N45" i="18" a="1"/>
  <c r="N45" i="18"/>
  <c r="N46" i="18" a="1"/>
  <c r="N46" i="18" s="1"/>
  <c r="N47" i="18" a="1"/>
  <c r="N47" i="18" s="1"/>
  <c r="N48" i="18" a="1"/>
  <c r="N48" i="18" s="1"/>
  <c r="N49" i="18" a="1"/>
  <c r="N49" i="18"/>
  <c r="N50" i="18" a="1"/>
  <c r="N50" i="18" s="1"/>
  <c r="N51" i="18" a="1"/>
  <c r="N51" i="18" s="1"/>
  <c r="N52" i="18" a="1"/>
  <c r="N52" i="18" s="1"/>
  <c r="N53" i="18" a="1"/>
  <c r="N53" i="18" s="1"/>
  <c r="N54" i="18" a="1"/>
  <c r="N54" i="18" s="1"/>
  <c r="N55" i="18" a="1"/>
  <c r="N55" i="18"/>
  <c r="N56" i="18" a="1"/>
  <c r="N56" i="18" s="1"/>
  <c r="N57" i="18" a="1"/>
  <c r="N57" i="18" s="1"/>
  <c r="N58" i="18" a="1"/>
  <c r="N58" i="18" s="1"/>
  <c r="N59" i="18" a="1"/>
  <c r="N59" i="18" s="1"/>
  <c r="N60" i="18" a="1"/>
  <c r="N60" i="18" s="1"/>
  <c r="N61" i="18" a="1"/>
  <c r="N61" i="18" s="1"/>
  <c r="N62" i="18" a="1"/>
  <c r="N62" i="18" s="1"/>
  <c r="N63" i="18" a="1"/>
  <c r="N63" i="18" s="1"/>
  <c r="N64" i="18" a="1"/>
  <c r="N64" i="18" s="1"/>
  <c r="N65" i="18" a="1"/>
  <c r="N65" i="18"/>
  <c r="N66" i="18" a="1"/>
  <c r="N66" i="18" s="1"/>
  <c r="N67" i="18" a="1"/>
  <c r="N67" i="18" s="1"/>
  <c r="N68" i="18" a="1"/>
  <c r="N68" i="18" s="1"/>
  <c r="N69" i="18" a="1"/>
  <c r="N69" i="18"/>
  <c r="N70" i="18" a="1"/>
  <c r="N70" i="18" s="1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 s="1"/>
  <c r="N79" i="18" a="1"/>
  <c r="N79" i="18"/>
  <c r="N80" i="18" a="1"/>
  <c r="N80" i="18" s="1"/>
  <c r="N81" i="18" a="1"/>
  <c r="N81" i="18" s="1"/>
  <c r="N82" i="18" a="1"/>
  <c r="N82" i="18" s="1"/>
  <c r="N83" i="18" a="1"/>
  <c r="N83" i="18" s="1"/>
  <c r="N84" i="18" a="1"/>
  <c r="N84" i="18" s="1"/>
  <c r="N85" i="18" a="1"/>
  <c r="N85" i="18" s="1"/>
  <c r="N86" i="18" a="1"/>
  <c r="N86" i="18" s="1"/>
  <c r="N87" i="18" a="1"/>
  <c r="N87" i="18" s="1"/>
  <c r="N88" i="18" a="1"/>
  <c r="N88" i="18" s="1"/>
  <c r="N89" i="18" a="1"/>
  <c r="N89" i="18" s="1"/>
  <c r="N90" i="18" a="1"/>
  <c r="N90" i="18" s="1"/>
  <c r="N91" i="18" a="1"/>
  <c r="N91" i="18"/>
  <c r="N92" i="18" a="1"/>
  <c r="N92" i="18"/>
  <c r="N93" i="18" a="1"/>
  <c r="N93" i="18"/>
  <c r="N94" i="18" a="1"/>
  <c r="N94" i="18" s="1"/>
  <c r="N95" i="18" a="1"/>
  <c r="N95" i="18" s="1"/>
  <c r="N96" i="18" a="1"/>
  <c r="N96" i="18" s="1"/>
  <c r="N97" i="18" a="1"/>
  <c r="N97" i="18"/>
  <c r="N98" i="18" a="1"/>
  <c r="N98" i="18" s="1"/>
  <c r="N99" i="18" a="1"/>
  <c r="N99" i="18"/>
  <c r="N100" i="18" a="1"/>
  <c r="N100" i="18"/>
  <c r="N101" i="18" a="1"/>
  <c r="N101" i="18"/>
  <c r="N102" i="18" a="1"/>
  <c r="N102" i="18" s="1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 s="1"/>
  <c r="N108" i="18" a="1"/>
  <c r="N108" i="18" s="1"/>
  <c r="N109" i="18" a="1"/>
  <c r="N109" i="18" s="1"/>
  <c r="N110" i="18" a="1"/>
  <c r="N110" i="18" s="1"/>
  <c r="N111" i="18" a="1"/>
  <c r="N111" i="18"/>
  <c r="N112" i="18" a="1"/>
  <c r="N112" i="18"/>
  <c r="N113" i="18" a="1"/>
  <c r="N113" i="18"/>
  <c r="N114" i="18" a="1"/>
  <c r="N114" i="18"/>
  <c r="N115" i="18" a="1"/>
  <c r="N115" i="18" s="1"/>
  <c r="N116" i="18" a="1"/>
  <c r="N116" i="18" s="1"/>
  <c r="N117" i="18" a="1"/>
  <c r="N117" i="18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/>
  <c r="N125" i="18" a="1"/>
  <c r="N125" i="18" s="1"/>
  <c r="N126" i="18" a="1"/>
  <c r="N126" i="18" s="1"/>
  <c r="N127" i="18" a="1"/>
  <c r="N127" i="18"/>
  <c r="N128" i="18" a="1"/>
  <c r="N128" i="18" s="1"/>
  <c r="N129" i="18" a="1"/>
  <c r="N129" i="18" s="1"/>
  <c r="N130" i="18" a="1"/>
  <c r="N130" i="18"/>
  <c r="N131" i="18" a="1"/>
  <c r="N131" i="18"/>
  <c r="N132" i="18" a="1"/>
  <c r="N132" i="18" s="1"/>
  <c r="N133" i="18" a="1"/>
  <c r="N133" i="18"/>
  <c r="N134" i="18" a="1"/>
  <c r="N134" i="18" s="1"/>
  <c r="N135" i="18" a="1"/>
  <c r="N135" i="18"/>
  <c r="N136" i="18" a="1"/>
  <c r="N136" i="18" s="1"/>
  <c r="N137" i="18" a="1"/>
  <c r="N137" i="18" s="1"/>
  <c r="N138" i="18" a="1"/>
  <c r="N138" i="18" s="1"/>
  <c r="N139" i="18" a="1"/>
  <c r="N139" i="18"/>
  <c r="N140" i="18" a="1"/>
  <c r="N140" i="18" s="1"/>
  <c r="N141" i="18" a="1"/>
  <c r="N141" i="18"/>
  <c r="N142" i="18" a="1"/>
  <c r="N142" i="18" s="1"/>
  <c r="N143" i="18" a="1"/>
  <c r="N143" i="18" s="1"/>
  <c r="N144" i="18" a="1"/>
  <c r="N144" i="18"/>
  <c r="N145" i="18" a="1"/>
  <c r="N145" i="18" s="1"/>
  <c r="N146" i="18" a="1"/>
  <c r="N146" i="18" s="1"/>
  <c r="N147" i="18" a="1"/>
  <c r="N147" i="18" s="1"/>
  <c r="N148" i="18" a="1"/>
  <c r="N148" i="18"/>
  <c r="N149" i="18" a="1"/>
  <c r="N149" i="18" s="1"/>
  <c r="N150" i="18" a="1"/>
  <c r="N150" i="18" s="1"/>
  <c r="N151" i="18" a="1"/>
  <c r="N151" i="18" s="1"/>
  <c r="N152" i="18" a="1"/>
  <c r="N152" i="18"/>
  <c r="N153" i="18" a="1"/>
  <c r="N153" i="18" s="1"/>
  <c r="N154" i="18" a="1"/>
  <c r="N154" i="18" s="1"/>
  <c r="N155" i="18" a="1"/>
  <c r="N155" i="18" s="1"/>
  <c r="N156" i="18" a="1"/>
  <c r="N156" i="18" s="1"/>
  <c r="N157" i="18" a="1"/>
  <c r="N157" i="18" s="1"/>
  <c r="N158" i="18" a="1"/>
  <c r="N158" i="18" s="1"/>
  <c r="N159" i="18" a="1"/>
  <c r="N159" i="18"/>
  <c r="N160" i="18" a="1"/>
  <c r="N160" i="18"/>
  <c r="N161" i="18" a="1"/>
  <c r="N161" i="18" s="1"/>
  <c r="N162" i="18" a="1"/>
  <c r="N162" i="18" s="1"/>
  <c r="N163" i="18" a="1"/>
  <c r="N163" i="18" s="1"/>
  <c r="N164" i="18" a="1"/>
  <c r="N164" i="18" s="1"/>
  <c r="N165" i="18" a="1"/>
  <c r="N165" i="18" s="1"/>
  <c r="N166" i="18" a="1"/>
  <c r="N166" i="18" s="1"/>
  <c r="N167" i="18" a="1"/>
  <c r="N167" i="18" s="1"/>
  <c r="N168" i="18" a="1"/>
  <c r="N168" i="18" s="1"/>
  <c r="N169" i="18" a="1"/>
  <c r="N169" i="18" s="1"/>
  <c r="N170" i="18" a="1"/>
  <c r="N170" i="18" s="1"/>
  <c r="N171" i="18" a="1"/>
  <c r="N171" i="18" s="1"/>
  <c r="N172" i="18" a="1"/>
  <c r="N172" i="18" s="1"/>
  <c r="N173" i="18" a="1"/>
  <c r="N173" i="18" s="1"/>
  <c r="N174" i="18" a="1"/>
  <c r="N174" i="18" s="1"/>
  <c r="N175" i="18" a="1"/>
  <c r="N175" i="18" s="1"/>
  <c r="N176" i="18" a="1"/>
  <c r="N176" i="18" s="1"/>
  <c r="N177" i="18" a="1"/>
  <c r="N177" i="18" s="1"/>
  <c r="N178" i="18" a="1"/>
  <c r="N178" i="18" s="1"/>
  <c r="N179" i="18" a="1"/>
  <c r="N179" i="18"/>
  <c r="N180" i="18" a="1"/>
  <c r="N180" i="18"/>
  <c r="N181" i="18" a="1"/>
  <c r="N181" i="18" s="1"/>
  <c r="N182" i="18" a="1"/>
  <c r="N182" i="18" s="1"/>
  <c r="N183" i="18" a="1"/>
  <c r="N183" i="18" s="1"/>
  <c r="N184" i="18" a="1"/>
  <c r="N184" i="18" s="1"/>
  <c r="N185" i="18" a="1"/>
  <c r="N185" i="18" s="1"/>
  <c r="N186" i="18" a="1"/>
  <c r="N186" i="18" s="1"/>
  <c r="N187" i="18" a="1"/>
  <c r="N187" i="18" s="1"/>
  <c r="N188" i="18" a="1"/>
  <c r="N188" i="18" s="1"/>
  <c r="N189" i="18" a="1"/>
  <c r="N189" i="18" s="1"/>
  <c r="N190" i="18" a="1"/>
  <c r="N190" i="18" s="1"/>
  <c r="N191" i="18" a="1"/>
  <c r="N191" i="18"/>
  <c r="N192" i="18" a="1"/>
  <c r="N192" i="18" s="1"/>
  <c r="N193" i="18" a="1"/>
  <c r="N193" i="18" s="1"/>
  <c r="N194" i="18" a="1"/>
  <c r="N194" i="18"/>
  <c r="N195" i="18" a="1"/>
  <c r="N195" i="18"/>
  <c r="N196" i="18" a="1"/>
  <c r="N196" i="18"/>
  <c r="N197" i="18" a="1"/>
  <c r="N197" i="18"/>
  <c r="N198" i="18" a="1"/>
  <c r="N198" i="18" s="1"/>
  <c r="N199" i="18" a="1"/>
  <c r="N199" i="18" s="1"/>
  <c r="N200" i="18" a="1"/>
  <c r="N200" i="18" s="1"/>
  <c r="N201" i="18" a="1"/>
  <c r="N201" i="18" s="1"/>
  <c r="N202" i="18" a="1"/>
  <c r="N202" i="18" s="1"/>
  <c r="N203" i="18" a="1"/>
  <c r="N203" i="18" s="1"/>
  <c r="N204" i="18" a="1"/>
  <c r="N204" i="18" s="1"/>
  <c r="N205" i="18" a="1"/>
  <c r="N205" i="18" s="1"/>
  <c r="N206" i="18" a="1"/>
  <c r="N206" i="18" s="1"/>
  <c r="N207" i="18" a="1"/>
  <c r="N207" i="18" s="1"/>
  <c r="N208" i="18" a="1"/>
  <c r="N208" i="18" s="1"/>
  <c r="N209" i="18" a="1"/>
  <c r="N209" i="18" s="1"/>
  <c r="N210" i="18" a="1"/>
  <c r="N210" i="18"/>
  <c r="N211" i="18" a="1"/>
  <c r="N211" i="18"/>
  <c r="N212" i="18" a="1"/>
  <c r="N212" i="18" s="1"/>
  <c r="N213" i="18" a="1"/>
  <c r="N213" i="18" s="1"/>
  <c r="N214" i="18" a="1"/>
  <c r="N214" i="18" s="1"/>
  <c r="N215" i="18" a="1"/>
  <c r="N215" i="18" s="1"/>
  <c r="N216" i="18" a="1"/>
  <c r="N216" i="18"/>
  <c r="N217" i="18" a="1"/>
  <c r="N217" i="18" s="1"/>
  <c r="N218" i="18" a="1"/>
  <c r="N218" i="18" s="1"/>
  <c r="N219" i="18" a="1"/>
  <c r="N219" i="18" s="1"/>
  <c r="N220" i="18" a="1"/>
  <c r="N220" i="18" s="1"/>
  <c r="N221" i="18" a="1"/>
  <c r="N221" i="18" s="1"/>
  <c r="N222" i="18" a="1"/>
  <c r="N222" i="18" s="1"/>
  <c r="N223" i="18" a="1"/>
  <c r="N223" i="18" s="1"/>
  <c r="N224" i="18" a="1"/>
  <c r="N224" i="18"/>
  <c r="N225" i="18" a="1"/>
  <c r="N225" i="18" s="1"/>
  <c r="N226" i="18" a="1"/>
  <c r="N226" i="18" s="1"/>
  <c r="N227" i="18" a="1"/>
  <c r="N227" i="18"/>
  <c r="N228" i="18" a="1"/>
  <c r="N228" i="18"/>
  <c r="N229" i="18" a="1"/>
  <c r="N229" i="18"/>
  <c r="N230" i="18" a="1"/>
  <c r="N230" i="18" s="1"/>
  <c r="N231" i="18" a="1"/>
  <c r="N231" i="18" s="1"/>
  <c r="N232" i="18" a="1"/>
  <c r="N232" i="18" s="1"/>
  <c r="N233" i="18" a="1"/>
  <c r="N233" i="18"/>
  <c r="N234" i="18" a="1"/>
  <c r="N234" i="18" s="1"/>
  <c r="N235" i="18" a="1"/>
  <c r="N235" i="18" s="1"/>
  <c r="N236" i="18" a="1"/>
  <c r="N236" i="18" s="1"/>
  <c r="N237" i="18" a="1"/>
  <c r="N237" i="18"/>
  <c r="N238" i="18" a="1"/>
  <c r="N238" i="18" s="1"/>
  <c r="N239" i="18" a="1"/>
  <c r="N239" i="18" s="1"/>
  <c r="N240" i="18" a="1"/>
  <c r="N240" i="18" s="1"/>
  <c r="N241" i="18" a="1"/>
  <c r="N241" i="18" s="1"/>
  <c r="N242" i="18" a="1"/>
  <c r="N242" i="18" s="1"/>
  <c r="N243" i="18" a="1"/>
  <c r="N243" i="18" s="1"/>
  <c r="N244" i="18" a="1"/>
  <c r="N244" i="18" s="1"/>
  <c r="N245" i="18" a="1"/>
  <c r="N245" i="18" s="1"/>
  <c r="N246" i="18" a="1"/>
  <c r="N246" i="18" s="1"/>
  <c r="N247" i="18" a="1"/>
  <c r="N247" i="18" s="1"/>
  <c r="N248" i="18" a="1"/>
  <c r="N248" i="18" s="1"/>
  <c r="N249" i="18" a="1"/>
  <c r="N249" i="18" s="1"/>
  <c r="N250" i="18" a="1"/>
  <c r="N250" i="18"/>
  <c r="N251" i="18" a="1"/>
  <c r="N251" i="18" s="1"/>
  <c r="N252" i="18" a="1"/>
  <c r="N252" i="18" s="1"/>
  <c r="N253" i="18" a="1"/>
  <c r="N253" i="18" s="1"/>
  <c r="N254" i="18" a="1"/>
  <c r="N254" i="18" s="1"/>
  <c r="N255" i="18" a="1"/>
  <c r="N255" i="18"/>
  <c r="N256" i="18" a="1"/>
  <c r="N256" i="18" s="1"/>
  <c r="N257" i="18" a="1"/>
  <c r="N257" i="18" s="1"/>
  <c r="N258" i="18" a="1"/>
  <c r="N258" i="18"/>
  <c r="N259" i="18" a="1"/>
  <c r="N259" i="18"/>
  <c r="N260" i="18" a="1"/>
  <c r="N260" i="18" s="1"/>
  <c r="N261" i="18" a="1"/>
  <c r="N261" i="18" s="1"/>
  <c r="N262" i="18" a="1"/>
  <c r="N262" i="18" s="1"/>
  <c r="N263" i="18" a="1"/>
  <c r="N263" i="18"/>
  <c r="N264" i="18" a="1"/>
  <c r="N264" i="18" s="1"/>
  <c r="N265" i="18" a="1"/>
  <c r="N265" i="18" s="1"/>
  <c r="N266" i="18" a="1"/>
  <c r="N266" i="18" s="1"/>
  <c r="N267" i="18" a="1"/>
  <c r="N267" i="18"/>
  <c r="N268" i="18" a="1"/>
  <c r="N268" i="18" s="1"/>
  <c r="N269" i="18" a="1"/>
  <c r="N269" i="18" s="1"/>
  <c r="N270" i="18" a="1"/>
  <c r="N270" i="18" s="1"/>
  <c r="N271" i="18" a="1"/>
  <c r="N271" i="18"/>
  <c r="N272" i="18" a="1"/>
  <c r="N272" i="18"/>
  <c r="N273" i="18" a="1"/>
  <c r="N273" i="18"/>
  <c r="N274" i="18" a="1"/>
  <c r="N274" i="18"/>
  <c r="N275" i="18" a="1"/>
  <c r="N275" i="18"/>
  <c r="N276" i="18" a="1"/>
  <c r="N276" i="18" s="1"/>
  <c r="N277" i="18" a="1"/>
  <c r="N277" i="18" s="1"/>
  <c r="N278" i="18" a="1"/>
  <c r="N278" i="18" s="1"/>
  <c r="N279" i="18" a="1"/>
  <c r="N279" i="18" s="1"/>
  <c r="N280" i="18" a="1"/>
  <c r="N280" i="18" s="1"/>
  <c r="N281" i="18" a="1"/>
  <c r="N281" i="18" s="1"/>
  <c r="P40" i="18" a="1"/>
  <c r="P40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Q7" i="18" a="1"/>
  <c r="Q7" i="18"/>
  <c r="Q8" i="18" a="1"/>
  <c r="Q8" i="18" s="1"/>
  <c r="Q9" i="18" a="1"/>
  <c r="Q9" i="18" s="1"/>
  <c r="Q10" i="18" a="1"/>
  <c r="Q10" i="18" s="1"/>
  <c r="Q11" i="18" a="1"/>
  <c r="Q11" i="18" s="1"/>
  <c r="Q12" i="18" a="1"/>
  <c r="Q12" i="18" s="1"/>
  <c r="Q13" i="18" a="1"/>
  <c r="Q13" i="18"/>
  <c r="Q14" i="18" a="1"/>
  <c r="Q14" i="18" s="1"/>
  <c r="Q15" i="18" a="1"/>
  <c r="Q15" i="18"/>
  <c r="Q16" i="18" a="1"/>
  <c r="Q16" i="18" s="1"/>
  <c r="Q17" i="18" a="1"/>
  <c r="Q17" i="18"/>
  <c r="Q18" i="18" a="1"/>
  <c r="Q18" i="18" s="1"/>
  <c r="Q19" i="18" a="1"/>
  <c r="Q19" i="18" s="1"/>
  <c r="Q20" i="18" a="1"/>
  <c r="Q20" i="18"/>
  <c r="Q21" i="18" a="1"/>
  <c r="Q21" i="18" s="1"/>
  <c r="Q22" i="18" a="1"/>
  <c r="Q22" i="18" s="1"/>
  <c r="Q23" i="18" a="1"/>
  <c r="Q23" i="18" s="1"/>
  <c r="Q24" i="18" a="1"/>
  <c r="Q24" i="18" s="1"/>
  <c r="Q25" i="18" a="1"/>
  <c r="Q25" i="18" s="1"/>
  <c r="Q26" i="18" a="1"/>
  <c r="Q26" i="18" s="1"/>
  <c r="Q27" i="18" a="1"/>
  <c r="Q27" i="18" s="1"/>
  <c r="Q28" i="18" a="1"/>
  <c r="Q28" i="18" s="1"/>
  <c r="Q29" i="18" a="1"/>
  <c r="Q29" i="18" s="1"/>
  <c r="Q30" i="18" a="1"/>
  <c r="Q30" i="18"/>
  <c r="Q31" i="18" a="1"/>
  <c r="Q31" i="18" s="1"/>
  <c r="Q32" i="18" a="1"/>
  <c r="Q32" i="18" s="1"/>
  <c r="Q33" i="18" a="1"/>
  <c r="Q33" i="18"/>
  <c r="Q34" i="18" a="1"/>
  <c r="Q34" i="18"/>
  <c r="Q35" i="18" a="1"/>
  <c r="Q35" i="18" s="1"/>
  <c r="Q36" i="18" a="1"/>
  <c r="Q36" i="18" s="1"/>
  <c r="Q37" i="18" a="1"/>
  <c r="Q37" i="18" s="1"/>
  <c r="Q38" i="18" a="1"/>
  <c r="Q38" i="18" s="1"/>
  <c r="Q39" i="18" a="1"/>
  <c r="Q39" i="18" s="1"/>
  <c r="Q40" i="18" a="1"/>
  <c r="Q40" i="18" s="1"/>
  <c r="Q41" i="18" a="1"/>
  <c r="Q41" i="18"/>
  <c r="Q42" i="18" a="1"/>
  <c r="Q42" i="18" s="1"/>
  <c r="Q43" i="18" a="1"/>
  <c r="Q43" i="18"/>
  <c r="Q44" i="18" a="1"/>
  <c r="Q44" i="18" s="1"/>
  <c r="Q45" i="18" a="1"/>
  <c r="Q45" i="18" s="1"/>
  <c r="Q46" i="18" a="1"/>
  <c r="Q46" i="18" s="1"/>
  <c r="Q47" i="18" a="1"/>
  <c r="Q47" i="18" s="1"/>
  <c r="Q48" i="18" a="1"/>
  <c r="Q48" i="18" s="1"/>
  <c r="Q49" i="18" a="1"/>
  <c r="Q49" i="18" s="1"/>
  <c r="Q50" i="18" a="1"/>
  <c r="Q50" i="18"/>
  <c r="Q51" i="18" a="1"/>
  <c r="Q51" i="18" s="1"/>
  <c r="Q52" i="18" a="1"/>
  <c r="Q52" i="18" s="1"/>
  <c r="Q53" i="18" a="1"/>
  <c r="Q53" i="18"/>
  <c r="Q54" i="18" a="1"/>
  <c r="Q54" i="18" s="1"/>
  <c r="Q55" i="18" a="1"/>
  <c r="Q55" i="18"/>
  <c r="Q56" i="18" a="1"/>
  <c r="Q56" i="18" s="1"/>
  <c r="Q57" i="18" a="1"/>
  <c r="Q57" i="18"/>
  <c r="Q58" i="18" a="1"/>
  <c r="Q58" i="18" s="1"/>
  <c r="Q59" i="18" a="1"/>
  <c r="Q59" i="18" s="1"/>
  <c r="Q60" i="18" a="1"/>
  <c r="Q60" i="18"/>
  <c r="Q61" i="18" a="1"/>
  <c r="Q61" i="18" s="1"/>
  <c r="Q62" i="18" a="1"/>
  <c r="Q62" i="18" s="1"/>
  <c r="Q63" i="18" a="1"/>
  <c r="Q63" i="18" s="1"/>
  <c r="Q64" i="18" a="1"/>
  <c r="Q64" i="18" s="1"/>
  <c r="Q65" i="18" a="1"/>
  <c r="Q65" i="18" s="1"/>
  <c r="Q66" i="18" a="1"/>
  <c r="Q66" i="18"/>
  <c r="Q67" i="18" a="1"/>
  <c r="Q67" i="18" s="1"/>
  <c r="Q68" i="18" a="1"/>
  <c r="Q68" i="18"/>
  <c r="Q69" i="18" a="1"/>
  <c r="Q69" i="18" s="1"/>
  <c r="Q70" i="18" a="1"/>
  <c r="Q70" i="18" s="1"/>
  <c r="Q71" i="18" a="1"/>
  <c r="Q71" i="18" s="1"/>
  <c r="Q72" i="18" a="1"/>
  <c r="Q72" i="18" s="1"/>
  <c r="Q73" i="18" a="1"/>
  <c r="Q73" i="18" s="1"/>
  <c r="Q74" i="18" a="1"/>
  <c r="Q74" i="18"/>
  <c r="Q75" i="18" a="1"/>
  <c r="Q75" i="18" s="1"/>
  <c r="Q76" i="18" a="1"/>
  <c r="Q76" i="18" s="1"/>
  <c r="Q77" i="18" a="1"/>
  <c r="Q77" i="18" s="1"/>
  <c r="Q78" i="18" a="1"/>
  <c r="Q78" i="18"/>
  <c r="Q79" i="18" a="1"/>
  <c r="Q79" i="18" s="1"/>
  <c r="Q80" i="18" a="1"/>
  <c r="Q80" i="18" s="1"/>
  <c r="Q81" i="18" a="1"/>
  <c r="Q81" i="18" s="1"/>
  <c r="Q82" i="18" a="1"/>
  <c r="Q82" i="18" s="1"/>
  <c r="Q83" i="18" a="1"/>
  <c r="Q83" i="18"/>
  <c r="Q84" i="18" a="1"/>
  <c r="Q84" i="18" s="1"/>
  <c r="Q85" i="18" a="1"/>
  <c r="Q85" i="18" s="1"/>
  <c r="Q86" i="18" a="1"/>
  <c r="Q86" i="18" s="1"/>
  <c r="Q87" i="18" a="1"/>
  <c r="Q87" i="18" s="1"/>
  <c r="Q88" i="18" a="1"/>
  <c r="Q88" i="18" s="1"/>
  <c r="Q89" i="18" a="1"/>
  <c r="Q89" i="18" s="1"/>
  <c r="Q90" i="18" a="1"/>
  <c r="Q90" i="18" s="1"/>
  <c r="Q91" i="18" a="1"/>
  <c r="Q91" i="18" s="1"/>
  <c r="Q92" i="18" a="1"/>
  <c r="Q92" i="18"/>
  <c r="Q93" i="18" a="1"/>
  <c r="Q93" i="18" s="1"/>
  <c r="Q94" i="18" a="1"/>
  <c r="Q94" i="18" s="1"/>
  <c r="Q95" i="18" a="1"/>
  <c r="Q95" i="18" s="1"/>
  <c r="Q96" i="18" a="1"/>
  <c r="Q96" i="18" s="1"/>
  <c r="Q97" i="18" a="1"/>
  <c r="Q97" i="18" s="1"/>
  <c r="Q98" i="18" a="1"/>
  <c r="Q98" i="18" s="1"/>
  <c r="Q99" i="18" a="1"/>
  <c r="Q99" i="18" s="1"/>
  <c r="Q100" i="18" a="1"/>
  <c r="Q100" i="18" s="1"/>
  <c r="Q101" i="18" a="1"/>
  <c r="Q101" i="18" s="1"/>
  <c r="Q102" i="18" a="1"/>
  <c r="Q102" i="18" s="1"/>
  <c r="Q103" i="18" a="1"/>
  <c r="Q103" i="18" s="1"/>
  <c r="Q104" i="18" a="1"/>
  <c r="Q104" i="18" s="1"/>
  <c r="Q105" i="18" a="1"/>
  <c r="Q105" i="18" s="1"/>
  <c r="Q106" i="18" a="1"/>
  <c r="Q106" i="18" s="1"/>
  <c r="Q107" i="18" a="1"/>
  <c r="Q107" i="18" s="1"/>
  <c r="Q108" i="18" a="1"/>
  <c r="Q108" i="18" s="1"/>
  <c r="Q109" i="18" a="1"/>
  <c r="Q109" i="18" s="1"/>
  <c r="Q110" i="18" a="1"/>
  <c r="Q110" i="18" s="1"/>
  <c r="Q111" i="18" a="1"/>
  <c r="Q111" i="18" s="1"/>
  <c r="Q112" i="18" a="1"/>
  <c r="Q112" i="18" s="1"/>
  <c r="Q113" i="18" a="1"/>
  <c r="Q113" i="18"/>
  <c r="Q114" i="18" a="1"/>
  <c r="Q114" i="18" s="1"/>
  <c r="Q115" i="18" a="1"/>
  <c r="Q115" i="18" s="1"/>
  <c r="Q116" i="18" a="1"/>
  <c r="Q116" i="18" s="1"/>
  <c r="Q117" i="18" a="1"/>
  <c r="Q117" i="18" s="1"/>
  <c r="Q118" i="18" a="1"/>
  <c r="Q118" i="18" s="1"/>
  <c r="Q119" i="18" a="1"/>
  <c r="Q119" i="18" s="1"/>
  <c r="Q120" i="18" a="1"/>
  <c r="Q120" i="18" s="1"/>
  <c r="Q121" i="18" a="1"/>
  <c r="Q121" i="18" s="1"/>
  <c r="Q122" i="18" a="1"/>
  <c r="Q122" i="18"/>
  <c r="Q123" i="18" a="1"/>
  <c r="Q123" i="18" s="1"/>
  <c r="Q124" i="18" a="1"/>
  <c r="Q124" i="18" s="1"/>
  <c r="Q125" i="18" a="1"/>
  <c r="Q125" i="18" s="1"/>
  <c r="Q126" i="18" a="1"/>
  <c r="Q126" i="18" s="1"/>
  <c r="Q127" i="18" a="1"/>
  <c r="Q127" i="18" s="1"/>
  <c r="Q128" i="18" a="1"/>
  <c r="Q128" i="18" s="1"/>
  <c r="Q129" i="18" a="1"/>
  <c r="Q129" i="18" s="1"/>
  <c r="Q130" i="18" a="1"/>
  <c r="Q130" i="18" s="1"/>
  <c r="Q131" i="18" a="1"/>
  <c r="Q131" i="18" s="1"/>
  <c r="Q132" i="18" a="1"/>
  <c r="Q132" i="18" s="1"/>
  <c r="Q133" i="18" a="1"/>
  <c r="Q133" i="18" s="1"/>
  <c r="Q134" i="18" a="1"/>
  <c r="Q134" i="18" s="1"/>
  <c r="Q135" i="18" a="1"/>
  <c r="Q135" i="18" s="1"/>
  <c r="Q136" i="18" a="1"/>
  <c r="Q136" i="18" s="1"/>
  <c r="Q137" i="18" a="1"/>
  <c r="Q137" i="18" s="1"/>
  <c r="Q138" i="18" a="1"/>
  <c r="Q138" i="18" s="1"/>
  <c r="Q139" i="18" a="1"/>
  <c r="Q139" i="18"/>
  <c r="Q140" i="18" a="1"/>
  <c r="Q140" i="18" s="1"/>
  <c r="Q141" i="18" a="1"/>
  <c r="Q141" i="18" s="1"/>
  <c r="Q142" i="18" a="1"/>
  <c r="Q142" i="18" s="1"/>
  <c r="Q143" i="18" a="1"/>
  <c r="Q143" i="18"/>
  <c r="Q144" i="18" a="1"/>
  <c r="Q144" i="18" s="1"/>
  <c r="Q145" i="18" a="1"/>
  <c r="Q145" i="18"/>
  <c r="Q146" i="18" a="1"/>
  <c r="Q146" i="18" s="1"/>
  <c r="Q147" i="18" a="1"/>
  <c r="Q147" i="18" s="1"/>
  <c r="Q148" i="18" a="1"/>
  <c r="Q148" i="18"/>
  <c r="Q149" i="18" a="1"/>
  <c r="Q149" i="18" s="1"/>
  <c r="Q150" i="18" a="1"/>
  <c r="Q150" i="18" s="1"/>
  <c r="Q151" i="18" a="1"/>
  <c r="Q151" i="18" s="1"/>
  <c r="Q152" i="18" a="1"/>
  <c r="Q152" i="18" s="1"/>
  <c r="Q153" i="18" a="1"/>
  <c r="Q153" i="18" s="1"/>
  <c r="Q154" i="18" a="1"/>
  <c r="Q154" i="18" s="1"/>
  <c r="Q155" i="18" a="1"/>
  <c r="Q155" i="18" s="1"/>
  <c r="Q156" i="18" a="1"/>
  <c r="Q156" i="18" s="1"/>
  <c r="Q157" i="18" a="1"/>
  <c r="Q157" i="18" s="1"/>
  <c r="Q158" i="18" a="1"/>
  <c r="Q158" i="18" s="1"/>
  <c r="Q159" i="18" a="1"/>
  <c r="Q159" i="18" s="1"/>
  <c r="Q160" i="18" a="1"/>
  <c r="Q160" i="18" s="1"/>
  <c r="Q161" i="18" a="1"/>
  <c r="Q161" i="18"/>
  <c r="Q162" i="18" a="1"/>
  <c r="Q162" i="18" s="1"/>
  <c r="Q163" i="18" a="1"/>
  <c r="Q163" i="18" s="1"/>
  <c r="Q164" i="18" a="1"/>
  <c r="Q164" i="18"/>
  <c r="Q165" i="18" a="1"/>
  <c r="Q165" i="18" s="1"/>
  <c r="Q166" i="18" a="1"/>
  <c r="Q166" i="18" s="1"/>
  <c r="Q167" i="18" a="1"/>
  <c r="Q167" i="18" s="1"/>
  <c r="Q168" i="18" a="1"/>
  <c r="Q168" i="18" s="1"/>
  <c r="Q169" i="18" a="1"/>
  <c r="Q169" i="18" s="1"/>
  <c r="Q170" i="18" a="1"/>
  <c r="Q170" i="18" s="1"/>
  <c r="Q171" i="18" a="1"/>
  <c r="Q171" i="18"/>
  <c r="Q172" i="18" a="1"/>
  <c r="Q172" i="18" s="1"/>
  <c r="Q173" i="18" a="1"/>
  <c r="Q173" i="18" s="1"/>
  <c r="Q174" i="18" a="1"/>
  <c r="Q174" i="18"/>
  <c r="Q175" i="18" a="1"/>
  <c r="Q175" i="18" s="1"/>
  <c r="Q176" i="18" a="1"/>
  <c r="Q176" i="18" s="1"/>
  <c r="Q177" i="18" a="1"/>
  <c r="Q177" i="18" s="1"/>
  <c r="Q178" i="18" a="1"/>
  <c r="Q178" i="18" s="1"/>
  <c r="Q179" i="18" a="1"/>
  <c r="Q179" i="18" s="1"/>
  <c r="Q180" i="18" a="1"/>
  <c r="Q180" i="18"/>
  <c r="Q181" i="18" a="1"/>
  <c r="Q181" i="18" s="1"/>
  <c r="Q182" i="18" a="1"/>
  <c r="Q182" i="18" s="1"/>
  <c r="Q183" i="18" a="1"/>
  <c r="Q183" i="18" s="1"/>
  <c r="Q184" i="18" a="1"/>
  <c r="Q184" i="18" s="1"/>
  <c r="Q185" i="18" a="1"/>
  <c r="Q185" i="18"/>
  <c r="Q186" i="18" a="1"/>
  <c r="Q186" i="18" s="1"/>
  <c r="Q187" i="18" a="1"/>
  <c r="Q187" i="18" s="1"/>
  <c r="Q188" i="18" a="1"/>
  <c r="Q188" i="18" s="1"/>
  <c r="Q189" i="18" a="1"/>
  <c r="Q189" i="18"/>
  <c r="Q190" i="18" a="1"/>
  <c r="Q190" i="18" s="1"/>
  <c r="Q191" i="18" a="1"/>
  <c r="Q191" i="18" s="1"/>
  <c r="Q192" i="18" a="1"/>
  <c r="Q192" i="18" s="1"/>
  <c r="Q193" i="18" a="1"/>
  <c r="Q193" i="18" s="1"/>
  <c r="Q194" i="18" a="1"/>
  <c r="Q194" i="18"/>
  <c r="Q195" i="18" a="1"/>
  <c r="Q195" i="18" s="1"/>
  <c r="Q196" i="18" a="1"/>
  <c r="Q196" i="18" s="1"/>
  <c r="Q197" i="18" a="1"/>
  <c r="Q197" i="18"/>
  <c r="Q198" i="18" a="1"/>
  <c r="Q198" i="18" s="1"/>
  <c r="Q199" i="18" a="1"/>
  <c r="Q199" i="18" s="1"/>
  <c r="Q200" i="18" a="1"/>
  <c r="Q200" i="18" s="1"/>
  <c r="Q201" i="18" a="1"/>
  <c r="Q201" i="18"/>
  <c r="Q202" i="18" a="1"/>
  <c r="Q202" i="18" s="1"/>
  <c r="Q203" i="18" a="1"/>
  <c r="Q203" i="18" s="1"/>
  <c r="Q204" i="18" a="1"/>
  <c r="Q204" i="18" s="1"/>
  <c r="Q205" i="18" a="1"/>
  <c r="Q205" i="18"/>
  <c r="Q206" i="18" a="1"/>
  <c r="Q206" i="18"/>
  <c r="Q207" i="18" a="1"/>
  <c r="Q207" i="18" s="1"/>
  <c r="Q208" i="18" a="1"/>
  <c r="Q208" i="18" s="1"/>
  <c r="Q209" i="18" a="1"/>
  <c r="Q209" i="18" s="1"/>
  <c r="Q210" i="18" a="1"/>
  <c r="Q210" i="18"/>
  <c r="Q211" i="18" a="1"/>
  <c r="Q211" i="18" s="1"/>
  <c r="Q212" i="18" a="1"/>
  <c r="Q212" i="18" s="1"/>
  <c r="Q213" i="18" a="1"/>
  <c r="Q213" i="18"/>
  <c r="Q214" i="18" a="1"/>
  <c r="Q214" i="18" s="1"/>
  <c r="Q215" i="18" a="1"/>
  <c r="Q215" i="18" s="1"/>
  <c r="Q216" i="18" a="1"/>
  <c r="Q216" i="18" s="1"/>
  <c r="Q217" i="18" a="1"/>
  <c r="Q217" i="18"/>
  <c r="Q218" i="18" a="1"/>
  <c r="Q218" i="18" s="1"/>
  <c r="Q219" i="18" a="1"/>
  <c r="Q219" i="18" s="1"/>
  <c r="Q220" i="18" a="1"/>
  <c r="Q220" i="18"/>
  <c r="Q221" i="18" a="1"/>
  <c r="Q221" i="18" s="1"/>
  <c r="Q222" i="18" a="1"/>
  <c r="Q222" i="18" s="1"/>
  <c r="Q223" i="18" a="1"/>
  <c r="Q223" i="18" s="1"/>
  <c r="Q224" i="18" a="1"/>
  <c r="Q224" i="18" s="1"/>
  <c r="Q225" i="18" a="1"/>
  <c r="Q225" i="18" s="1"/>
  <c r="Q226" i="18" a="1"/>
  <c r="Q226" i="18" s="1"/>
  <c r="Q227" i="18" a="1"/>
  <c r="Q227" i="18" s="1"/>
  <c r="Q228" i="18" a="1"/>
  <c r="Q228" i="18" s="1"/>
  <c r="Q229" i="18" a="1"/>
  <c r="Q229" i="18" s="1"/>
  <c r="Q230" i="18" a="1"/>
  <c r="Q230" i="18" s="1"/>
  <c r="Q231" i="18" a="1"/>
  <c r="Q231" i="18" s="1"/>
  <c r="Q232" i="18" a="1"/>
  <c r="Q232" i="18" s="1"/>
  <c r="Q233" i="18" a="1"/>
  <c r="Q233" i="18" s="1"/>
  <c r="Q234" i="18" a="1"/>
  <c r="Q234" i="18" s="1"/>
  <c r="Q235" i="18" a="1"/>
  <c r="Q235" i="18" s="1"/>
  <c r="Q236" i="18" a="1"/>
  <c r="Q236" i="18"/>
  <c r="Q237" i="18" a="1"/>
  <c r="Q237" i="18" s="1"/>
  <c r="Q238" i="18" a="1"/>
  <c r="Q238" i="18" s="1"/>
  <c r="Q239" i="18" a="1"/>
  <c r="Q239" i="18" s="1"/>
  <c r="Q240" i="18" a="1"/>
  <c r="Q240" i="18"/>
  <c r="Q241" i="18" a="1"/>
  <c r="Q241" i="18" s="1"/>
  <c r="Q242" i="18" a="1"/>
  <c r="Q242" i="18" s="1"/>
  <c r="Q243" i="18" a="1"/>
  <c r="Q243" i="18" s="1"/>
  <c r="Q244" i="18" a="1"/>
  <c r="Q244" i="18" s="1"/>
  <c r="Q245" i="18" a="1"/>
  <c r="Q245" i="18" s="1"/>
  <c r="Q246" i="18" a="1"/>
  <c r="Q246" i="18" s="1"/>
  <c r="Q247" i="18" a="1"/>
  <c r="Q247" i="18" s="1"/>
  <c r="Q248" i="18" a="1"/>
  <c r="Q248" i="18" s="1"/>
  <c r="Q249" i="18" a="1"/>
  <c r="Q249" i="18" s="1"/>
  <c r="Q250" i="18" a="1"/>
  <c r="Q250" i="18"/>
  <c r="Q251" i="18" a="1"/>
  <c r="Q251" i="18" s="1"/>
  <c r="Q252" i="18" a="1"/>
  <c r="Q252" i="18" s="1"/>
  <c r="Q253" i="18" a="1"/>
  <c r="Q253" i="18" s="1"/>
  <c r="Q254" i="18" a="1"/>
  <c r="Q254" i="18" s="1"/>
  <c r="Q255" i="18" a="1"/>
  <c r="Q255" i="18" s="1"/>
  <c r="Q256" i="18" a="1"/>
  <c r="Q256" i="18" s="1"/>
  <c r="Q257" i="18" a="1"/>
  <c r="Q257" i="18"/>
  <c r="Q258" i="18" a="1"/>
  <c r="Q258" i="18"/>
  <c r="Q259" i="18" a="1"/>
  <c r="Q259" i="18" s="1"/>
  <c r="Q260" i="18" a="1"/>
  <c r="Q260" i="18" s="1"/>
  <c r="Q261" i="18" a="1"/>
  <c r="Q261" i="18"/>
  <c r="Q262" i="18" a="1"/>
  <c r="Q262" i="18" s="1"/>
  <c r="Q263" i="18" a="1"/>
  <c r="Q263" i="18" s="1"/>
  <c r="Q264" i="18" a="1"/>
  <c r="Q264" i="18" s="1"/>
  <c r="Q265" i="18" a="1"/>
  <c r="Q265" i="18" s="1"/>
  <c r="Q266" i="18" a="1"/>
  <c r="Q266" i="18" s="1"/>
  <c r="Q267" i="18" a="1"/>
  <c r="Q267" i="18" s="1"/>
  <c r="Q268" i="18" a="1"/>
  <c r="Q268" i="18" s="1"/>
  <c r="Q269" i="18" a="1"/>
  <c r="Q269" i="18" s="1"/>
  <c r="Q270" i="18" a="1"/>
  <c r="Q270" i="18" s="1"/>
  <c r="Q271" i="18" a="1"/>
  <c r="Q271" i="18" s="1"/>
  <c r="Q272" i="18" a="1"/>
  <c r="Q272" i="18"/>
  <c r="Q273" i="18" a="1"/>
  <c r="Q273" i="18" s="1"/>
  <c r="Q274" i="18" a="1"/>
  <c r="Q274" i="18"/>
  <c r="Q275" i="18" a="1"/>
  <c r="Q275" i="18"/>
  <c r="Q276" i="18" a="1"/>
  <c r="Q276" i="18" s="1"/>
  <c r="Q277" i="18" a="1"/>
  <c r="Q277" i="18" s="1"/>
  <c r="Q278" i="18" a="1"/>
  <c r="Q278" i="18" s="1"/>
  <c r="Q279" i="18" a="1"/>
  <c r="Q279" i="18" s="1"/>
  <c r="Q280" i="18" a="1"/>
  <c r="Q280" i="18" s="1"/>
  <c r="Q281" i="18" a="1"/>
  <c r="Q281" i="18" s="1"/>
  <c r="S189" i="18" a="1"/>
  <c r="S189" i="18" s="1"/>
  <c r="T85" i="18" a="1"/>
  <c r="T85" i="18" s="1"/>
  <c r="T124" i="18" a="1"/>
  <c r="T124" i="18" s="1"/>
  <c r="T156" i="18" a="1"/>
  <c r="T156" i="18" s="1"/>
  <c r="T181" i="18" a="1"/>
  <c r="T181" i="18" s="1"/>
  <c r="T208" i="18" a="1"/>
  <c r="T208" i="18" s="1"/>
  <c r="T230" i="18" a="1"/>
  <c r="T230" i="18" s="1"/>
  <c r="T271" i="18" a="1"/>
  <c r="T271" i="18" s="1"/>
  <c r="L2" i="17"/>
  <c r="L12" i="17"/>
  <c r="L22" i="17"/>
  <c r="L32" i="17"/>
  <c r="L33" i="17"/>
  <c r="L34" i="17"/>
  <c r="L35" i="17"/>
  <c r="L36" i="17"/>
  <c r="L37" i="17"/>
  <c r="L92" i="17"/>
  <c r="L93" i="17"/>
  <c r="L94" i="17"/>
  <c r="L95" i="17"/>
  <c r="L96" i="17"/>
  <c r="L97" i="17"/>
  <c r="L152" i="17"/>
  <c r="L162" i="17"/>
  <c r="L172" i="17"/>
  <c r="L182" i="17"/>
  <c r="L192" i="17"/>
  <c r="L202" i="17"/>
  <c r="L212" i="17"/>
  <c r="L222" i="17"/>
  <c r="L232" i="17"/>
  <c r="L3" i="17"/>
  <c r="L13" i="17"/>
  <c r="L23" i="17"/>
  <c r="L38" i="17"/>
  <c r="L39" i="17"/>
  <c r="L40" i="17"/>
  <c r="L41" i="17"/>
  <c r="L42" i="17"/>
  <c r="L43" i="17"/>
  <c r="L98" i="17"/>
  <c r="L99" i="17"/>
  <c r="L100" i="17"/>
  <c r="L101" i="17"/>
  <c r="L102" i="17"/>
  <c r="L103" i="17"/>
  <c r="L153" i="17"/>
  <c r="L163" i="17"/>
  <c r="L173" i="17"/>
  <c r="L183" i="17"/>
  <c r="L193" i="17"/>
  <c r="L203" i="17"/>
  <c r="L213" i="17"/>
  <c r="L223" i="17"/>
  <c r="L233" i="17"/>
  <c r="L4" i="17"/>
  <c r="L14" i="17"/>
  <c r="L24" i="17"/>
  <c r="L44" i="17"/>
  <c r="L45" i="17"/>
  <c r="L46" i="17"/>
  <c r="L47" i="17"/>
  <c r="L48" i="17"/>
  <c r="L49" i="17"/>
  <c r="L104" i="17"/>
  <c r="L105" i="17"/>
  <c r="L106" i="17"/>
  <c r="L107" i="17"/>
  <c r="L108" i="17"/>
  <c r="L109" i="17"/>
  <c r="L154" i="17"/>
  <c r="L164" i="17"/>
  <c r="L174" i="17"/>
  <c r="L184" i="17"/>
  <c r="L194" i="17"/>
  <c r="L204" i="17"/>
  <c r="L214" i="17"/>
  <c r="L224" i="17"/>
  <c r="L234" i="17"/>
  <c r="L5" i="17"/>
  <c r="L15" i="17"/>
  <c r="L25" i="17"/>
  <c r="L50" i="17"/>
  <c r="L51" i="17"/>
  <c r="L52" i="17"/>
  <c r="L53" i="17"/>
  <c r="L54" i="17"/>
  <c r="L55" i="17"/>
  <c r="L110" i="17"/>
  <c r="L111" i="17"/>
  <c r="L112" i="17"/>
  <c r="L113" i="17"/>
  <c r="L114" i="17"/>
  <c r="L115" i="17"/>
  <c r="L155" i="17"/>
  <c r="L165" i="17"/>
  <c r="L175" i="17"/>
  <c r="L185" i="17"/>
  <c r="L195" i="17"/>
  <c r="L205" i="17"/>
  <c r="L215" i="17"/>
  <c r="L225" i="17"/>
  <c r="L235" i="17"/>
  <c r="L6" i="17"/>
  <c r="L16" i="17"/>
  <c r="L26" i="17"/>
  <c r="L56" i="17"/>
  <c r="L57" i="17"/>
  <c r="L58" i="17"/>
  <c r="L59" i="17"/>
  <c r="L60" i="17"/>
  <c r="L61" i="17"/>
  <c r="L116" i="17"/>
  <c r="L117" i="17"/>
  <c r="L118" i="17"/>
  <c r="L119" i="17"/>
  <c r="L120" i="17"/>
  <c r="L121" i="17"/>
  <c r="L156" i="17"/>
  <c r="L166" i="17"/>
  <c r="L176" i="17"/>
  <c r="L186" i="17"/>
  <c r="L196" i="17"/>
  <c r="L206" i="17"/>
  <c r="L216" i="17"/>
  <c r="L226" i="17"/>
  <c r="L236" i="17"/>
  <c r="L7" i="17"/>
  <c r="L17" i="17"/>
  <c r="L27" i="17"/>
  <c r="L62" i="17"/>
  <c r="L63" i="17"/>
  <c r="L64" i="17"/>
  <c r="L65" i="17"/>
  <c r="L66" i="17"/>
  <c r="T127" i="17" s="1" a="1"/>
  <c r="T127" i="17" s="1"/>
  <c r="L67" i="17"/>
  <c r="L122" i="17"/>
  <c r="L123" i="17"/>
  <c r="L124" i="17"/>
  <c r="L125" i="17"/>
  <c r="L126" i="17"/>
  <c r="L127" i="17"/>
  <c r="L157" i="17"/>
  <c r="L167" i="17"/>
  <c r="L177" i="17"/>
  <c r="L187" i="17"/>
  <c r="L197" i="17"/>
  <c r="L207" i="17"/>
  <c r="L217" i="17"/>
  <c r="L227" i="17"/>
  <c r="L237" i="17"/>
  <c r="L8" i="17"/>
  <c r="L18" i="17"/>
  <c r="L28" i="17"/>
  <c r="L68" i="17"/>
  <c r="L69" i="17"/>
  <c r="L70" i="17"/>
  <c r="L71" i="17"/>
  <c r="L72" i="17"/>
  <c r="L73" i="17"/>
  <c r="L128" i="17"/>
  <c r="L129" i="17"/>
  <c r="L130" i="17"/>
  <c r="L131" i="17"/>
  <c r="L132" i="17"/>
  <c r="L133" i="17"/>
  <c r="L158" i="17"/>
  <c r="L168" i="17"/>
  <c r="L178" i="17"/>
  <c r="L188" i="17"/>
  <c r="L198" i="17"/>
  <c r="L208" i="17"/>
  <c r="L218" i="17"/>
  <c r="L228" i="17"/>
  <c r="L238" i="17"/>
  <c r="L9" i="17"/>
  <c r="L19" i="17"/>
  <c r="L29" i="17"/>
  <c r="L74" i="17"/>
  <c r="L75" i="17"/>
  <c r="L76" i="17"/>
  <c r="L77" i="17"/>
  <c r="L78" i="17"/>
  <c r="L79" i="17"/>
  <c r="L134" i="17"/>
  <c r="L135" i="17"/>
  <c r="L136" i="17"/>
  <c r="L137" i="17"/>
  <c r="L138" i="17"/>
  <c r="L139" i="17"/>
  <c r="L159" i="17"/>
  <c r="L169" i="17"/>
  <c r="L179" i="17"/>
  <c r="L189" i="17"/>
  <c r="L199" i="17"/>
  <c r="L209" i="17"/>
  <c r="L219" i="17"/>
  <c r="L229" i="17"/>
  <c r="L239" i="17"/>
  <c r="L10" i="17"/>
  <c r="L20" i="17"/>
  <c r="L30" i="17"/>
  <c r="L80" i="17"/>
  <c r="L81" i="17"/>
  <c r="L82" i="17"/>
  <c r="L83" i="17"/>
  <c r="L84" i="17"/>
  <c r="L85" i="17"/>
  <c r="L140" i="17"/>
  <c r="L141" i="17"/>
  <c r="L142" i="17"/>
  <c r="L143" i="17"/>
  <c r="L144" i="17"/>
  <c r="L145" i="17"/>
  <c r="L160" i="17"/>
  <c r="L170" i="17"/>
  <c r="L180" i="17"/>
  <c r="L190" i="17"/>
  <c r="L200" i="17"/>
  <c r="L210" i="17"/>
  <c r="L220" i="17"/>
  <c r="L230" i="17"/>
  <c r="L240" i="17"/>
  <c r="L11" i="17"/>
  <c r="L21" i="17"/>
  <c r="L31" i="17"/>
  <c r="L86" i="17"/>
  <c r="L87" i="17"/>
  <c r="L88" i="17"/>
  <c r="L89" i="17"/>
  <c r="L90" i="17"/>
  <c r="L91" i="17"/>
  <c r="L146" i="17"/>
  <c r="L147" i="17"/>
  <c r="L148" i="17"/>
  <c r="L149" i="17"/>
  <c r="L150" i="17"/>
  <c r="L151" i="17"/>
  <c r="L161" i="17"/>
  <c r="L171" i="17"/>
  <c r="L181" i="17"/>
  <c r="L191" i="17"/>
  <c r="L201" i="17"/>
  <c r="L211" i="17"/>
  <c r="L221" i="17"/>
  <c r="L231" i="17"/>
  <c r="L241" i="17"/>
  <c r="M2" i="17" a="1"/>
  <c r="M2" i="17" s="1"/>
  <c r="M12" i="17" a="1"/>
  <c r="M12" i="17" s="1"/>
  <c r="M22" i="17" a="1"/>
  <c r="M22" i="17" s="1"/>
  <c r="M32" i="17" a="1"/>
  <c r="M32" i="17" s="1"/>
  <c r="M33" i="17" a="1"/>
  <c r="M33" i="17" s="1"/>
  <c r="M34" i="17" a="1"/>
  <c r="M34" i="17" s="1"/>
  <c r="M35" i="17" a="1"/>
  <c r="M35" i="17" s="1"/>
  <c r="M36" i="17" a="1"/>
  <c r="M36" i="17"/>
  <c r="M37" i="17" a="1"/>
  <c r="M37" i="17" s="1"/>
  <c r="M92" i="17" a="1"/>
  <c r="M92" i="17" s="1"/>
  <c r="M93" i="17" a="1"/>
  <c r="M93" i="17" s="1"/>
  <c r="M94" i="17" a="1"/>
  <c r="M94" i="17" s="1"/>
  <c r="M95" i="17" a="1"/>
  <c r="M95" i="17"/>
  <c r="M96" i="17" a="1"/>
  <c r="M96" i="17" s="1"/>
  <c r="M97" i="17" a="1"/>
  <c r="M97" i="17" s="1"/>
  <c r="M152" i="17" a="1"/>
  <c r="M152" i="17"/>
  <c r="M162" i="17" a="1"/>
  <c r="M162" i="17" s="1"/>
  <c r="M172" i="17" a="1"/>
  <c r="M172" i="17" s="1"/>
  <c r="M182" i="17" a="1"/>
  <c r="M182" i="17" s="1"/>
  <c r="M192" i="17" a="1"/>
  <c r="M192" i="17" s="1"/>
  <c r="M202" i="17" a="1"/>
  <c r="M202" i="17" s="1"/>
  <c r="M212" i="17" a="1"/>
  <c r="M212" i="17" s="1"/>
  <c r="M222" i="17" a="1"/>
  <c r="M222" i="17" s="1"/>
  <c r="M232" i="17" a="1"/>
  <c r="M232" i="17" s="1"/>
  <c r="M3" i="17" a="1"/>
  <c r="M3" i="17" s="1"/>
  <c r="M13" i="17" a="1"/>
  <c r="M13" i="17" s="1"/>
  <c r="M23" i="17" a="1"/>
  <c r="M23" i="17" s="1"/>
  <c r="M38" i="17" a="1"/>
  <c r="M38" i="17" s="1"/>
  <c r="M39" i="17" a="1"/>
  <c r="M39" i="17" s="1"/>
  <c r="M40" i="17" a="1"/>
  <c r="M40" i="17" s="1"/>
  <c r="M41" i="17" a="1"/>
  <c r="M41" i="17" s="1"/>
  <c r="M42" i="17" a="1"/>
  <c r="M42" i="17" s="1"/>
  <c r="M43" i="17" a="1"/>
  <c r="M43" i="17" s="1"/>
  <c r="M98" i="17" a="1"/>
  <c r="M98" i="17" s="1"/>
  <c r="M99" i="17" a="1"/>
  <c r="M99" i="17" s="1"/>
  <c r="M100" i="17" a="1"/>
  <c r="M100" i="17" s="1"/>
  <c r="M101" i="17" a="1"/>
  <c r="M101" i="17" s="1"/>
  <c r="M102" i="17" a="1"/>
  <c r="M102" i="17" s="1"/>
  <c r="M103" i="17" a="1"/>
  <c r="M103" i="17" s="1"/>
  <c r="M153" i="17" a="1"/>
  <c r="M153" i="17" s="1"/>
  <c r="M163" i="17" a="1"/>
  <c r="M163" i="17" s="1"/>
  <c r="M173" i="17" a="1"/>
  <c r="M173" i="17" s="1"/>
  <c r="M183" i="17" a="1"/>
  <c r="M183" i="17" s="1"/>
  <c r="M193" i="17" a="1"/>
  <c r="M193" i="17" s="1"/>
  <c r="M203" i="17" a="1"/>
  <c r="M203" i="17" s="1"/>
  <c r="M213" i="17" a="1"/>
  <c r="M213" i="17" s="1"/>
  <c r="M223" i="17" a="1"/>
  <c r="M223" i="17" s="1"/>
  <c r="M233" i="17" a="1"/>
  <c r="M233" i="17" s="1"/>
  <c r="M4" i="17" a="1"/>
  <c r="M4" i="17" s="1"/>
  <c r="M14" i="17" a="1"/>
  <c r="M14" i="17" s="1"/>
  <c r="M24" i="17" a="1"/>
  <c r="M24" i="17"/>
  <c r="M44" i="17" a="1"/>
  <c r="M44" i="17" s="1"/>
  <c r="M45" i="17" a="1"/>
  <c r="M45" i="17" s="1"/>
  <c r="M46" i="17" a="1"/>
  <c r="M46" i="17" s="1"/>
  <c r="M47" i="17" a="1"/>
  <c r="M47" i="17" s="1"/>
  <c r="M48" i="17" a="1"/>
  <c r="M48" i="17" s="1"/>
  <c r="M49" i="17" a="1"/>
  <c r="M49" i="17" s="1"/>
  <c r="M104" i="17" a="1"/>
  <c r="M104" i="17" s="1"/>
  <c r="M105" i="17" a="1"/>
  <c r="M105" i="17" s="1"/>
  <c r="M106" i="17" a="1"/>
  <c r="M106" i="17" s="1"/>
  <c r="M107" i="17" a="1"/>
  <c r="M107" i="17" s="1"/>
  <c r="M108" i="17" a="1"/>
  <c r="M108" i="17" s="1"/>
  <c r="M109" i="17" a="1"/>
  <c r="M109" i="17" s="1"/>
  <c r="M154" i="17" a="1"/>
  <c r="M154" i="17" s="1"/>
  <c r="M164" i="17" a="1"/>
  <c r="M164" i="17" s="1"/>
  <c r="M174" i="17" a="1"/>
  <c r="M174" i="17" s="1"/>
  <c r="M184" i="17" a="1"/>
  <c r="M184" i="17" s="1"/>
  <c r="M194" i="17" a="1"/>
  <c r="M194" i="17"/>
  <c r="M204" i="17" a="1"/>
  <c r="M204" i="17" s="1"/>
  <c r="M214" i="17" a="1"/>
  <c r="M214" i="17" s="1"/>
  <c r="M224" i="17" a="1"/>
  <c r="M224" i="17" s="1"/>
  <c r="M234" i="17" a="1"/>
  <c r="M234" i="17" s="1"/>
  <c r="M5" i="17" a="1"/>
  <c r="M5" i="17" s="1"/>
  <c r="M15" i="17" a="1"/>
  <c r="M15" i="17" s="1"/>
  <c r="M25" i="17" a="1"/>
  <c r="M25" i="17" s="1"/>
  <c r="M50" i="17" a="1"/>
  <c r="M50" i="17" s="1"/>
  <c r="M51" i="17" a="1"/>
  <c r="M51" i="17" s="1"/>
  <c r="M52" i="17" a="1"/>
  <c r="M52" i="17" s="1"/>
  <c r="M53" i="17" a="1"/>
  <c r="M53" i="17" s="1"/>
  <c r="M54" i="17" a="1"/>
  <c r="M54" i="17" s="1"/>
  <c r="M55" i="17" a="1"/>
  <c r="M55" i="17" s="1"/>
  <c r="M110" i="17" a="1"/>
  <c r="M110" i="17" s="1"/>
  <c r="M111" i="17" a="1"/>
  <c r="M111" i="17" s="1"/>
  <c r="M112" i="17" a="1"/>
  <c r="M112" i="17" s="1"/>
  <c r="M113" i="17" a="1"/>
  <c r="M113" i="17"/>
  <c r="M114" i="17" a="1"/>
  <c r="M114" i="17" s="1"/>
  <c r="M115" i="17" a="1"/>
  <c r="M115" i="17" s="1"/>
  <c r="M155" i="17" a="1"/>
  <c r="M155" i="17" s="1"/>
  <c r="M165" i="17" a="1"/>
  <c r="M165" i="17" s="1"/>
  <c r="M175" i="17" a="1"/>
  <c r="M175" i="17" s="1"/>
  <c r="M185" i="17" a="1"/>
  <c r="M185" i="17" s="1"/>
  <c r="M195" i="17" a="1"/>
  <c r="M195" i="17" s="1"/>
  <c r="M205" i="17" a="1"/>
  <c r="M205" i="17" s="1"/>
  <c r="M215" i="17" a="1"/>
  <c r="M215" i="17" s="1"/>
  <c r="M225" i="17" a="1"/>
  <c r="M225" i="17" s="1"/>
  <c r="M235" i="17" a="1"/>
  <c r="M235" i="17" s="1"/>
  <c r="M6" i="17" a="1"/>
  <c r="M6" i="17" s="1"/>
  <c r="M16" i="17" a="1"/>
  <c r="M16" i="17"/>
  <c r="M26" i="17" a="1"/>
  <c r="M26" i="17" s="1"/>
  <c r="M56" i="17" a="1"/>
  <c r="M56" i="17" s="1"/>
  <c r="M57" i="17" a="1"/>
  <c r="M57" i="17" s="1"/>
  <c r="M58" i="17" a="1"/>
  <c r="M58" i="17" s="1"/>
  <c r="M59" i="17" a="1"/>
  <c r="M59" i="17" s="1"/>
  <c r="M60" i="17" a="1"/>
  <c r="M60" i="17" s="1"/>
  <c r="M61" i="17" a="1"/>
  <c r="M61" i="17" s="1"/>
  <c r="M116" i="17" a="1"/>
  <c r="M116" i="17" s="1"/>
  <c r="M117" i="17" a="1"/>
  <c r="M117" i="17" s="1"/>
  <c r="M118" i="17" a="1"/>
  <c r="M118" i="17" s="1"/>
  <c r="M119" i="17" a="1"/>
  <c r="M119" i="17" s="1"/>
  <c r="M120" i="17" a="1"/>
  <c r="M120" i="17" s="1"/>
  <c r="M121" i="17" a="1"/>
  <c r="M121" i="17" s="1"/>
  <c r="M156" i="17" a="1"/>
  <c r="M156" i="17" s="1"/>
  <c r="M166" i="17" a="1"/>
  <c r="M166" i="17" s="1"/>
  <c r="M176" i="17" a="1"/>
  <c r="M176" i="17" s="1"/>
  <c r="M186" i="17" a="1"/>
  <c r="M186" i="17" s="1"/>
  <c r="M196" i="17" a="1"/>
  <c r="M196" i="17" s="1"/>
  <c r="M206" i="17" a="1"/>
  <c r="M206" i="17"/>
  <c r="M216" i="17" a="1"/>
  <c r="M216" i="17" s="1"/>
  <c r="M226" i="17" a="1"/>
  <c r="M226" i="17" s="1"/>
  <c r="M236" i="17" a="1"/>
  <c r="M236" i="17" s="1"/>
  <c r="M7" i="17" a="1"/>
  <c r="M7" i="17" s="1"/>
  <c r="M17" i="17" a="1"/>
  <c r="M17" i="17" s="1"/>
  <c r="M27" i="17" a="1"/>
  <c r="M27" i="17" s="1"/>
  <c r="M62" i="17" a="1"/>
  <c r="M62" i="17" s="1"/>
  <c r="M63" i="17" a="1"/>
  <c r="M63" i="17" s="1"/>
  <c r="M64" i="17" a="1"/>
  <c r="M64" i="17" s="1"/>
  <c r="M65" i="17" a="1"/>
  <c r="M65" i="17" s="1"/>
  <c r="M66" i="17" a="1"/>
  <c r="M66" i="17" s="1"/>
  <c r="M67" i="17" a="1"/>
  <c r="M67" i="17" s="1"/>
  <c r="M122" i="17" a="1"/>
  <c r="M122" i="17"/>
  <c r="M123" i="17" a="1"/>
  <c r="M123" i="17"/>
  <c r="M124" i="17" a="1"/>
  <c r="M124" i="17"/>
  <c r="M125" i="17" a="1"/>
  <c r="M125" i="17" s="1"/>
  <c r="M126" i="17" a="1"/>
  <c r="M126" i="17" s="1"/>
  <c r="M127" i="17" a="1"/>
  <c r="M127" i="17" s="1"/>
  <c r="M157" i="17" a="1"/>
  <c r="M157" i="17" s="1"/>
  <c r="M167" i="17" a="1"/>
  <c r="M167" i="17" s="1"/>
  <c r="M177" i="17" a="1"/>
  <c r="M177" i="17" s="1"/>
  <c r="M187" i="17" a="1"/>
  <c r="M187" i="17" s="1"/>
  <c r="M197" i="17" a="1"/>
  <c r="M197" i="17" s="1"/>
  <c r="M207" i="17" a="1"/>
  <c r="M207" i="17"/>
  <c r="M217" i="17" a="1"/>
  <c r="M217" i="17" s="1"/>
  <c r="M227" i="17" a="1"/>
  <c r="M227" i="17" s="1"/>
  <c r="M237" i="17" a="1"/>
  <c r="M237" i="17" s="1"/>
  <c r="M8" i="17" a="1"/>
  <c r="M8" i="17" s="1"/>
  <c r="M18" i="17" a="1"/>
  <c r="M18" i="17" s="1"/>
  <c r="M28" i="17" a="1"/>
  <c r="M28" i="17" s="1"/>
  <c r="M68" i="17" a="1"/>
  <c r="M68" i="17" s="1"/>
  <c r="M69" i="17" a="1"/>
  <c r="M69" i="17"/>
  <c r="M70" i="17" a="1"/>
  <c r="M70" i="17" s="1"/>
  <c r="M71" i="17" a="1"/>
  <c r="M71" i="17" s="1"/>
  <c r="M72" i="17" a="1"/>
  <c r="M72" i="17" s="1"/>
  <c r="M73" i="17" a="1"/>
  <c r="M73" i="17" s="1"/>
  <c r="M128" i="17" a="1"/>
  <c r="M128" i="17" s="1"/>
  <c r="M129" i="17" a="1"/>
  <c r="M129" i="17" s="1"/>
  <c r="M130" i="17" a="1"/>
  <c r="M130" i="17" s="1"/>
  <c r="M131" i="17" a="1"/>
  <c r="M131" i="17" s="1"/>
  <c r="M132" i="17" a="1"/>
  <c r="M132" i="17" s="1"/>
  <c r="M133" i="17" a="1"/>
  <c r="M133" i="17" s="1"/>
  <c r="M158" i="17" a="1"/>
  <c r="M158" i="17" s="1"/>
  <c r="M168" i="17" a="1"/>
  <c r="M168" i="17" s="1"/>
  <c r="M178" i="17" a="1"/>
  <c r="M178" i="17" s="1"/>
  <c r="M188" i="17" a="1"/>
  <c r="M188" i="17" s="1"/>
  <c r="M198" i="17" a="1"/>
  <c r="M198" i="17" s="1"/>
  <c r="M208" i="17" a="1"/>
  <c r="M208" i="17" s="1"/>
  <c r="M218" i="17" a="1"/>
  <c r="M218" i="17" s="1"/>
  <c r="M228" i="17" a="1"/>
  <c r="M228" i="17" s="1"/>
  <c r="M238" i="17" a="1"/>
  <c r="M238" i="17" s="1"/>
  <c r="M9" i="17" a="1"/>
  <c r="M9" i="17" s="1"/>
  <c r="M19" i="17" a="1"/>
  <c r="M19" i="17" s="1"/>
  <c r="M29" i="17" a="1"/>
  <c r="M29" i="17" s="1"/>
  <c r="M74" i="17" a="1"/>
  <c r="M74" i="17" s="1"/>
  <c r="Y74" i="17" s="1"/>
  <c r="M75" i="17" a="1"/>
  <c r="M75" i="17" s="1"/>
  <c r="M76" i="17" a="1"/>
  <c r="M76" i="17" s="1"/>
  <c r="M77" i="17" a="1"/>
  <c r="M77" i="17" s="1"/>
  <c r="M78" i="17" a="1"/>
  <c r="M78" i="17" s="1"/>
  <c r="M79" i="17" a="1"/>
  <c r="M79" i="17" s="1"/>
  <c r="M134" i="17" a="1"/>
  <c r="M134" i="17" s="1"/>
  <c r="M135" i="17" a="1"/>
  <c r="M135" i="17" s="1"/>
  <c r="M136" i="17" a="1"/>
  <c r="M136" i="17" s="1"/>
  <c r="M137" i="17" a="1"/>
  <c r="M137" i="17" s="1"/>
  <c r="M138" i="17" a="1"/>
  <c r="M138" i="17" s="1"/>
  <c r="M139" i="17" a="1"/>
  <c r="M139" i="17" s="1"/>
  <c r="M159" i="17" a="1"/>
  <c r="M159" i="17" s="1"/>
  <c r="M169" i="17" a="1"/>
  <c r="M169" i="17" s="1"/>
  <c r="M179" i="17" a="1"/>
  <c r="M179" i="17" s="1"/>
  <c r="M189" i="17" a="1"/>
  <c r="M189" i="17" s="1"/>
  <c r="M199" i="17" a="1"/>
  <c r="M199" i="17" s="1"/>
  <c r="M209" i="17" a="1"/>
  <c r="M209" i="17" s="1"/>
  <c r="M219" i="17" a="1"/>
  <c r="M219" i="17" s="1"/>
  <c r="M229" i="17" a="1"/>
  <c r="M229" i="17" s="1"/>
  <c r="M239" i="17" a="1"/>
  <c r="M239" i="17" s="1"/>
  <c r="M10" i="17" a="1"/>
  <c r="M10" i="17" s="1"/>
  <c r="M20" i="17" a="1"/>
  <c r="M20" i="17" s="1"/>
  <c r="M30" i="17" a="1"/>
  <c r="M30" i="17" s="1"/>
  <c r="M80" i="17" a="1"/>
  <c r="M80" i="17" s="1"/>
  <c r="M81" i="17" a="1"/>
  <c r="M81" i="17" s="1"/>
  <c r="M82" i="17" a="1"/>
  <c r="M82" i="17" s="1"/>
  <c r="M83" i="17" a="1"/>
  <c r="M83" i="17" s="1"/>
  <c r="M84" i="17" a="1"/>
  <c r="M84" i="17" s="1"/>
  <c r="M85" i="17" a="1"/>
  <c r="M85" i="17" s="1"/>
  <c r="M140" i="17" a="1"/>
  <c r="M140" i="17" s="1"/>
  <c r="M141" i="17" a="1"/>
  <c r="M141" i="17" s="1"/>
  <c r="M142" i="17" a="1"/>
  <c r="M142" i="17" s="1"/>
  <c r="M143" i="17" a="1"/>
  <c r="M143" i="17" s="1"/>
  <c r="M144" i="17" a="1"/>
  <c r="M144" i="17" s="1"/>
  <c r="M145" i="17" a="1"/>
  <c r="M145" i="17" s="1"/>
  <c r="M160" i="17" a="1"/>
  <c r="M160" i="17" s="1"/>
  <c r="M170" i="17" a="1"/>
  <c r="M170" i="17" s="1"/>
  <c r="M180" i="17" a="1"/>
  <c r="M180" i="17" s="1"/>
  <c r="M190" i="17" a="1"/>
  <c r="M190" i="17" s="1"/>
  <c r="M200" i="17" a="1"/>
  <c r="M200" i="17" s="1"/>
  <c r="M210" i="17" a="1"/>
  <c r="M210" i="17" s="1"/>
  <c r="M220" i="17" a="1"/>
  <c r="M220" i="17" s="1"/>
  <c r="M230" i="17" a="1"/>
  <c r="M230" i="17" s="1"/>
  <c r="M240" i="17" a="1"/>
  <c r="M240" i="17" s="1"/>
  <c r="M11" i="17" a="1"/>
  <c r="M11" i="17" s="1"/>
  <c r="M21" i="17" a="1"/>
  <c r="M21" i="17" s="1"/>
  <c r="M31" i="17" a="1"/>
  <c r="M31" i="17" s="1"/>
  <c r="M86" i="17" a="1"/>
  <c r="M86" i="17" s="1"/>
  <c r="M87" i="17" a="1"/>
  <c r="M87" i="17" s="1"/>
  <c r="M88" i="17" a="1"/>
  <c r="M88" i="17" s="1"/>
  <c r="M89" i="17" a="1"/>
  <c r="M89" i="17" s="1"/>
  <c r="M90" i="17" a="1"/>
  <c r="M90" i="17" s="1"/>
  <c r="M91" i="17" a="1"/>
  <c r="M91" i="17" s="1"/>
  <c r="M146" i="17" a="1"/>
  <c r="M146" i="17" s="1"/>
  <c r="M147" i="17" a="1"/>
  <c r="M147" i="17" s="1"/>
  <c r="M148" i="17" a="1"/>
  <c r="M148" i="17"/>
  <c r="M149" i="17" a="1"/>
  <c r="M149" i="17" s="1"/>
  <c r="M150" i="17" a="1"/>
  <c r="M150" i="17" s="1"/>
  <c r="M151" i="17" a="1"/>
  <c r="M151" i="17" s="1"/>
  <c r="M161" i="17" a="1"/>
  <c r="M161" i="17" s="1"/>
  <c r="M171" i="17" a="1"/>
  <c r="M171" i="17" s="1"/>
  <c r="M181" i="17" a="1"/>
  <c r="M181" i="17" s="1"/>
  <c r="M191" i="17" a="1"/>
  <c r="M191" i="17" s="1"/>
  <c r="M201" i="17" a="1"/>
  <c r="M201" i="17" s="1"/>
  <c r="M211" i="17" a="1"/>
  <c r="M211" i="17" s="1"/>
  <c r="M221" i="17" a="1"/>
  <c r="M221" i="17" s="1"/>
  <c r="M231" i="17" a="1"/>
  <c r="M231" i="17" s="1"/>
  <c r="M241" i="17" a="1"/>
  <c r="M241" i="17"/>
  <c r="P2" i="17" a="1"/>
  <c r="P2" i="17" s="1"/>
  <c r="P12" i="17" a="1"/>
  <c r="P12" i="17" s="1"/>
  <c r="P22" i="17" a="1"/>
  <c r="P22" i="17" s="1"/>
  <c r="P32" i="17" a="1"/>
  <c r="P32" i="17" s="1"/>
  <c r="P33" i="17" a="1"/>
  <c r="P33" i="17" s="1"/>
  <c r="P34" i="17" a="1"/>
  <c r="P34" i="17" s="1"/>
  <c r="P35" i="17" a="1"/>
  <c r="P35" i="17" s="1"/>
  <c r="P36" i="17" a="1"/>
  <c r="P36" i="17" s="1"/>
  <c r="P37" i="17" a="1"/>
  <c r="P37" i="17"/>
  <c r="P92" i="17" a="1"/>
  <c r="P92" i="17"/>
  <c r="P93" i="17" a="1"/>
  <c r="P93" i="17" s="1"/>
  <c r="P94" i="17" a="1"/>
  <c r="P94" i="17" s="1"/>
  <c r="P95" i="17" a="1"/>
  <c r="P95" i="17" s="1"/>
  <c r="P96" i="17" a="1"/>
  <c r="P96" i="17" s="1"/>
  <c r="P97" i="17" a="1"/>
  <c r="P97" i="17" s="1"/>
  <c r="P152" i="17" a="1"/>
  <c r="P152" i="17" s="1"/>
  <c r="P162" i="17" a="1"/>
  <c r="P162" i="17" s="1"/>
  <c r="P172" i="17" a="1"/>
  <c r="P172" i="17" s="1"/>
  <c r="P182" i="17" a="1"/>
  <c r="P182" i="17" s="1"/>
  <c r="P192" i="17" a="1"/>
  <c r="P192" i="17" s="1"/>
  <c r="P202" i="17" a="1"/>
  <c r="P202" i="17" s="1"/>
  <c r="P212" i="17" a="1"/>
  <c r="P212" i="17" s="1"/>
  <c r="P222" i="17" a="1"/>
  <c r="P222" i="17" s="1"/>
  <c r="P232" i="17" a="1"/>
  <c r="P232" i="17"/>
  <c r="P3" i="17" a="1"/>
  <c r="P3" i="17" s="1"/>
  <c r="P13" i="17" a="1"/>
  <c r="P13" i="17" s="1"/>
  <c r="P23" i="17" a="1"/>
  <c r="P23" i="17" s="1"/>
  <c r="P38" i="17" a="1"/>
  <c r="P38" i="17"/>
  <c r="P39" i="17" a="1"/>
  <c r="P39" i="17" s="1"/>
  <c r="P40" i="17" a="1"/>
  <c r="P40" i="17" s="1"/>
  <c r="P41" i="17" a="1"/>
  <c r="P41" i="17" s="1"/>
  <c r="P42" i="17" a="1"/>
  <c r="P42" i="17" s="1"/>
  <c r="P43" i="17" a="1"/>
  <c r="P43" i="17" s="1"/>
  <c r="P98" i="17" a="1"/>
  <c r="P98" i="17" s="1"/>
  <c r="P99" i="17" a="1"/>
  <c r="P99" i="17" s="1"/>
  <c r="P100" i="17" a="1"/>
  <c r="P100" i="17" s="1"/>
  <c r="P101" i="17" a="1"/>
  <c r="P101" i="17" s="1"/>
  <c r="P102" i="17" a="1"/>
  <c r="P102" i="17" s="1"/>
  <c r="P103" i="17" a="1"/>
  <c r="P103" i="17" s="1"/>
  <c r="P153" i="17" a="1"/>
  <c r="P153" i="17" s="1"/>
  <c r="P163" i="17" a="1"/>
  <c r="P163" i="17" s="1"/>
  <c r="P173" i="17" a="1"/>
  <c r="P173" i="17" s="1"/>
  <c r="P183" i="17" a="1"/>
  <c r="P183" i="17" s="1"/>
  <c r="P193" i="17" a="1"/>
  <c r="P193" i="17" s="1"/>
  <c r="P203" i="17" a="1"/>
  <c r="P203" i="17" s="1"/>
  <c r="P213" i="17" a="1"/>
  <c r="P213" i="17" s="1"/>
  <c r="P223" i="17" a="1"/>
  <c r="P223" i="17" s="1"/>
  <c r="P233" i="17" a="1"/>
  <c r="P233" i="17" s="1"/>
  <c r="P4" i="17" a="1"/>
  <c r="P4" i="17" s="1"/>
  <c r="P14" i="17" a="1"/>
  <c r="P14" i="17" s="1"/>
  <c r="P24" i="17" a="1"/>
  <c r="P24" i="17" s="1"/>
  <c r="P44" i="17" a="1"/>
  <c r="P44" i="17" s="1"/>
  <c r="P45" i="17" a="1"/>
  <c r="P45" i="17" s="1"/>
  <c r="P46" i="17" a="1"/>
  <c r="P46" i="17" s="1"/>
  <c r="P47" i="17" a="1"/>
  <c r="P47" i="17" s="1"/>
  <c r="P48" i="17" a="1"/>
  <c r="P48" i="17" s="1"/>
  <c r="P49" i="17" a="1"/>
  <c r="P49" i="17" s="1"/>
  <c r="P104" i="17" a="1"/>
  <c r="P104" i="17" s="1"/>
  <c r="P105" i="17" a="1"/>
  <c r="P105" i="17" s="1"/>
  <c r="P106" i="17" a="1"/>
  <c r="P106" i="17" s="1"/>
  <c r="P107" i="17" a="1"/>
  <c r="P107" i="17" s="1"/>
  <c r="P108" i="17" a="1"/>
  <c r="P108" i="17" s="1"/>
  <c r="P109" i="17" a="1"/>
  <c r="P109" i="17" s="1"/>
  <c r="P154" i="17" a="1"/>
  <c r="P154" i="17" s="1"/>
  <c r="P164" i="17" a="1"/>
  <c r="P164" i="17" s="1"/>
  <c r="P174" i="17" a="1"/>
  <c r="P174" i="17"/>
  <c r="P184" i="17" a="1"/>
  <c r="P184" i="17" s="1"/>
  <c r="P194" i="17" a="1"/>
  <c r="P194" i="17" s="1"/>
  <c r="P204" i="17" a="1"/>
  <c r="P204" i="17"/>
  <c r="P214" i="17" a="1"/>
  <c r="P214" i="17" s="1"/>
  <c r="P224" i="17" a="1"/>
  <c r="P224" i="17"/>
  <c r="P234" i="17" a="1"/>
  <c r="P234" i="17" s="1"/>
  <c r="P5" i="17" a="1"/>
  <c r="P5" i="17" s="1"/>
  <c r="P15" i="17" a="1"/>
  <c r="P15" i="17" s="1"/>
  <c r="P25" i="17" a="1"/>
  <c r="P25" i="17"/>
  <c r="P50" i="17" a="1"/>
  <c r="P50" i="17" s="1"/>
  <c r="P51" i="17" a="1"/>
  <c r="P51" i="17" s="1"/>
  <c r="P52" i="17" a="1"/>
  <c r="P52" i="17" s="1"/>
  <c r="P53" i="17" a="1"/>
  <c r="P53" i="17" s="1"/>
  <c r="P54" i="17" a="1"/>
  <c r="P54" i="17" s="1"/>
  <c r="P55" i="17" a="1"/>
  <c r="P55" i="17" s="1"/>
  <c r="P110" i="17" a="1"/>
  <c r="P110" i="17" s="1"/>
  <c r="P111" i="17" a="1"/>
  <c r="P111" i="17" s="1"/>
  <c r="P112" i="17" a="1"/>
  <c r="P112" i="17" s="1"/>
  <c r="P113" i="17" a="1"/>
  <c r="P113" i="17" s="1"/>
  <c r="P114" i="17" a="1"/>
  <c r="P114" i="17" s="1"/>
  <c r="P115" i="17" a="1"/>
  <c r="P115" i="17" s="1"/>
  <c r="P155" i="17" a="1"/>
  <c r="P155" i="17" s="1"/>
  <c r="P165" i="17" a="1"/>
  <c r="P165" i="17" s="1"/>
  <c r="P175" i="17" a="1"/>
  <c r="P175" i="17"/>
  <c r="P185" i="17" a="1"/>
  <c r="P185" i="17" s="1"/>
  <c r="P195" i="17" a="1"/>
  <c r="P195" i="17" s="1"/>
  <c r="P205" i="17" a="1"/>
  <c r="P205" i="17" s="1"/>
  <c r="P215" i="17" a="1"/>
  <c r="P215" i="17" s="1"/>
  <c r="P225" i="17" a="1"/>
  <c r="P225" i="17" s="1"/>
  <c r="P235" i="17" a="1"/>
  <c r="P235" i="17" s="1"/>
  <c r="P6" i="17" a="1"/>
  <c r="P6" i="17" s="1"/>
  <c r="P16" i="17" a="1"/>
  <c r="P16" i="17" s="1"/>
  <c r="P26" i="17" a="1"/>
  <c r="P26" i="17" s="1"/>
  <c r="P56" i="17" a="1"/>
  <c r="P56" i="17" s="1"/>
  <c r="P57" i="17" a="1"/>
  <c r="P57" i="17" s="1"/>
  <c r="P58" i="17" a="1"/>
  <c r="P58" i="17" s="1"/>
  <c r="P59" i="17" a="1"/>
  <c r="P59" i="17" s="1"/>
  <c r="P60" i="17" a="1"/>
  <c r="P60" i="17" s="1"/>
  <c r="P61" i="17" a="1"/>
  <c r="P61" i="17" s="1"/>
  <c r="P116" i="17" a="1"/>
  <c r="P116" i="17"/>
  <c r="P117" i="17" a="1"/>
  <c r="P117" i="17"/>
  <c r="P118" i="17" a="1"/>
  <c r="P118" i="17" s="1"/>
  <c r="P119" i="17" a="1"/>
  <c r="P119" i="17"/>
  <c r="P120" i="17" a="1"/>
  <c r="P120" i="17" s="1"/>
  <c r="P121" i="17" a="1"/>
  <c r="P121" i="17" s="1"/>
  <c r="P156" i="17" a="1"/>
  <c r="P156" i="17" s="1"/>
  <c r="P166" i="17" a="1"/>
  <c r="P166" i="17" s="1"/>
  <c r="P176" i="17" a="1"/>
  <c r="P176" i="17" s="1"/>
  <c r="P186" i="17" a="1"/>
  <c r="P186" i="17" s="1"/>
  <c r="P196" i="17" a="1"/>
  <c r="P196" i="17" s="1"/>
  <c r="P206" i="17" a="1"/>
  <c r="P206" i="17"/>
  <c r="P216" i="17" a="1"/>
  <c r="P216" i="17" s="1"/>
  <c r="P226" i="17" a="1"/>
  <c r="P226" i="17" s="1"/>
  <c r="P236" i="17" a="1"/>
  <c r="P236" i="17" s="1"/>
  <c r="P7" i="17" a="1"/>
  <c r="P7" i="17" s="1"/>
  <c r="P17" i="17" a="1"/>
  <c r="P17" i="17" s="1"/>
  <c r="P27" i="17" a="1"/>
  <c r="P27" i="17" s="1"/>
  <c r="P62" i="17" a="1"/>
  <c r="P62" i="17" s="1"/>
  <c r="P63" i="17" a="1"/>
  <c r="P63" i="17" s="1"/>
  <c r="P64" i="17" a="1"/>
  <c r="P64" i="17" s="1"/>
  <c r="P65" i="17" a="1"/>
  <c r="P65" i="17" s="1"/>
  <c r="P66" i="17" a="1"/>
  <c r="P66" i="17" s="1"/>
  <c r="P67" i="17" a="1"/>
  <c r="P67" i="17" s="1"/>
  <c r="P122" i="17" a="1"/>
  <c r="P122" i="17" s="1"/>
  <c r="P123" i="17" a="1"/>
  <c r="P123" i="17"/>
  <c r="P124" i="17" a="1"/>
  <c r="P124" i="17" s="1"/>
  <c r="P125" i="17" a="1"/>
  <c r="P125" i="17" s="1"/>
  <c r="P126" i="17" a="1"/>
  <c r="P126" i="17" s="1"/>
  <c r="P127" i="17" a="1"/>
  <c r="P127" i="17" s="1"/>
  <c r="P157" i="17" a="1"/>
  <c r="P157" i="17" s="1"/>
  <c r="P167" i="17" a="1"/>
  <c r="P167" i="17" s="1"/>
  <c r="P177" i="17" a="1"/>
  <c r="P177" i="17" s="1"/>
  <c r="P187" i="17" a="1"/>
  <c r="P187" i="17" s="1"/>
  <c r="P197" i="17" a="1"/>
  <c r="P197" i="17" s="1"/>
  <c r="P207" i="17" a="1"/>
  <c r="P207" i="17" s="1"/>
  <c r="P217" i="17" a="1"/>
  <c r="P217" i="17" s="1"/>
  <c r="P227" i="17" a="1"/>
  <c r="P227" i="17" s="1"/>
  <c r="P237" i="17" a="1"/>
  <c r="P237" i="17" s="1"/>
  <c r="P8" i="17" a="1"/>
  <c r="P8" i="17" s="1"/>
  <c r="P18" i="17" a="1"/>
  <c r="P18" i="17" s="1"/>
  <c r="P28" i="17" a="1"/>
  <c r="P28" i="17" s="1"/>
  <c r="P68" i="17" a="1"/>
  <c r="P68" i="17" s="1"/>
  <c r="P69" i="17" a="1"/>
  <c r="P69" i="17" s="1"/>
  <c r="P70" i="17" a="1"/>
  <c r="P70" i="17" s="1"/>
  <c r="P71" i="17" a="1"/>
  <c r="P71" i="17" s="1"/>
  <c r="P72" i="17" a="1"/>
  <c r="P72" i="17" s="1"/>
  <c r="P73" i="17" a="1"/>
  <c r="P73" i="17" s="1"/>
  <c r="P128" i="17" a="1"/>
  <c r="P128" i="17" s="1"/>
  <c r="P129" i="17" a="1"/>
  <c r="P129" i="17" s="1"/>
  <c r="P130" i="17" a="1"/>
  <c r="P130" i="17" s="1"/>
  <c r="P131" i="17" a="1"/>
  <c r="P131" i="17" s="1"/>
  <c r="P132" i="17" a="1"/>
  <c r="P132" i="17" s="1"/>
  <c r="P133" i="17" a="1"/>
  <c r="P133" i="17" s="1"/>
  <c r="P158" i="17" a="1"/>
  <c r="P158" i="17" s="1"/>
  <c r="P168" i="17" a="1"/>
  <c r="P168" i="17" s="1"/>
  <c r="P178" i="17" a="1"/>
  <c r="P178" i="17" s="1"/>
  <c r="P188" i="17" a="1"/>
  <c r="P188" i="17" s="1"/>
  <c r="P198" i="17" a="1"/>
  <c r="P198" i="17" s="1"/>
  <c r="P208" i="17" a="1"/>
  <c r="P208" i="17" s="1"/>
  <c r="P218" i="17" a="1"/>
  <c r="P218" i="17" s="1"/>
  <c r="P228" i="17" a="1"/>
  <c r="P228" i="17" s="1"/>
  <c r="P238" i="17" a="1"/>
  <c r="P238" i="17" s="1"/>
  <c r="P9" i="17" a="1"/>
  <c r="P9" i="17" s="1"/>
  <c r="P19" i="17" a="1"/>
  <c r="P19" i="17" s="1"/>
  <c r="P29" i="17" a="1"/>
  <c r="P29" i="17" s="1"/>
  <c r="P74" i="17" a="1"/>
  <c r="P74" i="17" s="1"/>
  <c r="P75" i="17" a="1"/>
  <c r="P75" i="17" s="1"/>
  <c r="P76" i="17" a="1"/>
  <c r="P76" i="17" s="1"/>
  <c r="P77" i="17" a="1"/>
  <c r="P77" i="17"/>
  <c r="P78" i="17" a="1"/>
  <c r="P78" i="17" s="1"/>
  <c r="P79" i="17" a="1"/>
  <c r="P79" i="17" s="1"/>
  <c r="P134" i="17" a="1"/>
  <c r="P134" i="17" s="1"/>
  <c r="P135" i="17" a="1"/>
  <c r="P135" i="17" s="1"/>
  <c r="P136" i="17" a="1"/>
  <c r="P136" i="17" s="1"/>
  <c r="P137" i="17" a="1"/>
  <c r="P137" i="17" s="1"/>
  <c r="P138" i="17" a="1"/>
  <c r="P138" i="17" s="1"/>
  <c r="P139" i="17" a="1"/>
  <c r="P139" i="17" s="1"/>
  <c r="P159" i="17" a="1"/>
  <c r="P159" i="17"/>
  <c r="P169" i="17" a="1"/>
  <c r="P169" i="17" s="1"/>
  <c r="P179" i="17" a="1"/>
  <c r="P179" i="17" s="1"/>
  <c r="P189" i="17" a="1"/>
  <c r="P189" i="17"/>
  <c r="P199" i="17" a="1"/>
  <c r="P199" i="17" s="1"/>
  <c r="P209" i="17" a="1"/>
  <c r="P209" i="17" s="1"/>
  <c r="P219" i="17" a="1"/>
  <c r="P219" i="17" s="1"/>
  <c r="P229" i="17" a="1"/>
  <c r="P229" i="17" s="1"/>
  <c r="P239" i="17" a="1"/>
  <c r="P239" i="17" s="1"/>
  <c r="P10" i="17" a="1"/>
  <c r="P10" i="17" s="1"/>
  <c r="P20" i="17" a="1"/>
  <c r="P20" i="17"/>
  <c r="P30" i="17" a="1"/>
  <c r="P30" i="17" s="1"/>
  <c r="P80" i="17" a="1"/>
  <c r="P80" i="17" s="1"/>
  <c r="P81" i="17" a="1"/>
  <c r="P81" i="17" s="1"/>
  <c r="P82" i="17" a="1"/>
  <c r="P82" i="17" s="1"/>
  <c r="P83" i="17" a="1"/>
  <c r="P83" i="17" s="1"/>
  <c r="P84" i="17" a="1"/>
  <c r="P84" i="17" s="1"/>
  <c r="P85" i="17" a="1"/>
  <c r="P85" i="17" s="1"/>
  <c r="P140" i="17" a="1"/>
  <c r="P140" i="17" s="1"/>
  <c r="P141" i="17" a="1"/>
  <c r="P141" i="17" s="1"/>
  <c r="P142" i="17" a="1"/>
  <c r="P142" i="17"/>
  <c r="P143" i="17" a="1"/>
  <c r="P143" i="17" s="1"/>
  <c r="P144" i="17" a="1"/>
  <c r="P144" i="17" s="1"/>
  <c r="P145" i="17" a="1"/>
  <c r="P145" i="17" s="1"/>
  <c r="P160" i="17" a="1"/>
  <c r="P160" i="17" s="1"/>
  <c r="P170" i="17" a="1"/>
  <c r="P170" i="17" s="1"/>
  <c r="P180" i="17" a="1"/>
  <c r="P180" i="17" s="1"/>
  <c r="P190" i="17" a="1"/>
  <c r="P190" i="17" s="1"/>
  <c r="P200" i="17" a="1"/>
  <c r="P200" i="17" s="1"/>
  <c r="P210" i="17" a="1"/>
  <c r="P210" i="17" s="1"/>
  <c r="P220" i="17" a="1"/>
  <c r="P220" i="17" s="1"/>
  <c r="P230" i="17" a="1"/>
  <c r="P230" i="17"/>
  <c r="P240" i="17" a="1"/>
  <c r="P240" i="17" s="1"/>
  <c r="P11" i="17" a="1"/>
  <c r="P11" i="17" s="1"/>
  <c r="P21" i="17" a="1"/>
  <c r="P21" i="17" s="1"/>
  <c r="P31" i="17" a="1"/>
  <c r="P31" i="17" s="1"/>
  <c r="P86" i="17" a="1"/>
  <c r="P86" i="17" s="1"/>
  <c r="P87" i="17" a="1"/>
  <c r="P87" i="17" s="1"/>
  <c r="P88" i="17" a="1"/>
  <c r="P88" i="17" s="1"/>
  <c r="P89" i="17" a="1"/>
  <c r="P89" i="17" s="1"/>
  <c r="P90" i="17" a="1"/>
  <c r="P90" i="17"/>
  <c r="P91" i="17" a="1"/>
  <c r="P91" i="17"/>
  <c r="P146" i="17" a="1"/>
  <c r="P146" i="17" s="1"/>
  <c r="P147" i="17" a="1"/>
  <c r="P147" i="17" s="1"/>
  <c r="P148" i="17" a="1"/>
  <c r="P148" i="17" s="1"/>
  <c r="P149" i="17" a="1"/>
  <c r="P149" i="17" s="1"/>
  <c r="P150" i="17" a="1"/>
  <c r="P150" i="17" s="1"/>
  <c r="P151" i="17" a="1"/>
  <c r="P151" i="17"/>
  <c r="P161" i="17" a="1"/>
  <c r="P161" i="17" s="1"/>
  <c r="P171" i="17" a="1"/>
  <c r="P171" i="17" s="1"/>
  <c r="P181" i="17" a="1"/>
  <c r="P181" i="17" s="1"/>
  <c r="P191" i="17" a="1"/>
  <c r="P191" i="17" s="1"/>
  <c r="P201" i="17" a="1"/>
  <c r="P201" i="17" s="1"/>
  <c r="P211" i="17" a="1"/>
  <c r="P211" i="17" s="1"/>
  <c r="P221" i="17" a="1"/>
  <c r="P221" i="17" s="1"/>
  <c r="P231" i="17" a="1"/>
  <c r="P231" i="17" s="1"/>
  <c r="P241" i="17" a="1"/>
  <c r="P241" i="17" s="1"/>
  <c r="T163" i="17" a="1"/>
  <c r="T163" i="17" s="1"/>
  <c r="T235" i="17" a="1"/>
  <c r="T235" i="17" s="1"/>
  <c r="T176" i="17" a="1"/>
  <c r="T176" i="17" s="1"/>
  <c r="T74" i="17" a="1"/>
  <c r="T74" i="17" s="1"/>
  <c r="T239" i="17" a="1"/>
  <c r="T239" i="17" s="1"/>
  <c r="T240" i="17" a="1"/>
  <c r="T240" i="17" s="1"/>
  <c r="U22" i="17" a="1"/>
  <c r="U22" i="17" s="1"/>
  <c r="U202" i="17" a="1"/>
  <c r="U202" i="17" s="1"/>
  <c r="U212" i="17" a="1"/>
  <c r="U212" i="17" s="1"/>
  <c r="U98" i="17" a="1"/>
  <c r="U98" i="17" s="1"/>
  <c r="U101" i="17" a="1"/>
  <c r="U101" i="17" s="1"/>
  <c r="U173" i="17" a="1"/>
  <c r="U173" i="17" s="1"/>
  <c r="U48" i="17" a="1"/>
  <c r="U48" i="17" s="1"/>
  <c r="U106" i="17" a="1"/>
  <c r="U106" i="17" s="1"/>
  <c r="U214" i="17" a="1"/>
  <c r="U214" i="17" s="1"/>
  <c r="U110" i="17" a="1"/>
  <c r="U110" i="17" s="1"/>
  <c r="U112" i="17" a="1"/>
  <c r="U112" i="17" s="1"/>
  <c r="U113" i="17" a="1"/>
  <c r="U113" i="17" s="1"/>
  <c r="U165" i="17" a="1"/>
  <c r="U165" i="17" s="1"/>
  <c r="U175" i="17" a="1"/>
  <c r="U175" i="17" s="1"/>
  <c r="U185" i="17" a="1"/>
  <c r="U185" i="17" s="1"/>
  <c r="U6" i="17" a="1"/>
  <c r="U6" i="17" s="1"/>
  <c r="U58" i="17" a="1"/>
  <c r="U58" i="17" s="1"/>
  <c r="U61" i="17" a="1"/>
  <c r="U61" i="17" s="1"/>
  <c r="U116" i="17" a="1"/>
  <c r="U116" i="17" s="1"/>
  <c r="U117" i="17" a="1"/>
  <c r="U117" i="17" s="1"/>
  <c r="U166" i="17" a="1"/>
  <c r="U166" i="17" s="1"/>
  <c r="U196" i="17" a="1"/>
  <c r="U196" i="17" s="1"/>
  <c r="U206" i="17" a="1"/>
  <c r="U206" i="17" s="1"/>
  <c r="U216" i="17" a="1"/>
  <c r="U216" i="17"/>
  <c r="U236" i="17" a="1"/>
  <c r="U236" i="17" s="1"/>
  <c r="U62" i="17" a="1"/>
  <c r="U62" i="17" s="1"/>
  <c r="U64" i="17" a="1"/>
  <c r="U64" i="17" s="1"/>
  <c r="U65" i="17" a="1"/>
  <c r="U65" i="17" s="1"/>
  <c r="U66" i="17" a="1"/>
  <c r="U66" i="17" s="1"/>
  <c r="U67" i="17" a="1"/>
  <c r="U67" i="17" s="1"/>
  <c r="U122" i="17" a="1"/>
  <c r="U122" i="17" s="1"/>
  <c r="U127" i="17" a="1"/>
  <c r="U127" i="17" s="1"/>
  <c r="U167" i="17" a="1"/>
  <c r="U167" i="17" s="1"/>
  <c r="U187" i="17" a="1"/>
  <c r="U187" i="17" s="1"/>
  <c r="U197" i="17" a="1"/>
  <c r="U197" i="17" s="1"/>
  <c r="U217" i="17" a="1"/>
  <c r="U217" i="17" s="1"/>
  <c r="U237" i="17" a="1"/>
  <c r="U237" i="17" s="1"/>
  <c r="U18" i="17" a="1"/>
  <c r="U18" i="17" s="1"/>
  <c r="U70" i="17" a="1"/>
  <c r="U70" i="17" s="1"/>
  <c r="U72" i="17" a="1"/>
  <c r="U72" i="17"/>
  <c r="U129" i="17" a="1"/>
  <c r="U129" i="17" s="1"/>
  <c r="U131" i="17" a="1"/>
  <c r="U131" i="17" s="1"/>
  <c r="U132" i="17" a="1"/>
  <c r="U132" i="17" s="1"/>
  <c r="U133" i="17" a="1"/>
  <c r="U133" i="17" s="1"/>
  <c r="U168" i="17" a="1"/>
  <c r="U168" i="17" s="1"/>
  <c r="U208" i="17" a="1"/>
  <c r="U208" i="17" s="1"/>
  <c r="U238" i="17" a="1"/>
  <c r="U238" i="17" s="1"/>
  <c r="U19" i="17" a="1"/>
  <c r="U19" i="17" s="1"/>
  <c r="U29" i="17" a="1"/>
  <c r="U29" i="17" s="1"/>
  <c r="U74" i="17" a="1"/>
  <c r="U74" i="17" s="1"/>
  <c r="U75" i="17" a="1"/>
  <c r="U75" i="17" s="1"/>
  <c r="U79" i="17" a="1"/>
  <c r="U79" i="17" s="1"/>
  <c r="U136" i="17" a="1"/>
  <c r="U136" i="17" s="1"/>
  <c r="U137" i="17" a="1"/>
  <c r="U137" i="17" s="1"/>
  <c r="U138" i="17" a="1"/>
  <c r="U138" i="17" s="1"/>
  <c r="U139" i="17" a="1"/>
  <c r="U139" i="17" s="1"/>
  <c r="U159" i="17" a="1"/>
  <c r="U159" i="17" s="1"/>
  <c r="U169" i="17" a="1"/>
  <c r="U169" i="17" s="1"/>
  <c r="U179" i="17" a="1"/>
  <c r="U179" i="17" s="1"/>
  <c r="U199" i="17" a="1"/>
  <c r="U199" i="17" s="1"/>
  <c r="U10" i="17" a="1"/>
  <c r="U10" i="17"/>
  <c r="U30" i="17" a="1"/>
  <c r="U30" i="17"/>
  <c r="U80" i="17" a="1"/>
  <c r="U80" i="17" s="1"/>
  <c r="U81" i="17" a="1"/>
  <c r="U81" i="17" s="1"/>
  <c r="U140" i="17" a="1"/>
  <c r="U140" i="17" s="1"/>
  <c r="U144" i="17" a="1"/>
  <c r="U144" i="17" s="1"/>
  <c r="U145" i="17" a="1"/>
  <c r="U145" i="17" s="1"/>
  <c r="U170" i="17" a="1"/>
  <c r="U170" i="17" s="1"/>
  <c r="U190" i="17" a="1"/>
  <c r="U190" i="17" s="1"/>
  <c r="U200" i="17" a="1"/>
  <c r="U200" i="17" s="1"/>
  <c r="U210" i="17" a="1"/>
  <c r="U210" i="17" s="1"/>
  <c r="U230" i="17" a="1"/>
  <c r="U230" i="17" s="1"/>
  <c r="U240" i="17" a="1"/>
  <c r="U240" i="17" s="1"/>
  <c r="U11" i="17" a="1"/>
  <c r="U11" i="17" s="1"/>
  <c r="U31" i="17" a="1"/>
  <c r="U31" i="17" s="1"/>
  <c r="U86" i="17" a="1"/>
  <c r="U86" i="17" s="1"/>
  <c r="U89" i="17" a="1"/>
  <c r="U89" i="17" s="1"/>
  <c r="U90" i="17" a="1"/>
  <c r="U90" i="17" s="1"/>
  <c r="U91" i="17" a="1"/>
  <c r="U91" i="17" s="1"/>
  <c r="U147" i="17" a="1"/>
  <c r="U147" i="17" s="1"/>
  <c r="U148" i="17" a="1"/>
  <c r="U148" i="17" s="1"/>
  <c r="U171" i="17" a="1"/>
  <c r="U171" i="17"/>
  <c r="U191" i="17" a="1"/>
  <c r="U191" i="17" s="1"/>
  <c r="U201" i="17" a="1"/>
  <c r="U201" i="17" s="1"/>
  <c r="U211" i="17" a="1"/>
  <c r="U211" i="17" s="1"/>
  <c r="U221" i="17" a="1"/>
  <c r="U221" i="17" s="1"/>
  <c r="V22" i="17" a="1"/>
  <c r="V22" i="17" s="1"/>
  <c r="V34" i="17" a="1"/>
  <c r="V34" i="17" s="1"/>
  <c r="V36" i="17" a="1"/>
  <c r="V36" i="17" s="1"/>
  <c r="V37" i="17" a="1"/>
  <c r="V37" i="17" s="1"/>
  <c r="V92" i="17" a="1"/>
  <c r="V92" i="17" s="1"/>
  <c r="V96" i="17" a="1"/>
  <c r="V96" i="17" s="1"/>
  <c r="V152" i="17" a="1"/>
  <c r="V152" i="17" s="1"/>
  <c r="V172" i="17" a="1"/>
  <c r="V172" i="17" s="1"/>
  <c r="V192" i="17" a="1"/>
  <c r="V192" i="17" s="1"/>
  <c r="V202" i="17" a="1"/>
  <c r="V202" i="17" s="1"/>
  <c r="V222" i="17" a="1"/>
  <c r="V222" i="17" s="1"/>
  <c r="V3" i="17" a="1"/>
  <c r="V3" i="17" s="1"/>
  <c r="V13" i="17" a="1"/>
  <c r="V13" i="17" s="1"/>
  <c r="V38" i="17" a="1"/>
  <c r="V38" i="17" s="1"/>
  <c r="V41" i="17" a="1"/>
  <c r="V41" i="17"/>
  <c r="V98" i="17" a="1"/>
  <c r="V98" i="17" s="1"/>
  <c r="V99" i="17" a="1"/>
  <c r="V99" i="17" s="1"/>
  <c r="V100" i="17" a="1"/>
  <c r="V100" i="17" s="1"/>
  <c r="V101" i="17" a="1"/>
  <c r="V101" i="17" s="1"/>
  <c r="V102" i="17" a="1"/>
  <c r="V102" i="17" s="1"/>
  <c r="V103" i="17" a="1"/>
  <c r="V103" i="17" s="1"/>
  <c r="V153" i="17" a="1"/>
  <c r="V153" i="17" s="1"/>
  <c r="V163" i="17" a="1"/>
  <c r="V163" i="17" s="1"/>
  <c r="V213" i="17" a="1"/>
  <c r="V213" i="17" s="1"/>
  <c r="V233" i="17" a="1"/>
  <c r="V233" i="17" s="1"/>
  <c r="V4" i="17" a="1"/>
  <c r="V4" i="17" s="1"/>
  <c r="V14" i="17" a="1"/>
  <c r="V14" i="17" s="1"/>
  <c r="V24" i="17" a="1"/>
  <c r="V24" i="17" s="1"/>
  <c r="V44" i="17" a="1"/>
  <c r="V44" i="17" s="1"/>
  <c r="V48" i="17" a="1"/>
  <c r="V48" i="17" s="1"/>
  <c r="V105" i="17" a="1"/>
  <c r="V105" i="17" s="1"/>
  <c r="V106" i="17" a="1"/>
  <c r="V106" i="17" s="1"/>
  <c r="V108" i="17" a="1"/>
  <c r="V108" i="17" s="1"/>
  <c r="V109" i="17" a="1"/>
  <c r="V109" i="17" s="1"/>
  <c r="V154" i="17" a="1"/>
  <c r="V154" i="17" s="1"/>
  <c r="V184" i="17" a="1"/>
  <c r="V184" i="17" s="1"/>
  <c r="V204" i="17" a="1"/>
  <c r="V204" i="17" s="1"/>
  <c r="V234" i="17" a="1"/>
  <c r="V234" i="17" s="1"/>
  <c r="V5" i="17" a="1"/>
  <c r="V5" i="17" s="1"/>
  <c r="V25" i="17" a="1"/>
  <c r="V25" i="17" s="1"/>
  <c r="V50" i="17" a="1"/>
  <c r="V50" i="17" s="1"/>
  <c r="V53" i="17" a="1"/>
  <c r="V53" i="17" s="1"/>
  <c r="V54" i="17" a="1"/>
  <c r="V54" i="17"/>
  <c r="V55" i="17" a="1"/>
  <c r="V55" i="17" s="1"/>
  <c r="V110" i="17" a="1"/>
  <c r="V110" i="17" s="1"/>
  <c r="V112" i="17" a="1"/>
  <c r="V112" i="17" s="1"/>
  <c r="V113" i="17" a="1"/>
  <c r="V113" i="17" s="1"/>
  <c r="V114" i="17" a="1"/>
  <c r="V114" i="17" s="1"/>
  <c r="V115" i="17" a="1"/>
  <c r="V115" i="17" s="1"/>
  <c r="V165" i="17" a="1"/>
  <c r="V165" i="17" s="1"/>
  <c r="V175" i="17" a="1"/>
  <c r="V175" i="17" s="1"/>
  <c r="V185" i="17" a="1"/>
  <c r="V185" i="17" s="1"/>
  <c r="V195" i="17" a="1"/>
  <c r="V195" i="17" s="1"/>
  <c r="V205" i="17" a="1"/>
  <c r="V205" i="17" s="1"/>
  <c r="V16" i="17" a="1"/>
  <c r="V16" i="17" s="1"/>
  <c r="V26" i="17" a="1"/>
  <c r="V26" i="17" s="1"/>
  <c r="V56" i="17" a="1"/>
  <c r="V56" i="17" s="1"/>
  <c r="V57" i="17" a="1"/>
  <c r="V57" i="17" s="1"/>
  <c r="V58" i="17" a="1"/>
  <c r="V58" i="17" s="1"/>
  <c r="V59" i="17" a="1"/>
  <c r="V59" i="17" s="1"/>
  <c r="V60" i="17" a="1"/>
  <c r="V60" i="17" s="1"/>
  <c r="V61" i="17" a="1"/>
  <c r="V61" i="17" s="1"/>
  <c r="V118" i="17" a="1"/>
  <c r="V118" i="17" s="1"/>
  <c r="V156" i="17" a="1"/>
  <c r="V156" i="17" s="1"/>
  <c r="V166" i="17" a="1"/>
  <c r="V166" i="17" s="1"/>
  <c r="V176" i="17" a="1"/>
  <c r="V176" i="17" s="1"/>
  <c r="V186" i="17" a="1"/>
  <c r="V186" i="17" s="1"/>
  <c r="V196" i="17" a="1"/>
  <c r="V196" i="17" s="1"/>
  <c r="V206" i="17" a="1"/>
  <c r="V206" i="17" s="1"/>
  <c r="V216" i="17" a="1"/>
  <c r="V216" i="17" s="1"/>
  <c r="V236" i="17" a="1"/>
  <c r="V236" i="17" s="1"/>
  <c r="V17" i="17" a="1"/>
  <c r="V17" i="17" s="1"/>
  <c r="V27" i="17" a="1"/>
  <c r="V27" i="17" s="1"/>
  <c r="V64" i="17" a="1"/>
  <c r="V64" i="17" s="1"/>
  <c r="V65" i="17" a="1"/>
  <c r="V65" i="17"/>
  <c r="V66" i="17" a="1"/>
  <c r="V66" i="17" s="1"/>
  <c r="V67" i="17" a="1"/>
  <c r="V67" i="17" s="1"/>
  <c r="V124" i="17" a="1"/>
  <c r="V124" i="17" s="1"/>
  <c r="V125" i="17" a="1"/>
  <c r="V125" i="17" s="1"/>
  <c r="V126" i="17" a="1"/>
  <c r="V126" i="17" s="1"/>
  <c r="V127" i="17" a="1"/>
  <c r="V127" i="17" s="1"/>
  <c r="V177" i="17" a="1"/>
  <c r="V177" i="17"/>
  <c r="V187" i="17" a="1"/>
  <c r="V187" i="17" s="1"/>
  <c r="V207" i="17" a="1"/>
  <c r="V207" i="17" s="1"/>
  <c r="V227" i="17" a="1"/>
  <c r="V227" i="17"/>
  <c r="V237" i="17" a="1"/>
  <c r="V237" i="17" s="1"/>
  <c r="V8" i="17" a="1"/>
  <c r="V8" i="17" s="1"/>
  <c r="V69" i="17" a="1"/>
  <c r="V69" i="17" s="1"/>
  <c r="V72" i="17" a="1"/>
  <c r="V72" i="17" s="1"/>
  <c r="V73" i="17" a="1"/>
  <c r="V73" i="17" s="1"/>
  <c r="V128" i="17" a="1"/>
  <c r="V128" i="17" s="1"/>
  <c r="V129" i="17" a="1"/>
  <c r="V129" i="17"/>
  <c r="V130" i="17" a="1"/>
  <c r="V130" i="17" s="1"/>
  <c r="V131" i="17" a="1"/>
  <c r="V131" i="17" s="1"/>
  <c r="V132" i="17" a="1"/>
  <c r="V132" i="17" s="1"/>
  <c r="V158" i="17" a="1"/>
  <c r="V158" i="17" s="1"/>
  <c r="V198" i="17" a="1"/>
  <c r="V198" i="17" s="1"/>
  <c r="V208" i="17" a="1"/>
  <c r="V208" i="17" s="1"/>
  <c r="V218" i="17" a="1"/>
  <c r="V218" i="17" s="1"/>
  <c r="V228" i="17" a="1"/>
  <c r="V228" i="17"/>
  <c r="V238" i="17" a="1"/>
  <c r="V238" i="17" s="1"/>
  <c r="V9" i="17" a="1"/>
  <c r="V9" i="17" s="1"/>
  <c r="V19" i="17" a="1"/>
  <c r="V19" i="17" s="1"/>
  <c r="V29" i="17" a="1"/>
  <c r="V29" i="17" s="1"/>
  <c r="V74" i="17" a="1"/>
  <c r="V74" i="17" s="1"/>
  <c r="V134" i="17" a="1"/>
  <c r="V134" i="17" s="1"/>
  <c r="V135" i="17" a="1"/>
  <c r="V135" i="17" s="1"/>
  <c r="V136" i="17" a="1"/>
  <c r="V136" i="17" s="1"/>
  <c r="V137" i="17" a="1"/>
  <c r="V137" i="17" s="1"/>
  <c r="V139" i="17" a="1"/>
  <c r="V139" i="17" s="1"/>
  <c r="V169" i="17" a="1"/>
  <c r="V169" i="17" s="1"/>
  <c r="V179" i="17" a="1"/>
  <c r="V179" i="17" s="1"/>
  <c r="V189" i="17" a="1"/>
  <c r="V189" i="17" s="1"/>
  <c r="V209" i="17" a="1"/>
  <c r="V209" i="17" s="1"/>
  <c r="V229" i="17" a="1"/>
  <c r="V229" i="17" s="1"/>
  <c r="V239" i="17" a="1"/>
  <c r="V239" i="17" s="1"/>
  <c r="V10" i="17" a="1"/>
  <c r="V10" i="17" s="1"/>
  <c r="V80" i="17" a="1"/>
  <c r="V80" i="17" s="1"/>
  <c r="V81" i="17" a="1"/>
  <c r="V81" i="17" s="1"/>
  <c r="V82" i="17" a="1"/>
  <c r="V82" i="17"/>
  <c r="V83" i="17" a="1"/>
  <c r="V83" i="17" s="1"/>
  <c r="V84" i="17" a="1"/>
  <c r="V84" i="17" s="1"/>
  <c r="V141" i="17" a="1"/>
  <c r="V141" i="17" s="1"/>
  <c r="V142" i="17" a="1"/>
  <c r="V142" i="17" s="1"/>
  <c r="V160" i="17" a="1"/>
  <c r="V160" i="17"/>
  <c r="V170" i="17" a="1"/>
  <c r="V170" i="17" s="1"/>
  <c r="V180" i="17" a="1"/>
  <c r="V180" i="17" s="1"/>
  <c r="V190" i="17" a="1"/>
  <c r="V190" i="17" s="1"/>
  <c r="V200" i="17" a="1"/>
  <c r="V200" i="17" s="1"/>
  <c r="V210" i="17" a="1"/>
  <c r="V210" i="17" s="1"/>
  <c r="V220" i="17" a="1"/>
  <c r="V220" i="17" s="1"/>
  <c r="V230" i="17" a="1"/>
  <c r="V230" i="17" s="1"/>
  <c r="V86" i="17" a="1"/>
  <c r="V86" i="17" s="1"/>
  <c r="V87" i="17" a="1"/>
  <c r="V87" i="17" s="1"/>
  <c r="V88" i="17" a="1"/>
  <c r="V88" i="17"/>
  <c r="V89" i="17" a="1"/>
  <c r="V89" i="17"/>
  <c r="V90" i="17" a="1"/>
  <c r="V90" i="17" s="1"/>
  <c r="V91" i="17" a="1"/>
  <c r="V91" i="17" s="1"/>
  <c r="V146" i="17" a="1"/>
  <c r="V146" i="17" s="1"/>
  <c r="V148" i="17" a="1"/>
  <c r="V148" i="17" s="1"/>
  <c r="V161" i="17" a="1"/>
  <c r="V161" i="17" s="1"/>
  <c r="V171" i="17" a="1"/>
  <c r="V171" i="17" s="1"/>
  <c r="V181" i="17" a="1"/>
  <c r="V181" i="17" s="1"/>
  <c r="V191" i="17" a="1"/>
  <c r="V191" i="17" s="1"/>
  <c r="V201" i="17" a="1"/>
  <c r="V201" i="17" s="1"/>
  <c r="V211" i="17" a="1"/>
  <c r="V211" i="17" s="1"/>
  <c r="V221" i="17" a="1"/>
  <c r="V221" i="17"/>
  <c r="X2" i="17" a="1"/>
  <c r="X2" i="17" s="1"/>
  <c r="Y2" i="17" s="1"/>
  <c r="X12" i="17" a="1"/>
  <c r="X12" i="17" s="1"/>
  <c r="X22" i="17" a="1"/>
  <c r="X22" i="17" s="1"/>
  <c r="Y22" i="17" s="1"/>
  <c r="X32" i="17" a="1"/>
  <c r="X32" i="17" s="1"/>
  <c r="Y32" i="17" s="1"/>
  <c r="X33" i="17" a="1"/>
  <c r="X33" i="17" s="1"/>
  <c r="Y33" i="17" s="1"/>
  <c r="X35" i="17" a="1"/>
  <c r="X35" i="17" s="1"/>
  <c r="Y35" i="17" s="1"/>
  <c r="X36" i="17" a="1"/>
  <c r="X36" i="17" s="1"/>
  <c r="Y36" i="17" s="1"/>
  <c r="X37" i="17" a="1"/>
  <c r="X37" i="17" s="1"/>
  <c r="Y37" i="17" s="1"/>
  <c r="X92" i="17" a="1"/>
  <c r="X92" i="17" s="1"/>
  <c r="Y92" i="17" s="1"/>
  <c r="X93" i="17" a="1"/>
  <c r="X93" i="17" s="1"/>
  <c r="Y93" i="17" s="1"/>
  <c r="X95" i="17" a="1"/>
  <c r="X95" i="17" s="1"/>
  <c r="Y95" i="17" s="1"/>
  <c r="X96" i="17" a="1"/>
  <c r="X96" i="17" s="1"/>
  <c r="Y96" i="17" s="1"/>
  <c r="X97" i="17" a="1"/>
  <c r="X97" i="17" s="1"/>
  <c r="Y97" i="17" s="1"/>
  <c r="X162" i="17" a="1"/>
  <c r="X162" i="17" s="1"/>
  <c r="X182" i="17" a="1"/>
  <c r="X182" i="17" s="1"/>
  <c r="Y182" i="17" s="1"/>
  <c r="X192" i="17" a="1"/>
  <c r="X192" i="17" s="1"/>
  <c r="X202" i="17" a="1"/>
  <c r="X202" i="17"/>
  <c r="X212" i="17" a="1"/>
  <c r="X212" i="17" s="1"/>
  <c r="Y212" i="17" s="1"/>
  <c r="X232" i="17" a="1"/>
  <c r="X232" i="17" s="1"/>
  <c r="Y232" i="17" s="1"/>
  <c r="X13" i="17" a="1"/>
  <c r="X13" i="17" s="1"/>
  <c r="X23" i="17" a="1"/>
  <c r="X23" i="17" s="1"/>
  <c r="Y23" i="17" s="1"/>
  <c r="X39" i="17" a="1"/>
  <c r="X39" i="17"/>
  <c r="Y39" i="17" s="1"/>
  <c r="X41" i="17" a="1"/>
  <c r="X41" i="17" s="1"/>
  <c r="Y41" i="17" s="1"/>
  <c r="X42" i="17" a="1"/>
  <c r="X42" i="17" s="1"/>
  <c r="Y42" i="17" s="1"/>
  <c r="X43" i="17" a="1"/>
  <c r="X43" i="17" s="1"/>
  <c r="Y43" i="17" s="1"/>
  <c r="X98" i="17" a="1"/>
  <c r="X98" i="17" s="1"/>
  <c r="Y98" i="17" s="1"/>
  <c r="X99" i="17" a="1"/>
  <c r="X99" i="17" s="1"/>
  <c r="Y99" i="17" s="1"/>
  <c r="X102" i="17" a="1"/>
  <c r="X102" i="17" s="1"/>
  <c r="Y102" i="17" s="1"/>
  <c r="X103" i="17" a="1"/>
  <c r="X103" i="17" s="1"/>
  <c r="Y103" i="17" s="1"/>
  <c r="X163" i="17" a="1"/>
  <c r="X163" i="17" s="1"/>
  <c r="Y163" i="17" s="1"/>
  <c r="X173" i="17" a="1"/>
  <c r="X173" i="17" s="1"/>
  <c r="Y173" i="17" s="1"/>
  <c r="X183" i="17" a="1"/>
  <c r="X183" i="17" s="1"/>
  <c r="Y183" i="17" s="1"/>
  <c r="X193" i="17" a="1"/>
  <c r="X193" i="17" s="1"/>
  <c r="X203" i="17" a="1"/>
  <c r="X203" i="17" s="1"/>
  <c r="Y203" i="17" s="1"/>
  <c r="X213" i="17" a="1"/>
  <c r="X213" i="17" s="1"/>
  <c r="Y213" i="17" s="1"/>
  <c r="X223" i="17" a="1"/>
  <c r="X223" i="17" s="1"/>
  <c r="Y223" i="17" s="1"/>
  <c r="X4" i="17" a="1"/>
  <c r="X4" i="17" s="1"/>
  <c r="Y4" i="17" s="1"/>
  <c r="X14" i="17" a="1"/>
  <c r="X14" i="17" s="1"/>
  <c r="X24" i="17" a="1"/>
  <c r="X24" i="17" s="1"/>
  <c r="X44" i="17" a="1"/>
  <c r="X44" i="17" s="1"/>
  <c r="Y44" i="17" s="1"/>
  <c r="X45" i="17" a="1"/>
  <c r="X45" i="17"/>
  <c r="Y45" i="17" s="1"/>
  <c r="X46" i="17" a="1"/>
  <c r="X46" i="17" s="1"/>
  <c r="Y46" i="17" s="1"/>
  <c r="X47" i="17" a="1"/>
  <c r="X47" i="17" s="1"/>
  <c r="Y47" i="17" s="1"/>
  <c r="X48" i="17" a="1"/>
  <c r="X48" i="17" s="1"/>
  <c r="X104" i="17" a="1"/>
  <c r="X104" i="17" s="1"/>
  <c r="Y104" i="17" s="1"/>
  <c r="X106" i="17" a="1"/>
  <c r="X106" i="17" s="1"/>
  <c r="Y106" i="17" s="1"/>
  <c r="X108" i="17" a="1"/>
  <c r="X108" i="17" s="1"/>
  <c r="Y108" i="17" s="1"/>
  <c r="X109" i="17" a="1"/>
  <c r="X109" i="17" s="1"/>
  <c r="Y109" i="17" s="1"/>
  <c r="X154" i="17" a="1"/>
  <c r="X154" i="17"/>
  <c r="Y154" i="17" s="1"/>
  <c r="X164" i="17" a="1"/>
  <c r="X164" i="17" s="1"/>
  <c r="Y164" i="17" s="1"/>
  <c r="X174" i="17" a="1"/>
  <c r="X174" i="17" s="1"/>
  <c r="Y174" i="17" s="1"/>
  <c r="X184" i="17" a="1"/>
  <c r="X184" i="17" s="1"/>
  <c r="Y184" i="17" s="1"/>
  <c r="X204" i="17" a="1"/>
  <c r="X204" i="17" s="1"/>
  <c r="Y204" i="17" s="1"/>
  <c r="X224" i="17" a="1"/>
  <c r="X224" i="17" s="1"/>
  <c r="X234" i="17" a="1"/>
  <c r="X234" i="17" s="1"/>
  <c r="X5" i="17" a="1"/>
  <c r="X5" i="17" s="1"/>
  <c r="Y5" i="17" s="1"/>
  <c r="X15" i="17" a="1"/>
  <c r="X15" i="17"/>
  <c r="Y15" i="17" s="1"/>
  <c r="X25" i="17" a="1"/>
  <c r="X25" i="17" s="1"/>
  <c r="X50" i="17" a="1"/>
  <c r="X50" i="17" s="1"/>
  <c r="Y50" i="17" s="1"/>
  <c r="X51" i="17" a="1"/>
  <c r="X51" i="17" s="1"/>
  <c r="Y51" i="17" s="1"/>
  <c r="X52" i="17" a="1"/>
  <c r="X52" i="17" s="1"/>
  <c r="Y52" i="17" s="1"/>
  <c r="X53" i="17" a="1"/>
  <c r="X53" i="17" s="1"/>
  <c r="Y53" i="17" s="1"/>
  <c r="X110" i="17" a="1"/>
  <c r="X110" i="17" s="1"/>
  <c r="Y110" i="17" s="1"/>
  <c r="X111" i="17" a="1"/>
  <c r="X111" i="17" s="1"/>
  <c r="Y111" i="17" s="1"/>
  <c r="X112" i="17" a="1"/>
  <c r="X112" i="17" s="1"/>
  <c r="Y112" i="17" s="1"/>
  <c r="X113" i="17" a="1"/>
  <c r="X113" i="17" s="1"/>
  <c r="Y113" i="17" s="1"/>
  <c r="X114" i="17" a="1"/>
  <c r="X114" i="17" s="1"/>
  <c r="Y114" i="17" s="1"/>
  <c r="X115" i="17" a="1"/>
  <c r="X115" i="17" s="1"/>
  <c r="Y115" i="17" s="1"/>
  <c r="X155" i="17" a="1"/>
  <c r="X155" i="17" s="1"/>
  <c r="Y155" i="17" s="1"/>
  <c r="X165" i="17" a="1"/>
  <c r="X165" i="17" s="1"/>
  <c r="Y165" i="17" s="1"/>
  <c r="X175" i="17" a="1"/>
  <c r="X175" i="17" s="1"/>
  <c r="Y175" i="17" s="1"/>
  <c r="X195" i="17" a="1"/>
  <c r="X195" i="17" s="1"/>
  <c r="X205" i="17" a="1"/>
  <c r="X205" i="17" s="1"/>
  <c r="Y205" i="17" s="1"/>
  <c r="X215" i="17" a="1"/>
  <c r="X215" i="17" s="1"/>
  <c r="Y215" i="17" s="1"/>
  <c r="X225" i="17" a="1"/>
  <c r="X225" i="17" s="1"/>
  <c r="Y225" i="17" s="1"/>
  <c r="X235" i="17" a="1"/>
  <c r="X235" i="17" s="1"/>
  <c r="Y235" i="17" s="1"/>
  <c r="X6" i="17" a="1"/>
  <c r="X6" i="17" s="1"/>
  <c r="Y6" i="17" s="1"/>
  <c r="X16" i="17" a="1"/>
  <c r="X16" i="17" s="1"/>
  <c r="Y16" i="17" s="1"/>
  <c r="X26" i="17" a="1"/>
  <c r="X26" i="17"/>
  <c r="Y26" i="17" s="1"/>
  <c r="X57" i="17" a="1"/>
  <c r="X57" i="17" s="1"/>
  <c r="Y57" i="17" s="1"/>
  <c r="X60" i="17" a="1"/>
  <c r="X60" i="17" s="1"/>
  <c r="Y60" i="17" s="1"/>
  <c r="X61" i="17" a="1"/>
  <c r="X61" i="17" s="1"/>
  <c r="Y61" i="17" s="1"/>
  <c r="X116" i="17" a="1"/>
  <c r="X116" i="17"/>
  <c r="Y116" i="17" s="1"/>
  <c r="X117" i="17" a="1"/>
  <c r="X117" i="17" s="1"/>
  <c r="Y117" i="17" s="1"/>
  <c r="X118" i="17" a="1"/>
  <c r="X118" i="17" s="1"/>
  <c r="Y118" i="17" s="1"/>
  <c r="X119" i="17" a="1"/>
  <c r="X119" i="17" s="1"/>
  <c r="Y119" i="17" s="1"/>
  <c r="X120" i="17" a="1"/>
  <c r="X120" i="17"/>
  <c r="Y120" i="17" s="1"/>
  <c r="X121" i="17" a="1"/>
  <c r="X121" i="17" s="1"/>
  <c r="Y121" i="17" s="1"/>
  <c r="X166" i="17" a="1"/>
  <c r="X166" i="17" s="1"/>
  <c r="Y166" i="17" s="1"/>
  <c r="X186" i="17" a="1"/>
  <c r="X186" i="17" s="1"/>
  <c r="Y186" i="17" s="1"/>
  <c r="X196" i="17" a="1"/>
  <c r="X196" i="17" s="1"/>
  <c r="X206" i="17" a="1"/>
  <c r="X206" i="17" s="1"/>
  <c r="Y206" i="17" s="1"/>
  <c r="X216" i="17" a="1"/>
  <c r="X216" i="17" s="1"/>
  <c r="Y216" i="17" s="1"/>
  <c r="X226" i="17" a="1"/>
  <c r="X226" i="17" s="1"/>
  <c r="Y226" i="17" s="1"/>
  <c r="X236" i="17" a="1"/>
  <c r="X236" i="17" s="1"/>
  <c r="Y236" i="17" s="1"/>
  <c r="X7" i="17" a="1"/>
  <c r="X7" i="17" s="1"/>
  <c r="Y7" i="17" s="1"/>
  <c r="X17" i="17" a="1"/>
  <c r="X17" i="17"/>
  <c r="Y17" i="17" s="1"/>
  <c r="X62" i="17" a="1"/>
  <c r="X62" i="17" s="1"/>
  <c r="X64" i="17" a="1"/>
  <c r="X64" i="17" s="1"/>
  <c r="X65" i="17" a="1"/>
  <c r="X65" i="17" s="1"/>
  <c r="X66" i="17" a="1"/>
  <c r="X66" i="17" s="1"/>
  <c r="Y66" i="17" s="1"/>
  <c r="X67" i="17" a="1"/>
  <c r="X67" i="17" s="1"/>
  <c r="Y67" i="17" s="1"/>
  <c r="X122" i="17" a="1"/>
  <c r="X122" i="17" s="1"/>
  <c r="Y122" i="17" s="1"/>
  <c r="X123" i="17" a="1"/>
  <c r="X123" i="17"/>
  <c r="Y123" i="17" s="1"/>
  <c r="X124" i="17" a="1"/>
  <c r="X124" i="17" s="1"/>
  <c r="Y124" i="17" s="1"/>
  <c r="X125" i="17" a="1"/>
  <c r="X125" i="17" s="1"/>
  <c r="Y125" i="17" s="1"/>
  <c r="X177" i="17" a="1"/>
  <c r="X177" i="17" s="1"/>
  <c r="Y177" i="17" s="1"/>
  <c r="X187" i="17" a="1"/>
  <c r="X187" i="17" s="1"/>
  <c r="Y187" i="17" s="1"/>
  <c r="X197" i="17" a="1"/>
  <c r="X197" i="17" s="1"/>
  <c r="Y197" i="17" s="1"/>
  <c r="X207" i="17" a="1"/>
  <c r="X207" i="17" s="1"/>
  <c r="Y207" i="17" s="1"/>
  <c r="X217" i="17" a="1"/>
  <c r="X217" i="17" s="1"/>
  <c r="Y217" i="17" s="1"/>
  <c r="X227" i="17" a="1"/>
  <c r="X227" i="17" s="1"/>
  <c r="Y227" i="17" s="1"/>
  <c r="X8" i="17" a="1"/>
  <c r="X8" i="17" s="1"/>
  <c r="Y8" i="17" s="1"/>
  <c r="X18" i="17" a="1"/>
  <c r="X18" i="17" s="1"/>
  <c r="Y18" i="17" s="1"/>
  <c r="X28" i="17" a="1"/>
  <c r="X28" i="17" s="1"/>
  <c r="X70" i="17" a="1"/>
  <c r="X70" i="17" s="1"/>
  <c r="Y70" i="17" s="1"/>
  <c r="X71" i="17" a="1"/>
  <c r="X71" i="17" s="1"/>
  <c r="Y71" i="17" s="1"/>
  <c r="X72" i="17" a="1"/>
  <c r="X72" i="17" s="1"/>
  <c r="Y72" i="17" s="1"/>
  <c r="X73" i="17" a="1"/>
  <c r="X73" i="17" s="1"/>
  <c r="Y73" i="17" s="1"/>
  <c r="X128" i="17" a="1"/>
  <c r="X128" i="17" s="1"/>
  <c r="Y128" i="17" s="1"/>
  <c r="X129" i="17" a="1"/>
  <c r="X129" i="17" s="1"/>
  <c r="Y129" i="17" s="1"/>
  <c r="X131" i="17" a="1"/>
  <c r="X131" i="17" s="1"/>
  <c r="Y131" i="17" s="1"/>
  <c r="X132" i="17" a="1"/>
  <c r="X132" i="17" s="1"/>
  <c r="Y132" i="17" s="1"/>
  <c r="X178" i="17" a="1"/>
  <c r="X178" i="17" s="1"/>
  <c r="X188" i="17" a="1"/>
  <c r="X188" i="17" s="1"/>
  <c r="X198" i="17" a="1"/>
  <c r="X198" i="17" s="1"/>
  <c r="Y198" i="17" s="1"/>
  <c r="X208" i="17" a="1"/>
  <c r="X208" i="17" s="1"/>
  <c r="Y208" i="17" s="1"/>
  <c r="X218" i="17" a="1"/>
  <c r="X218" i="17" s="1"/>
  <c r="Y218" i="17" s="1"/>
  <c r="X228" i="17" a="1"/>
  <c r="X228" i="17" s="1"/>
  <c r="Y228" i="17" s="1"/>
  <c r="X238" i="17" a="1"/>
  <c r="X238" i="17" s="1"/>
  <c r="Y238" i="17" s="1"/>
  <c r="X9" i="17" a="1"/>
  <c r="X9" i="17" s="1"/>
  <c r="Y9" i="17" s="1"/>
  <c r="X19" i="17" a="1"/>
  <c r="X19" i="17" s="1"/>
  <c r="Y19" i="17" s="1"/>
  <c r="X74" i="17" a="1"/>
  <c r="X74" i="17" s="1"/>
  <c r="X75" i="17" a="1"/>
  <c r="X75" i="17" s="1"/>
  <c r="X76" i="17" a="1"/>
  <c r="X76" i="17" s="1"/>
  <c r="Y76" i="17" s="1"/>
  <c r="X77" i="17" a="1"/>
  <c r="X77" i="17" s="1"/>
  <c r="Y77" i="17" s="1"/>
  <c r="X78" i="17" a="1"/>
  <c r="X78" i="17" s="1"/>
  <c r="Y78" i="17" s="1"/>
  <c r="X79" i="17" a="1"/>
  <c r="X79" i="17" s="1"/>
  <c r="Y79" i="17" s="1"/>
  <c r="X134" i="17" a="1"/>
  <c r="X134" i="17" s="1"/>
  <c r="X135" i="17" a="1"/>
  <c r="X135" i="17" s="1"/>
  <c r="X137" i="17" a="1"/>
  <c r="X137" i="17" s="1"/>
  <c r="Y137" i="17" s="1"/>
  <c r="X139" i="17" a="1"/>
  <c r="X139" i="17" s="1"/>
  <c r="Y139" i="17" s="1"/>
  <c r="X159" i="17" a="1"/>
  <c r="X159" i="17" s="1"/>
  <c r="Y159" i="17" s="1"/>
  <c r="X169" i="17" a="1"/>
  <c r="X169" i="17"/>
  <c r="Y169" i="17" s="1"/>
  <c r="X179" i="17" a="1"/>
  <c r="X179" i="17"/>
  <c r="Y179" i="17" s="1"/>
  <c r="X189" i="17" a="1"/>
  <c r="X189" i="17" s="1"/>
  <c r="Y189" i="17" s="1"/>
  <c r="X199" i="17" a="1"/>
  <c r="X199" i="17" s="1"/>
  <c r="Y199" i="17" s="1"/>
  <c r="X209" i="17" a="1"/>
  <c r="X209" i="17" s="1"/>
  <c r="Y209" i="17" s="1"/>
  <c r="X219" i="17" a="1"/>
  <c r="X219" i="17" s="1"/>
  <c r="Y219" i="17" s="1"/>
  <c r="X10" i="17" a="1"/>
  <c r="X10" i="17"/>
  <c r="Y10" i="17" s="1"/>
  <c r="X20" i="17" a="1"/>
  <c r="X20" i="17" s="1"/>
  <c r="Y20" i="17" s="1"/>
  <c r="X30" i="17" a="1"/>
  <c r="X30" i="17" s="1"/>
  <c r="Y30" i="17" s="1"/>
  <c r="X80" i="17" a="1"/>
  <c r="X80" i="17" s="1"/>
  <c r="Y80" i="17" s="1"/>
  <c r="X81" i="17" a="1"/>
  <c r="X81" i="17" s="1"/>
  <c r="X82" i="17" a="1"/>
  <c r="X82" i="17" s="1"/>
  <c r="Y82" i="17" s="1"/>
  <c r="X83" i="17" a="1"/>
  <c r="X83" i="17"/>
  <c r="Y83" i="17" s="1"/>
  <c r="X84" i="17" a="1"/>
  <c r="X84" i="17" s="1"/>
  <c r="Y84" i="17" s="1"/>
  <c r="X85" i="17" a="1"/>
  <c r="X85" i="17" s="1"/>
  <c r="Y85" i="17" s="1"/>
  <c r="X140" i="17" a="1"/>
  <c r="X140" i="17" s="1"/>
  <c r="Y140" i="17" s="1"/>
  <c r="X142" i="17" a="1"/>
  <c r="X142" i="17" s="1"/>
  <c r="X143" i="17" a="1"/>
  <c r="X143" i="17"/>
  <c r="X144" i="17" a="1"/>
  <c r="X144" i="17"/>
  <c r="Y144" i="17" s="1"/>
  <c r="X145" i="17" a="1"/>
  <c r="X145" i="17" s="1"/>
  <c r="Y145" i="17" s="1"/>
  <c r="X160" i="17" a="1"/>
  <c r="X160" i="17" s="1"/>
  <c r="Y160" i="17" s="1"/>
  <c r="X170" i="17" a="1"/>
  <c r="X170" i="17" s="1"/>
  <c r="Y170" i="17" s="1"/>
  <c r="X180" i="17" a="1"/>
  <c r="X180" i="17" s="1"/>
  <c r="Y180" i="17" s="1"/>
  <c r="X190" i="17" a="1"/>
  <c r="X190" i="17" s="1"/>
  <c r="X220" i="17" a="1"/>
  <c r="X220" i="17"/>
  <c r="Y220" i="17" s="1"/>
  <c r="X230" i="17" a="1"/>
  <c r="X230" i="17" s="1"/>
  <c r="Y230" i="17" s="1"/>
  <c r="X240" i="17" a="1"/>
  <c r="X240" i="17" s="1"/>
  <c r="Y240" i="17" s="1"/>
  <c r="X11" i="17" a="1"/>
  <c r="X11" i="17"/>
  <c r="Y11" i="17" s="1"/>
  <c r="X21" i="17" a="1"/>
  <c r="X21" i="17" s="1"/>
  <c r="Y21" i="17" s="1"/>
  <c r="X31" i="17" a="1"/>
  <c r="X31" i="17"/>
  <c r="Y31" i="17" s="1"/>
  <c r="X86" i="17" a="1"/>
  <c r="X86" i="17" s="1"/>
  <c r="X90" i="17" a="1"/>
  <c r="X90" i="17" s="1"/>
  <c r="Y90" i="17" s="1"/>
  <c r="X91" i="17" a="1"/>
  <c r="X91" i="17" s="1"/>
  <c r="Y91" i="17" s="1"/>
  <c r="X146" i="17" a="1"/>
  <c r="X146" i="17" s="1"/>
  <c r="Y146" i="17" s="1"/>
  <c r="X147" i="17" a="1"/>
  <c r="X147" i="17"/>
  <c r="Y147" i="17" s="1"/>
  <c r="X148" i="17" a="1"/>
  <c r="X148" i="17" s="1"/>
  <c r="Y148" i="17" s="1"/>
  <c r="X149" i="17" a="1"/>
  <c r="X149" i="17" s="1"/>
  <c r="Y149" i="17" s="1"/>
  <c r="X150" i="17" a="1"/>
  <c r="X150" i="17" s="1"/>
  <c r="Y150" i="17" s="1"/>
  <c r="X161" i="17" a="1"/>
  <c r="X161" i="17" s="1"/>
  <c r="Y161" i="17" s="1"/>
  <c r="X181" i="17" a="1"/>
  <c r="X181" i="17" s="1"/>
  <c r="Y181" i="17" s="1"/>
  <c r="X191" i="17" a="1"/>
  <c r="X191" i="17" s="1"/>
  <c r="Y191" i="17" s="1"/>
  <c r="X201" i="17" a="1"/>
  <c r="X201" i="17" s="1"/>
  <c r="X211" i="17" a="1"/>
  <c r="X211" i="17" s="1"/>
  <c r="Y211" i="17" s="1"/>
  <c r="X221" i="17" a="1"/>
  <c r="X221" i="17" s="1"/>
  <c r="X231" i="17" a="1"/>
  <c r="X231" i="17" s="1"/>
  <c r="Y231" i="17" s="1"/>
  <c r="X241" i="17" a="1"/>
  <c r="X241" i="17" s="1"/>
  <c r="Y241" i="17" s="1"/>
  <c r="Y162" i="17"/>
  <c r="Y193" i="17"/>
  <c r="Y14" i="17"/>
  <c r="Y24" i="17"/>
  <c r="Y224" i="17"/>
  <c r="Y195" i="17"/>
  <c r="Y196" i="17"/>
  <c r="Y62" i="17"/>
  <c r="Y64" i="17"/>
  <c r="Y65" i="17"/>
  <c r="Y178" i="17"/>
  <c r="Y188" i="17"/>
  <c r="Y142" i="17"/>
  <c r="Y143" i="17"/>
  <c r="Y190" i="17"/>
  <c r="Y201" i="17"/>
  <c r="G2" i="16"/>
  <c r="L113" i="20" l="1" a="1"/>
  <c r="L113" i="20" s="1"/>
  <c r="L84" i="20" a="1"/>
  <c r="L84" i="20" s="1"/>
  <c r="P115" i="20" a="1"/>
  <c r="P115" i="20" s="1"/>
  <c r="L129" i="20" a="1"/>
  <c r="L129" i="20" s="1"/>
  <c r="P111" i="20" a="1"/>
  <c r="P111" i="20" s="1"/>
  <c r="O85" i="20" a="1"/>
  <c r="O85" i="20" s="1"/>
  <c r="P107" i="20" a="1"/>
  <c r="P107" i="20" s="1"/>
  <c r="N39" i="20"/>
  <c r="O68" i="20" a="1"/>
  <c r="O68" i="20" s="1"/>
  <c r="P103" i="20" a="1"/>
  <c r="P103" i="20" s="1"/>
  <c r="O51" i="20" a="1"/>
  <c r="O51" i="20" s="1"/>
  <c r="O34" i="20" a="1"/>
  <c r="O34" i="20" s="1"/>
  <c r="L128" i="20" a="1"/>
  <c r="L128" i="20" s="1"/>
  <c r="N128" i="20" s="1"/>
  <c r="L114" i="20" a="1"/>
  <c r="L114" i="20" s="1"/>
  <c r="O17" i="20" a="1"/>
  <c r="O17" i="20" s="1"/>
  <c r="P151" i="20" a="1"/>
  <c r="P151" i="20" s="1"/>
  <c r="P80" i="20" a="1"/>
  <c r="P80" i="20" s="1"/>
  <c r="P147" i="20" a="1"/>
  <c r="P147" i="20" s="1"/>
  <c r="K78" i="20" a="1"/>
  <c r="K78" i="20" s="1"/>
  <c r="P87" i="20" a="1"/>
  <c r="P87" i="20" s="1"/>
  <c r="P70" i="20" a="1"/>
  <c r="P70" i="20" s="1"/>
  <c r="P145" i="20" a="1"/>
  <c r="P145" i="20" s="1"/>
  <c r="P53" i="20" a="1"/>
  <c r="P53" i="20" s="1"/>
  <c r="P46" i="20" a="1"/>
  <c r="P46" i="20" s="1"/>
  <c r="P135" i="20" a="1"/>
  <c r="P135" i="20" s="1"/>
  <c r="P29" i="20" a="1"/>
  <c r="P29" i="20" s="1"/>
  <c r="P143" i="20" a="1"/>
  <c r="P143" i="20" s="1"/>
  <c r="P12" i="20" a="1"/>
  <c r="P12" i="20" s="1"/>
  <c r="P127" i="20" a="1"/>
  <c r="P127" i="20" s="1"/>
  <c r="O145" i="20" a="1"/>
  <c r="O145" i="20" s="1"/>
  <c r="N84" i="20"/>
  <c r="N129" i="20"/>
  <c r="N113" i="20"/>
  <c r="K97" i="20" a="1"/>
  <c r="K97" i="20" s="1"/>
  <c r="L65" i="20" a="1"/>
  <c r="L65" i="20" s="1"/>
  <c r="N65" i="20" s="1"/>
  <c r="K65" i="20" a="1"/>
  <c r="K65" i="20" s="1"/>
  <c r="L49" i="20" a="1"/>
  <c r="L49" i="20" s="1"/>
  <c r="N49" i="20" s="1"/>
  <c r="K49" i="20" a="1"/>
  <c r="K49" i="20" s="1"/>
  <c r="L33" i="20" a="1"/>
  <c r="L33" i="20" s="1"/>
  <c r="N33" i="20" s="1"/>
  <c r="K33" i="20" a="1"/>
  <c r="K33" i="20" s="1"/>
  <c r="P144" i="20" a="1"/>
  <c r="P144" i="20" s="1"/>
  <c r="P128" i="20" a="1"/>
  <c r="P128" i="20" s="1"/>
  <c r="P112" i="20" a="1"/>
  <c r="P112" i="20" s="1"/>
  <c r="P96" i="20" a="1"/>
  <c r="P96" i="20" s="1"/>
  <c r="P71" i="20" a="1"/>
  <c r="P71" i="20" s="1"/>
  <c r="P54" i="20" a="1"/>
  <c r="P54" i="20" s="1"/>
  <c r="P37" i="20" a="1"/>
  <c r="P37" i="20" s="1"/>
  <c r="P20" i="20" a="1"/>
  <c r="P20" i="20" s="1"/>
  <c r="P3" i="20" a="1"/>
  <c r="P3" i="20" s="1"/>
  <c r="O144" i="20" a="1"/>
  <c r="O144" i="20" s="1"/>
  <c r="O127" i="20" a="1"/>
  <c r="O127" i="20" s="1"/>
  <c r="O110" i="20" a="1"/>
  <c r="O110" i="20" s="1"/>
  <c r="O93" i="20" a="1"/>
  <c r="O93" i="20" s="1"/>
  <c r="O76" i="20" a="1"/>
  <c r="O76" i="20" s="1"/>
  <c r="O59" i="20" a="1"/>
  <c r="O59" i="20" s="1"/>
  <c r="O42" i="20" a="1"/>
  <c r="O42" i="20" s="1"/>
  <c r="O25" i="20" a="1"/>
  <c r="O25" i="20" s="1"/>
  <c r="O16" i="20" a="1"/>
  <c r="O16" i="20" s="1"/>
  <c r="L140" i="20" a="1"/>
  <c r="L140" i="20" s="1"/>
  <c r="N140" i="20" s="1"/>
  <c r="L127" i="20" a="1"/>
  <c r="L127" i="20" s="1"/>
  <c r="N127" i="20" s="1"/>
  <c r="K113" i="20" a="1"/>
  <c r="K113" i="20" s="1"/>
  <c r="K81" i="20" a="1"/>
  <c r="K81" i="20" s="1"/>
  <c r="L81" i="20" a="1"/>
  <c r="L81" i="20" s="1"/>
  <c r="N81" i="20" s="1"/>
  <c r="K19" i="20" a="1"/>
  <c r="K19" i="20" s="1"/>
  <c r="K36" i="20" a="1"/>
  <c r="K36" i="20" s="1"/>
  <c r="K53" i="20" a="1"/>
  <c r="K53" i="20" s="1"/>
  <c r="K70" i="20" a="1"/>
  <c r="K70" i="20" s="1"/>
  <c r="K87" i="20" a="1"/>
  <c r="K87" i="20" s="1"/>
  <c r="K104" i="20" a="1"/>
  <c r="K104" i="20" s="1"/>
  <c r="K121" i="20" a="1"/>
  <c r="K121" i="20" s="1"/>
  <c r="K130" i="20" a="1"/>
  <c r="K130" i="20" s="1"/>
  <c r="K147" i="20" a="1"/>
  <c r="K147" i="20" s="1"/>
  <c r="L14" i="20" a="1"/>
  <c r="L14" i="20" s="1"/>
  <c r="N14" i="20" s="1"/>
  <c r="L31" i="20" a="1"/>
  <c r="L31" i="20" s="1"/>
  <c r="N31" i="20" s="1"/>
  <c r="L48" i="20" a="1"/>
  <c r="L48" i="20" s="1"/>
  <c r="N48" i="20" s="1"/>
  <c r="L82" i="20" a="1"/>
  <c r="L82" i="20" s="1"/>
  <c r="N82" i="20" s="1"/>
  <c r="L99" i="20" a="1"/>
  <c r="L99" i="20" s="1"/>
  <c r="N99" i="20" s="1"/>
  <c r="L108" i="20" a="1"/>
  <c r="L108" i="20" s="1"/>
  <c r="N108" i="20" s="1"/>
  <c r="K28" i="20" a="1"/>
  <c r="K28" i="20" s="1"/>
  <c r="K45" i="20" a="1"/>
  <c r="K45" i="20" s="1"/>
  <c r="K62" i="20" a="1"/>
  <c r="K62" i="20" s="1"/>
  <c r="K79" i="20" a="1"/>
  <c r="K79" i="20" s="1"/>
  <c r="K96" i="20" a="1"/>
  <c r="K96" i="20" s="1"/>
  <c r="K122" i="20" a="1"/>
  <c r="K122" i="20" s="1"/>
  <c r="K139" i="20" a="1"/>
  <c r="K139" i="20" s="1"/>
  <c r="L6" i="20" a="1"/>
  <c r="L6" i="20" s="1"/>
  <c r="N6" i="20" s="1"/>
  <c r="L23" i="20" a="1"/>
  <c r="L23" i="20" s="1"/>
  <c r="N23" i="20" s="1"/>
  <c r="L40" i="20" a="1"/>
  <c r="L40" i="20" s="1"/>
  <c r="N40" i="20" s="1"/>
  <c r="L57" i="20" a="1"/>
  <c r="L57" i="20" s="1"/>
  <c r="N57" i="20" s="1"/>
  <c r="L74" i="20" a="1"/>
  <c r="L74" i="20" s="1"/>
  <c r="N74" i="20" s="1"/>
  <c r="L91" i="20" a="1"/>
  <c r="L91" i="20" s="1"/>
  <c r="N91" i="20" s="1"/>
  <c r="L100" i="20" a="1"/>
  <c r="L100" i="20" s="1"/>
  <c r="N100" i="20" s="1"/>
  <c r="L117" i="20" a="1"/>
  <c r="L117" i="20" s="1"/>
  <c r="N117" i="20" s="1"/>
  <c r="K20" i="20" a="1"/>
  <c r="K20" i="20" s="1"/>
  <c r="K37" i="20" a="1"/>
  <c r="K37" i="20" s="1"/>
  <c r="K54" i="20" a="1"/>
  <c r="K54" i="20" s="1"/>
  <c r="K71" i="20" a="1"/>
  <c r="K71" i="20" s="1"/>
  <c r="K88" i="20" a="1"/>
  <c r="K88" i="20" s="1"/>
  <c r="K105" i="20" a="1"/>
  <c r="K105" i="20" s="1"/>
  <c r="K114" i="20" a="1"/>
  <c r="K114" i="20" s="1"/>
  <c r="K131" i="20" a="1"/>
  <c r="K131" i="20" s="1"/>
  <c r="K148" i="20" a="1"/>
  <c r="K148" i="20" s="1"/>
  <c r="L15" i="20" a="1"/>
  <c r="L15" i="20" s="1"/>
  <c r="N15" i="20" s="1"/>
  <c r="L32" i="20" a="1"/>
  <c r="L32" i="20" s="1"/>
  <c r="N32" i="20" s="1"/>
  <c r="L66" i="20" a="1"/>
  <c r="L66" i="20" s="1"/>
  <c r="N66" i="20" s="1"/>
  <c r="L83" i="20" a="1"/>
  <c r="L83" i="20" s="1"/>
  <c r="N83" i="20" s="1"/>
  <c r="L92" i="20" a="1"/>
  <c r="L92" i="20" s="1"/>
  <c r="N92" i="20" s="1"/>
  <c r="L109" i="20" a="1"/>
  <c r="L109" i="20" s="1"/>
  <c r="N109" i="20" s="1"/>
  <c r="K12" i="20" a="1"/>
  <c r="K12" i="20" s="1"/>
  <c r="K29" i="20" a="1"/>
  <c r="K29" i="20" s="1"/>
  <c r="K46" i="20" a="1"/>
  <c r="K46" i="20" s="1"/>
  <c r="K63" i="20" a="1"/>
  <c r="K63" i="20" s="1"/>
  <c r="K80" i="20" a="1"/>
  <c r="K80" i="20" s="1"/>
  <c r="K106" i="20" a="1"/>
  <c r="K106" i="20" s="1"/>
  <c r="K123" i="20" a="1"/>
  <c r="K123" i="20" s="1"/>
  <c r="K140" i="20" a="1"/>
  <c r="K140" i="20" s="1"/>
  <c r="L7" i="20" a="1"/>
  <c r="L7" i="20" s="1"/>
  <c r="N7" i="20" s="1"/>
  <c r="L24" i="20" a="1"/>
  <c r="L24" i="20" s="1"/>
  <c r="N24" i="20" s="1"/>
  <c r="L41" i="20" a="1"/>
  <c r="L41" i="20" s="1"/>
  <c r="N41" i="20" s="1"/>
  <c r="K4" i="20" a="1"/>
  <c r="K4" i="20" s="1"/>
  <c r="K21" i="20" a="1"/>
  <c r="K21" i="20" s="1"/>
  <c r="K38" i="20" a="1"/>
  <c r="K38" i="20" s="1"/>
  <c r="K55" i="20" a="1"/>
  <c r="K55" i="20" s="1"/>
  <c r="K72" i="20" a="1"/>
  <c r="K72" i="20" s="1"/>
  <c r="K89" i="20" a="1"/>
  <c r="K89" i="20" s="1"/>
  <c r="K98" i="20" a="1"/>
  <c r="K98" i="20" s="1"/>
  <c r="K115" i="20" a="1"/>
  <c r="K115" i="20" s="1"/>
  <c r="K132" i="20" a="1"/>
  <c r="K132" i="20" s="1"/>
  <c r="K149" i="20" a="1"/>
  <c r="K149" i="20" s="1"/>
  <c r="L16" i="20" a="1"/>
  <c r="L16" i="20" s="1"/>
  <c r="N16" i="20" s="1"/>
  <c r="L50" i="20" a="1"/>
  <c r="L50" i="20" s="1"/>
  <c r="N50" i="20" s="1"/>
  <c r="L67" i="20" a="1"/>
  <c r="L67" i="20" s="1"/>
  <c r="N67" i="20" s="1"/>
  <c r="L76" i="20" a="1"/>
  <c r="L76" i="20" s="1"/>
  <c r="N76" i="20" s="1"/>
  <c r="L93" i="20" a="1"/>
  <c r="L93" i="20" s="1"/>
  <c r="K13" i="20" a="1"/>
  <c r="K13" i="20" s="1"/>
  <c r="K30" i="20" a="1"/>
  <c r="K30" i="20" s="1"/>
  <c r="K47" i="20" a="1"/>
  <c r="K47" i="20" s="1"/>
  <c r="K64" i="20" a="1"/>
  <c r="K64" i="20" s="1"/>
  <c r="K90" i="20" a="1"/>
  <c r="K90" i="20" s="1"/>
  <c r="K107" i="20" a="1"/>
  <c r="K107" i="20" s="1"/>
  <c r="K124" i="20" a="1"/>
  <c r="K124" i="20" s="1"/>
  <c r="K141" i="20" a="1"/>
  <c r="K141" i="20" s="1"/>
  <c r="L8" i="20" a="1"/>
  <c r="L8" i="20" s="1"/>
  <c r="N8" i="20" s="1"/>
  <c r="L25" i="20" a="1"/>
  <c r="L25" i="20" s="1"/>
  <c r="N25" i="20" s="1"/>
  <c r="L42" i="20" a="1"/>
  <c r="L42" i="20" s="1"/>
  <c r="N42" i="20" s="1"/>
  <c r="L59" i="20" a="1"/>
  <c r="L59" i="20" s="1"/>
  <c r="N59" i="20" s="1"/>
  <c r="L68" i="20" a="1"/>
  <c r="L68" i="20" s="1"/>
  <c r="N68" i="20" s="1"/>
  <c r="L85" i="20" a="1"/>
  <c r="L85" i="20" s="1"/>
  <c r="N85" i="20" s="1"/>
  <c r="L102" i="20" a="1"/>
  <c r="L102" i="20" s="1"/>
  <c r="N102" i="20" s="1"/>
  <c r="L119" i="20" a="1"/>
  <c r="L119" i="20" s="1"/>
  <c r="N119" i="20" s="1"/>
  <c r="L136" i="20" a="1"/>
  <c r="L136" i="20" s="1"/>
  <c r="N136" i="20" s="1"/>
  <c r="K22" i="20" a="1"/>
  <c r="K22" i="20" s="1"/>
  <c r="K39" i="20" a="1"/>
  <c r="K39" i="20" s="1"/>
  <c r="K56" i="20" a="1"/>
  <c r="K56" i="20" s="1"/>
  <c r="K73" i="20" a="1"/>
  <c r="K73" i="20" s="1"/>
  <c r="K82" i="20" a="1"/>
  <c r="K82" i="20" s="1"/>
  <c r="K99" i="20" a="1"/>
  <c r="K99" i="20" s="1"/>
  <c r="K116" i="20" a="1"/>
  <c r="K116" i="20" s="1"/>
  <c r="K133" i="20" a="1"/>
  <c r="K133" i="20" s="1"/>
  <c r="K150" i="20" a="1"/>
  <c r="K150" i="20" s="1"/>
  <c r="L17" i="20" a="1"/>
  <c r="L17" i="20" s="1"/>
  <c r="N17" i="20" s="1"/>
  <c r="L34" i="20" a="1"/>
  <c r="L34" i="20" s="1"/>
  <c r="N34" i="20" s="1"/>
  <c r="L51" i="20" a="1"/>
  <c r="L51" i="20" s="1"/>
  <c r="N51" i="20" s="1"/>
  <c r="L60" i="20" a="1"/>
  <c r="L60" i="20" s="1"/>
  <c r="N60" i="20" s="1"/>
  <c r="L77" i="20" a="1"/>
  <c r="L77" i="20" s="1"/>
  <c r="L94" i="20" a="1"/>
  <c r="L94" i="20" s="1"/>
  <c r="N94" i="20" s="1"/>
  <c r="L111" i="20" a="1"/>
  <c r="L111" i="20" s="1"/>
  <c r="N111" i="20" s="1"/>
  <c r="K14" i="20" a="1"/>
  <c r="K14" i="20" s="1"/>
  <c r="K31" i="20" a="1"/>
  <c r="K31" i="20" s="1"/>
  <c r="K48" i="20" a="1"/>
  <c r="K48" i="20" s="1"/>
  <c r="K74" i="20" a="1"/>
  <c r="K74" i="20" s="1"/>
  <c r="K91" i="20" a="1"/>
  <c r="K91" i="20" s="1"/>
  <c r="K108" i="20" a="1"/>
  <c r="K108" i="20" s="1"/>
  <c r="K125" i="20" a="1"/>
  <c r="K125" i="20" s="1"/>
  <c r="K142" i="20" a="1"/>
  <c r="K142" i="20" s="1"/>
  <c r="L9" i="20" a="1"/>
  <c r="L9" i="20" s="1"/>
  <c r="N9" i="20" s="1"/>
  <c r="L26" i="20" a="1"/>
  <c r="L26" i="20" s="1"/>
  <c r="N26" i="20" s="1"/>
  <c r="L43" i="20" a="1"/>
  <c r="L43" i="20" s="1"/>
  <c r="N43" i="20" s="1"/>
  <c r="L52" i="20" a="1"/>
  <c r="L52" i="20" s="1"/>
  <c r="N52" i="20" s="1"/>
  <c r="L69" i="20" a="1"/>
  <c r="L69" i="20" s="1"/>
  <c r="N69" i="20" s="1"/>
  <c r="L86" i="20" a="1"/>
  <c r="L86" i="20" s="1"/>
  <c r="N86" i="20" s="1"/>
  <c r="L103" i="20" a="1"/>
  <c r="L103" i="20" s="1"/>
  <c r="N103" i="20" s="1"/>
  <c r="L120" i="20" a="1"/>
  <c r="L120" i="20" s="1"/>
  <c r="N120" i="20" s="1"/>
  <c r="K23" i="20" a="1"/>
  <c r="K23" i="20" s="1"/>
  <c r="K40" i="20" a="1"/>
  <c r="K40" i="20" s="1"/>
  <c r="K57" i="20" a="1"/>
  <c r="K57" i="20" s="1"/>
  <c r="K66" i="20" a="1"/>
  <c r="K66" i="20" s="1"/>
  <c r="K83" i="20" a="1"/>
  <c r="K83" i="20" s="1"/>
  <c r="K100" i="20" a="1"/>
  <c r="K100" i="20" s="1"/>
  <c r="K117" i="20" a="1"/>
  <c r="K117" i="20" s="1"/>
  <c r="K134" i="20" a="1"/>
  <c r="K134" i="20" s="1"/>
  <c r="K151" i="20" a="1"/>
  <c r="K151" i="20" s="1"/>
  <c r="L18" i="20" a="1"/>
  <c r="L18" i="20" s="1"/>
  <c r="N18" i="20" s="1"/>
  <c r="L35" i="20" a="1"/>
  <c r="L35" i="20" s="1"/>
  <c r="N35" i="20" s="1"/>
  <c r="L44" i="20" a="1"/>
  <c r="L44" i="20" s="1"/>
  <c r="N44" i="20" s="1"/>
  <c r="L61" i="20" a="1"/>
  <c r="L61" i="20" s="1"/>
  <c r="L78" i="20" a="1"/>
  <c r="L78" i="20" s="1"/>
  <c r="N78" i="20" s="1"/>
  <c r="L95" i="20" a="1"/>
  <c r="L95" i="20" s="1"/>
  <c r="N95" i="20" s="1"/>
  <c r="L112" i="20" a="1"/>
  <c r="L112" i="20" s="1"/>
  <c r="N112" i="20" s="1"/>
  <c r="L146" i="20" a="1"/>
  <c r="L146" i="20" s="1"/>
  <c r="N146" i="20" s="1"/>
  <c r="K15" i="20" a="1"/>
  <c r="K15" i="20" s="1"/>
  <c r="K32" i="20" a="1"/>
  <c r="K32" i="20" s="1"/>
  <c r="K58" i="20" a="1"/>
  <c r="K58" i="20" s="1"/>
  <c r="K75" i="20" a="1"/>
  <c r="K75" i="20" s="1"/>
  <c r="K92" i="20" a="1"/>
  <c r="K92" i="20" s="1"/>
  <c r="K109" i="20" a="1"/>
  <c r="K109" i="20" s="1"/>
  <c r="K126" i="20" a="1"/>
  <c r="K126" i="20" s="1"/>
  <c r="K143" i="20" a="1"/>
  <c r="K143" i="20" s="1"/>
  <c r="L10" i="20" a="1"/>
  <c r="L10" i="20" s="1"/>
  <c r="N10" i="20" s="1"/>
  <c r="L27" i="20" a="1"/>
  <c r="L27" i="20" s="1"/>
  <c r="N27" i="20" s="1"/>
  <c r="L36" i="20" a="1"/>
  <c r="L36" i="20" s="1"/>
  <c r="N36" i="20" s="1"/>
  <c r="L53" i="20" a="1"/>
  <c r="L53" i="20" s="1"/>
  <c r="N53" i="20" s="1"/>
  <c r="L70" i="20" a="1"/>
  <c r="L70" i="20" s="1"/>
  <c r="N70" i="20" s="1"/>
  <c r="L87" i="20" a="1"/>
  <c r="L87" i="20" s="1"/>
  <c r="N87" i="20" s="1"/>
  <c r="L104" i="20" a="1"/>
  <c r="L104" i="20" s="1"/>
  <c r="N104" i="20" s="1"/>
  <c r="K7" i="20" a="1"/>
  <c r="K7" i="20" s="1"/>
  <c r="K24" i="20" a="1"/>
  <c r="K24" i="20" s="1"/>
  <c r="K41" i="20" a="1"/>
  <c r="K41" i="20" s="1"/>
  <c r="K50" i="20" a="1"/>
  <c r="K50" i="20" s="1"/>
  <c r="K67" i="20" a="1"/>
  <c r="K67" i="20" s="1"/>
  <c r="K84" i="20" a="1"/>
  <c r="K84" i="20" s="1"/>
  <c r="K101" i="20" a="1"/>
  <c r="K101" i="20" s="1"/>
  <c r="K118" i="20" a="1"/>
  <c r="K118" i="20" s="1"/>
  <c r="K135" i="20" a="1"/>
  <c r="K135" i="20" s="1"/>
  <c r="L2" i="20" a="1"/>
  <c r="L2" i="20" s="1"/>
  <c r="N2" i="20" s="1"/>
  <c r="L19" i="20" a="1"/>
  <c r="L19" i="20" s="1"/>
  <c r="N19" i="20" s="1"/>
  <c r="L28" i="20" a="1"/>
  <c r="L28" i="20" s="1"/>
  <c r="L45" i="20" a="1"/>
  <c r="L45" i="20" s="1"/>
  <c r="L62" i="20" a="1"/>
  <c r="L62" i="20" s="1"/>
  <c r="N62" i="20" s="1"/>
  <c r="L79" i="20" a="1"/>
  <c r="L79" i="20" s="1"/>
  <c r="N79" i="20" s="1"/>
  <c r="K16" i="20" a="1"/>
  <c r="K16" i="20" s="1"/>
  <c r="K42" i="20" a="1"/>
  <c r="K42" i="20" s="1"/>
  <c r="K59" i="20" a="1"/>
  <c r="K59" i="20" s="1"/>
  <c r="K76" i="20" a="1"/>
  <c r="K76" i="20" s="1"/>
  <c r="K93" i="20" a="1"/>
  <c r="K93" i="20" s="1"/>
  <c r="K110" i="20" a="1"/>
  <c r="K110" i="20" s="1"/>
  <c r="K127" i="20" a="1"/>
  <c r="K127" i="20" s="1"/>
  <c r="K144" i="20" a="1"/>
  <c r="K144" i="20" s="1"/>
  <c r="L11" i="20" a="1"/>
  <c r="L11" i="20" s="1"/>
  <c r="N11" i="20" s="1"/>
  <c r="L20" i="20" a="1"/>
  <c r="L20" i="20" s="1"/>
  <c r="L37" i="20" a="1"/>
  <c r="L37" i="20" s="1"/>
  <c r="N37" i="20" s="1"/>
  <c r="L54" i="20" a="1"/>
  <c r="L54" i="20" s="1"/>
  <c r="N54" i="20" s="1"/>
  <c r="L71" i="20" a="1"/>
  <c r="L71" i="20" s="1"/>
  <c r="N71" i="20" s="1"/>
  <c r="L88" i="20" a="1"/>
  <c r="L88" i="20" s="1"/>
  <c r="N88" i="20" s="1"/>
  <c r="L105" i="20" a="1"/>
  <c r="L105" i="20" s="1"/>
  <c r="N105" i="20" s="1"/>
  <c r="L122" i="20" a="1"/>
  <c r="L122" i="20" s="1"/>
  <c r="N122" i="20" s="1"/>
  <c r="L139" i="20" a="1"/>
  <c r="L139" i="20" s="1"/>
  <c r="N139" i="20" s="1"/>
  <c r="L148" i="20" a="1"/>
  <c r="L148" i="20" s="1"/>
  <c r="K8" i="20" a="1"/>
  <c r="K8" i="20" s="1"/>
  <c r="K25" i="20" a="1"/>
  <c r="K25" i="20" s="1"/>
  <c r="K34" i="20" a="1"/>
  <c r="K34" i="20" s="1"/>
  <c r="K51" i="20" a="1"/>
  <c r="K51" i="20" s="1"/>
  <c r="K68" i="20" a="1"/>
  <c r="K68" i="20" s="1"/>
  <c r="K85" i="20" a="1"/>
  <c r="K85" i="20" s="1"/>
  <c r="K102" i="20" a="1"/>
  <c r="K102" i="20" s="1"/>
  <c r="K119" i="20" a="1"/>
  <c r="K119" i="20" s="1"/>
  <c r="K136" i="20" a="1"/>
  <c r="K136" i="20" s="1"/>
  <c r="L3" i="20" a="1"/>
  <c r="L3" i="20" s="1"/>
  <c r="L12" i="20" a="1"/>
  <c r="L12" i="20" s="1"/>
  <c r="N12" i="20" s="1"/>
  <c r="K17" i="20" a="1"/>
  <c r="K17" i="20" s="1"/>
  <c r="K26" i="20" a="1"/>
  <c r="K26" i="20" s="1"/>
  <c r="K43" i="20" a="1"/>
  <c r="K43" i="20" s="1"/>
  <c r="K60" i="20" a="1"/>
  <c r="K60" i="20" s="1"/>
  <c r="K77" i="20" a="1"/>
  <c r="K77" i="20" s="1"/>
  <c r="K94" i="20" a="1"/>
  <c r="K94" i="20" s="1"/>
  <c r="K111" i="20" a="1"/>
  <c r="K111" i="20" s="1"/>
  <c r="K128" i="20" a="1"/>
  <c r="K128" i="20" s="1"/>
  <c r="L4" i="20" a="1"/>
  <c r="L4" i="20" s="1"/>
  <c r="N4" i="20" s="1"/>
  <c r="L21" i="20" a="1"/>
  <c r="L21" i="20" s="1"/>
  <c r="N21" i="20" s="1"/>
  <c r="L38" i="20" a="1"/>
  <c r="L38" i="20" s="1"/>
  <c r="N38" i="20" s="1"/>
  <c r="L55" i="20" a="1"/>
  <c r="L55" i="20" s="1"/>
  <c r="N55" i="20" s="1"/>
  <c r="L72" i="20" a="1"/>
  <c r="L72" i="20" s="1"/>
  <c r="N72" i="20" s="1"/>
  <c r="L89" i="20" a="1"/>
  <c r="L89" i="20" s="1"/>
  <c r="N89" i="20" s="1"/>
  <c r="L106" i="20" a="1"/>
  <c r="L106" i="20" s="1"/>
  <c r="N106" i="20" s="1"/>
  <c r="L123" i="20" a="1"/>
  <c r="L123" i="20" s="1"/>
  <c r="N123" i="20" s="1"/>
  <c r="L132" i="20" a="1"/>
  <c r="L132" i="20" s="1"/>
  <c r="N132" i="20" s="1"/>
  <c r="L149" i="20" a="1"/>
  <c r="L149" i="20" s="1"/>
  <c r="N149" i="20" s="1"/>
  <c r="K9" i="20" a="1"/>
  <c r="K9" i="20" s="1"/>
  <c r="K18" i="20" a="1"/>
  <c r="K18" i="20" s="1"/>
  <c r="K35" i="20" a="1"/>
  <c r="K35" i="20" s="1"/>
  <c r="K52" i="20" a="1"/>
  <c r="K52" i="20" s="1"/>
  <c r="K69" i="20" a="1"/>
  <c r="K69" i="20" s="1"/>
  <c r="K86" i="20" a="1"/>
  <c r="K86" i="20" s="1"/>
  <c r="K103" i="20" a="1"/>
  <c r="K103" i="20" s="1"/>
  <c r="K120" i="20" a="1"/>
  <c r="K120" i="20" s="1"/>
  <c r="K137" i="20" a="1"/>
  <c r="K137" i="20" s="1"/>
  <c r="K146" i="20" a="1"/>
  <c r="K146" i="20" s="1"/>
  <c r="L13" i="20" a="1"/>
  <c r="L13" i="20" s="1"/>
  <c r="L30" i="20" a="1"/>
  <c r="L30" i="20" s="1"/>
  <c r="N30" i="20" s="1"/>
  <c r="L47" i="20" a="1"/>
  <c r="L47" i="20" s="1"/>
  <c r="N47" i="20" s="1"/>
  <c r="L64" i="20" a="1"/>
  <c r="L64" i="20" s="1"/>
  <c r="N64" i="20" s="1"/>
  <c r="L98" i="20" a="1"/>
  <c r="L98" i="20" s="1"/>
  <c r="N98" i="20" s="1"/>
  <c r="L115" i="20" a="1"/>
  <c r="L115" i="20" s="1"/>
  <c r="N115" i="20" s="1"/>
  <c r="L124" i="20" a="1"/>
  <c r="L124" i="20" s="1"/>
  <c r="N124" i="20" s="1"/>
  <c r="L141" i="20" a="1"/>
  <c r="L141" i="20" s="1"/>
  <c r="P136" i="20" a="1"/>
  <c r="P136" i="20" s="1"/>
  <c r="P120" i="20" a="1"/>
  <c r="P120" i="20" s="1"/>
  <c r="P104" i="20" a="1"/>
  <c r="P104" i="20" s="1"/>
  <c r="P88" i="20" a="1"/>
  <c r="P88" i="20" s="1"/>
  <c r="P79" i="20" a="1"/>
  <c r="P79" i="20" s="1"/>
  <c r="P62" i="20" a="1"/>
  <c r="P62" i="20" s="1"/>
  <c r="P45" i="20" a="1"/>
  <c r="P45" i="20" s="1"/>
  <c r="P28" i="20" a="1"/>
  <c r="P28" i="20" s="1"/>
  <c r="P11" i="20" a="1"/>
  <c r="P11" i="20" s="1"/>
  <c r="P2" i="20" a="1"/>
  <c r="P2" i="20" s="1"/>
  <c r="O135" i="20" a="1"/>
  <c r="O135" i="20" s="1"/>
  <c r="O118" i="20" a="1"/>
  <c r="O118" i="20" s="1"/>
  <c r="O101" i="20" a="1"/>
  <c r="O101" i="20" s="1"/>
  <c r="O84" i="20" a="1"/>
  <c r="O84" i="20" s="1"/>
  <c r="O67" i="20" a="1"/>
  <c r="O67" i="20" s="1"/>
  <c r="O50" i="20" a="1"/>
  <c r="O50" i="20" s="1"/>
  <c r="O33" i="20" a="1"/>
  <c r="O33" i="20" s="1"/>
  <c r="O24" i="20" a="1"/>
  <c r="O24" i="20" s="1"/>
  <c r="O7" i="20" a="1"/>
  <c r="O7" i="20" s="1"/>
  <c r="N148" i="20"/>
  <c r="L151" i="20" a="1"/>
  <c r="L151" i="20" s="1"/>
  <c r="N151" i="20" s="1"/>
  <c r="K61" i="20" a="1"/>
  <c r="K61" i="20" s="1"/>
  <c r="P19" i="20" a="1"/>
  <c r="P19" i="20" s="1"/>
  <c r="O143" i="20" a="1"/>
  <c r="O143" i="20" s="1"/>
  <c r="O92" i="20" a="1"/>
  <c r="O92" i="20" s="1"/>
  <c r="O58" i="20" a="1"/>
  <c r="O58" i="20" s="1"/>
  <c r="O41" i="20" a="1"/>
  <c r="O41" i="20" s="1"/>
  <c r="O32" i="20" a="1"/>
  <c r="O32" i="20" s="1"/>
  <c r="O15" i="20" a="1"/>
  <c r="O15" i="20" s="1"/>
  <c r="N28" i="20"/>
  <c r="L138" i="20" a="1"/>
  <c r="L138" i="20" s="1"/>
  <c r="N138" i="20" s="1"/>
  <c r="L126" i="20" a="1"/>
  <c r="L126" i="20" s="1"/>
  <c r="N126" i="20" s="1"/>
  <c r="L110" i="20" a="1"/>
  <c r="L110" i="20" s="1"/>
  <c r="N110" i="20" s="1"/>
  <c r="L80" i="20" a="1"/>
  <c r="L80" i="20" s="1"/>
  <c r="L29" i="20" a="1"/>
  <c r="L29" i="20" s="1"/>
  <c r="N61" i="20"/>
  <c r="K11" i="20" a="1"/>
  <c r="K11" i="20" s="1"/>
  <c r="P36" i="20" a="1"/>
  <c r="P36" i="20" s="1"/>
  <c r="P10" i="20" a="1"/>
  <c r="P10" i="20" s="1"/>
  <c r="O126" i="20" a="1"/>
  <c r="O126" i="20" s="1"/>
  <c r="O109" i="20" a="1"/>
  <c r="O109" i="20" s="1"/>
  <c r="O75" i="20" a="1"/>
  <c r="O75" i="20" s="1"/>
  <c r="P78" i="20" a="1"/>
  <c r="P78" i="20" s="1"/>
  <c r="P61" i="20" a="1"/>
  <c r="P61" i="20" s="1"/>
  <c r="P44" i="20" a="1"/>
  <c r="P44" i="20" s="1"/>
  <c r="P27" i="20" a="1"/>
  <c r="P27" i="20" s="1"/>
  <c r="P18" i="20" a="1"/>
  <c r="P18" i="20" s="1"/>
  <c r="O151" i="20" a="1"/>
  <c r="O151" i="20" s="1"/>
  <c r="O134" i="20" a="1"/>
  <c r="O134" i="20" s="1"/>
  <c r="O117" i="20" a="1"/>
  <c r="O117" i="20" s="1"/>
  <c r="O100" i="20" a="1"/>
  <c r="O100" i="20" s="1"/>
  <c r="O83" i="20" a="1"/>
  <c r="O83" i="20" s="1"/>
  <c r="O66" i="20" a="1"/>
  <c r="O66" i="20" s="1"/>
  <c r="O49" i="20" a="1"/>
  <c r="O49" i="20" s="1"/>
  <c r="O40" i="20" a="1"/>
  <c r="O40" i="20" s="1"/>
  <c r="O23" i="20" a="1"/>
  <c r="O23" i="20" s="1"/>
  <c r="O6" i="20" a="1"/>
  <c r="O6" i="20" s="1"/>
  <c r="L150" i="20" a="1"/>
  <c r="L150" i="20" s="1"/>
  <c r="N150" i="20" s="1"/>
  <c r="L137" i="20" a="1"/>
  <c r="L137" i="20" s="1"/>
  <c r="N137" i="20" s="1"/>
  <c r="L75" i="20" a="1"/>
  <c r="L75" i="20" s="1"/>
  <c r="N75" i="20" s="1"/>
  <c r="L22" i="20" a="1"/>
  <c r="L22" i="20" s="1"/>
  <c r="N22" i="20" s="1"/>
  <c r="K44" i="20" a="1"/>
  <c r="K44" i="20" s="1"/>
  <c r="N93" i="20"/>
  <c r="P126" i="20" a="1"/>
  <c r="P126" i="20" s="1"/>
  <c r="P102" i="20" a="1"/>
  <c r="P102" i="20" s="1"/>
  <c r="P69" i="20" a="1"/>
  <c r="P69" i="20" s="1"/>
  <c r="P35" i="20" a="1"/>
  <c r="P35" i="20" s="1"/>
  <c r="P9" i="20" a="1"/>
  <c r="P9" i="20" s="1"/>
  <c r="O142" i="20" a="1"/>
  <c r="O142" i="20" s="1"/>
  <c r="O125" i="20" a="1"/>
  <c r="O125" i="20" s="1"/>
  <c r="O108" i="20" a="1"/>
  <c r="O108" i="20" s="1"/>
  <c r="O91" i="20" a="1"/>
  <c r="O91" i="20" s="1"/>
  <c r="O74" i="20" a="1"/>
  <c r="O74" i="20" s="1"/>
  <c r="O57" i="20" a="1"/>
  <c r="O57" i="20" s="1"/>
  <c r="O48" i="20" a="1"/>
  <c r="O48" i="20" s="1"/>
  <c r="O31" i="20" a="1"/>
  <c r="O31" i="20" s="1"/>
  <c r="O14" i="20" a="1"/>
  <c r="O14" i="20" s="1"/>
  <c r="L125" i="20" a="1"/>
  <c r="L125" i="20" s="1"/>
  <c r="L107" i="20" a="1"/>
  <c r="L107" i="20" s="1"/>
  <c r="N107" i="20" s="1"/>
  <c r="L73" i="20" a="1"/>
  <c r="L73" i="20" s="1"/>
  <c r="N73" i="20" s="1"/>
  <c r="K2" i="20" a="1"/>
  <c r="K2" i="20" s="1"/>
  <c r="P150" i="20" a="1"/>
  <c r="P150" i="20" s="1"/>
  <c r="P118" i="20" a="1"/>
  <c r="P118" i="20" s="1"/>
  <c r="P94" i="20" a="1"/>
  <c r="P94" i="20" s="1"/>
  <c r="P86" i="20" a="1"/>
  <c r="P86" i="20" s="1"/>
  <c r="P52" i="20" a="1"/>
  <c r="P52" i="20" s="1"/>
  <c r="P26" i="20" a="1"/>
  <c r="P26" i="20" s="1"/>
  <c r="P77" i="20" a="1"/>
  <c r="P77" i="20" s="1"/>
  <c r="P60" i="20" a="1"/>
  <c r="P60" i="20" s="1"/>
  <c r="P43" i="20" a="1"/>
  <c r="P43" i="20" s="1"/>
  <c r="P34" i="20" a="1"/>
  <c r="P34" i="20" s="1"/>
  <c r="P17" i="20" a="1"/>
  <c r="P17" i="20" s="1"/>
  <c r="O150" i="20" a="1"/>
  <c r="O150" i="20" s="1"/>
  <c r="O133" i="20" a="1"/>
  <c r="O133" i="20" s="1"/>
  <c r="O116" i="20" a="1"/>
  <c r="O116" i="20" s="1"/>
  <c r="O99" i="20" a="1"/>
  <c r="O99" i="20" s="1"/>
  <c r="O82" i="20" a="1"/>
  <c r="O82" i="20" s="1"/>
  <c r="O65" i="20" a="1"/>
  <c r="O65" i="20" s="1"/>
  <c r="O56" i="20" a="1"/>
  <c r="O56" i="20" s="1"/>
  <c r="O39" i="20" a="1"/>
  <c r="O39" i="20" s="1"/>
  <c r="O22" i="20" a="1"/>
  <c r="O22" i="20" s="1"/>
  <c r="O5" i="20" a="1"/>
  <c r="O5" i="20" s="1"/>
  <c r="K27" i="20" a="1"/>
  <c r="K27" i="20" s="1"/>
  <c r="N141" i="20"/>
  <c r="P134" i="20" a="1"/>
  <c r="P134" i="20" s="1"/>
  <c r="P149" i="20" a="1"/>
  <c r="P149" i="20" s="1"/>
  <c r="P133" i="20" a="1"/>
  <c r="P133" i="20" s="1"/>
  <c r="P117" i="20" a="1"/>
  <c r="P117" i="20" s="1"/>
  <c r="P101" i="20" a="1"/>
  <c r="P101" i="20" s="1"/>
  <c r="P85" i="20" a="1"/>
  <c r="P85" i="20" s="1"/>
  <c r="P68" i="20" a="1"/>
  <c r="P68" i="20" s="1"/>
  <c r="P42" i="20" a="1"/>
  <c r="P42" i="20" s="1"/>
  <c r="P25" i="20" a="1"/>
  <c r="P25" i="20" s="1"/>
  <c r="P8" i="20" a="1"/>
  <c r="P8" i="20" s="1"/>
  <c r="O141" i="20" a="1"/>
  <c r="O141" i="20" s="1"/>
  <c r="O124" i="20" a="1"/>
  <c r="O124" i="20" s="1"/>
  <c r="O107" i="20" a="1"/>
  <c r="O107" i="20" s="1"/>
  <c r="O90" i="20" a="1"/>
  <c r="O90" i="20" s="1"/>
  <c r="O73" i="20" a="1"/>
  <c r="O73" i="20" s="1"/>
  <c r="O64" i="20" a="1"/>
  <c r="O64" i="20" s="1"/>
  <c r="O47" i="20" a="1"/>
  <c r="O47" i="20" s="1"/>
  <c r="O30" i="20" a="1"/>
  <c r="O30" i="20" s="1"/>
  <c r="O13" i="20" a="1"/>
  <c r="O13" i="20" s="1"/>
  <c r="O4" i="20" a="1"/>
  <c r="O4" i="20" s="1"/>
  <c r="N63" i="20"/>
  <c r="L147" i="20" a="1"/>
  <c r="L147" i="20" s="1"/>
  <c r="N147" i="20" s="1"/>
  <c r="L135" i="20" a="1"/>
  <c r="L135" i="20" s="1"/>
  <c r="N135" i="20" s="1"/>
  <c r="L5" i="20" a="1"/>
  <c r="L5" i="20" s="1"/>
  <c r="N5" i="20" s="1"/>
  <c r="N80" i="20"/>
  <c r="P142" i="20" a="1"/>
  <c r="P142" i="20" s="1"/>
  <c r="P110" i="20" a="1"/>
  <c r="P110" i="20" s="1"/>
  <c r="P141" i="20" a="1"/>
  <c r="P141" i="20" s="1"/>
  <c r="P125" i="20" a="1"/>
  <c r="P125" i="20" s="1"/>
  <c r="P109" i="20" a="1"/>
  <c r="P109" i="20" s="1"/>
  <c r="P93" i="20" a="1"/>
  <c r="P93" i="20" s="1"/>
  <c r="P51" i="20" a="1"/>
  <c r="P51" i="20" s="1"/>
  <c r="P76" i="20" a="1"/>
  <c r="P76" i="20" s="1"/>
  <c r="P59" i="20" a="1"/>
  <c r="P59" i="20" s="1"/>
  <c r="P50" i="20" a="1"/>
  <c r="P50" i="20" s="1"/>
  <c r="P33" i="20" a="1"/>
  <c r="P33" i="20" s="1"/>
  <c r="P16" i="20" a="1"/>
  <c r="P16" i="20" s="1"/>
  <c r="O149" i="20" a="1"/>
  <c r="O149" i="20" s="1"/>
  <c r="O132" i="20" a="1"/>
  <c r="O132" i="20" s="1"/>
  <c r="O115" i="20" a="1"/>
  <c r="O115" i="20" s="1"/>
  <c r="O98" i="20" a="1"/>
  <c r="O98" i="20" s="1"/>
  <c r="O81" i="20" a="1"/>
  <c r="O81" i="20" s="1"/>
  <c r="O72" i="20" a="1"/>
  <c r="O72" i="20" s="1"/>
  <c r="O55" i="20" a="1"/>
  <c r="O55" i="20" s="1"/>
  <c r="O38" i="20" a="1"/>
  <c r="O38" i="20" s="1"/>
  <c r="O21" i="20" a="1"/>
  <c r="O21" i="20" s="1"/>
  <c r="K10" i="20" a="1"/>
  <c r="K10" i="20" s="1"/>
  <c r="P148" i="20" a="1"/>
  <c r="P148" i="20" s="1"/>
  <c r="P132" i="20" a="1"/>
  <c r="P132" i="20" s="1"/>
  <c r="P116" i="20" a="1"/>
  <c r="P116" i="20" s="1"/>
  <c r="P100" i="20" a="1"/>
  <c r="P100" i="20" s="1"/>
  <c r="P67" i="20" a="1"/>
  <c r="P67" i="20" s="1"/>
  <c r="P41" i="20" a="1"/>
  <c r="P41" i="20" s="1"/>
  <c r="P7" i="20" a="1"/>
  <c r="P7" i="20" s="1"/>
  <c r="O123" i="20" a="1"/>
  <c r="O123" i="20" s="1"/>
  <c r="O89" i="20" a="1"/>
  <c r="O89" i="20" s="1"/>
  <c r="O80" i="20" a="1"/>
  <c r="O80" i="20" s="1"/>
  <c r="O63" i="20" a="1"/>
  <c r="O63" i="20" s="1"/>
  <c r="O46" i="20" a="1"/>
  <c r="O46" i="20" s="1"/>
  <c r="O29" i="20" a="1"/>
  <c r="O29" i="20" s="1"/>
  <c r="O12" i="20" a="1"/>
  <c r="O12" i="20" s="1"/>
  <c r="O3" i="20" a="1"/>
  <c r="O3" i="20" s="1"/>
  <c r="L134" i="20" a="1"/>
  <c r="L134" i="20" s="1"/>
  <c r="N134" i="20" s="1"/>
  <c r="L121" i="20" a="1"/>
  <c r="L121" i="20" s="1"/>
  <c r="N121" i="20" s="1"/>
  <c r="L101" i="20" a="1"/>
  <c r="L101" i="20" s="1"/>
  <c r="N101" i="20" s="1"/>
  <c r="L63" i="20" a="1"/>
  <c r="L63" i="20" s="1"/>
  <c r="K138" i="20" a="1"/>
  <c r="K138" i="20" s="1"/>
  <c r="P140" i="20" a="1"/>
  <c r="P140" i="20" s="1"/>
  <c r="P124" i="20" a="1"/>
  <c r="P124" i="20" s="1"/>
  <c r="P108" i="20" a="1"/>
  <c r="P108" i="20" s="1"/>
  <c r="P92" i="20" a="1"/>
  <c r="P92" i="20" s="1"/>
  <c r="P84" i="20" a="1"/>
  <c r="P84" i="20" s="1"/>
  <c r="P58" i="20" a="1"/>
  <c r="P58" i="20" s="1"/>
  <c r="P24" i="20" a="1"/>
  <c r="P24" i="20" s="1"/>
  <c r="O140" i="20" a="1"/>
  <c r="O140" i="20" s="1"/>
  <c r="O106" i="20" a="1"/>
  <c r="O106" i="20" s="1"/>
  <c r="P75" i="20" a="1"/>
  <c r="P75" i="20" s="1"/>
  <c r="P66" i="20" a="1"/>
  <c r="P66" i="20" s="1"/>
  <c r="P49" i="20" a="1"/>
  <c r="P49" i="20" s="1"/>
  <c r="P32" i="20" a="1"/>
  <c r="P32" i="20" s="1"/>
  <c r="P15" i="20" a="1"/>
  <c r="P15" i="20" s="1"/>
  <c r="O148" i="20" a="1"/>
  <c r="O148" i="20" s="1"/>
  <c r="O131" i="20" a="1"/>
  <c r="O131" i="20" s="1"/>
  <c r="O114" i="20" a="1"/>
  <c r="O114" i="20" s="1"/>
  <c r="O97" i="20" a="1"/>
  <c r="O97" i="20" s="1"/>
  <c r="O88" i="20" a="1"/>
  <c r="O88" i="20" s="1"/>
  <c r="O71" i="20" a="1"/>
  <c r="O71" i="20" s="1"/>
  <c r="O54" i="20" a="1"/>
  <c r="O54" i="20" s="1"/>
  <c r="O37" i="20" a="1"/>
  <c r="O37" i="20" s="1"/>
  <c r="O20" i="20" a="1"/>
  <c r="O20" i="20" s="1"/>
  <c r="L145" i="20" a="1"/>
  <c r="L145" i="20" s="1"/>
  <c r="N145" i="20" s="1"/>
  <c r="L58" i="20" a="1"/>
  <c r="L58" i="20" s="1"/>
  <c r="N58" i="20" s="1"/>
  <c r="K129" i="20" a="1"/>
  <c r="K129" i="20" s="1"/>
  <c r="N114" i="20"/>
  <c r="N45" i="20"/>
  <c r="P99" i="20" a="1"/>
  <c r="P99" i="20" s="1"/>
  <c r="P91" i="20" a="1"/>
  <c r="P91" i="20" s="1"/>
  <c r="P83" i="20" a="1"/>
  <c r="P83" i="20" s="1"/>
  <c r="P74" i="20" a="1"/>
  <c r="P74" i="20" s="1"/>
  <c r="P57" i="20" a="1"/>
  <c r="P57" i="20" s="1"/>
  <c r="P40" i="20" a="1"/>
  <c r="P40" i="20" s="1"/>
  <c r="P23" i="20" a="1"/>
  <c r="P23" i="20" s="1"/>
  <c r="P6" i="20" a="1"/>
  <c r="P6" i="20" s="1"/>
  <c r="O139" i="20" a="1"/>
  <c r="O139" i="20" s="1"/>
  <c r="O122" i="20" a="1"/>
  <c r="O122" i="20" s="1"/>
  <c r="O105" i="20" a="1"/>
  <c r="O105" i="20" s="1"/>
  <c r="O96" i="20" a="1"/>
  <c r="O96" i="20" s="1"/>
  <c r="O79" i="20" a="1"/>
  <c r="O79" i="20" s="1"/>
  <c r="O62" i="20" a="1"/>
  <c r="O62" i="20" s="1"/>
  <c r="O45" i="20" a="1"/>
  <c r="O45" i="20" s="1"/>
  <c r="O28" i="20" a="1"/>
  <c r="O28" i="20" s="1"/>
  <c r="O11" i="20" a="1"/>
  <c r="O11" i="20" s="1"/>
  <c r="O2" i="20" a="1"/>
  <c r="O2" i="20" s="1"/>
  <c r="L144" i="20" a="1"/>
  <c r="L144" i="20" s="1"/>
  <c r="N144" i="20" s="1"/>
  <c r="L133" i="20" a="1"/>
  <c r="L133" i="20" s="1"/>
  <c r="N133" i="20" s="1"/>
  <c r="L97" i="20" a="1"/>
  <c r="L97" i="20" s="1"/>
  <c r="N97" i="20" s="1"/>
  <c r="L56" i="20" a="1"/>
  <c r="L56" i="20" s="1"/>
  <c r="N56" i="20" s="1"/>
  <c r="P14" i="20" a="1"/>
  <c r="P14" i="20" s="1"/>
  <c r="O147" i="20" a="1"/>
  <c r="O147" i="20" s="1"/>
  <c r="O130" i="20" a="1"/>
  <c r="O130" i="20" s="1"/>
  <c r="O113" i="20" a="1"/>
  <c r="O113" i="20" s="1"/>
  <c r="O104" i="20" a="1"/>
  <c r="O104" i="20" s="1"/>
  <c r="O87" i="20" a="1"/>
  <c r="O87" i="20" s="1"/>
  <c r="O70" i="20" a="1"/>
  <c r="O70" i="20" s="1"/>
  <c r="O53" i="20" a="1"/>
  <c r="O53" i="20" s="1"/>
  <c r="O36" i="20" a="1"/>
  <c r="O36" i="20" s="1"/>
  <c r="O19" i="20" a="1"/>
  <c r="O19" i="20" s="1"/>
  <c r="L131" i="20" a="1"/>
  <c r="L131" i="20" s="1"/>
  <c r="N131" i="20" s="1"/>
  <c r="L118" i="20" a="1"/>
  <c r="L118" i="20" s="1"/>
  <c r="N118" i="20" s="1"/>
  <c r="L96" i="20" a="1"/>
  <c r="L96" i="20" s="1"/>
  <c r="N96" i="20" s="1"/>
  <c r="K112" i="20" a="1"/>
  <c r="K112" i="20" s="1"/>
  <c r="N125" i="20"/>
  <c r="P65" i="20" a="1"/>
  <c r="P65" i="20" s="1"/>
  <c r="P48" i="20" a="1"/>
  <c r="P48" i="20" s="1"/>
  <c r="P138" i="20" a="1"/>
  <c r="P138" i="20" s="1"/>
  <c r="P122" i="20" a="1"/>
  <c r="P122" i="20" s="1"/>
  <c r="P106" i="20" a="1"/>
  <c r="P106" i="20" s="1"/>
  <c r="P90" i="20" a="1"/>
  <c r="P90" i="20" s="1"/>
  <c r="P56" i="20" a="1"/>
  <c r="P56" i="20" s="1"/>
  <c r="P39" i="20" a="1"/>
  <c r="P39" i="20" s="1"/>
  <c r="P22" i="20" a="1"/>
  <c r="P22" i="20" s="1"/>
  <c r="P5" i="20" a="1"/>
  <c r="P5" i="20" s="1"/>
  <c r="O138" i="20" a="1"/>
  <c r="O138" i="20" s="1"/>
  <c r="O121" i="20" a="1"/>
  <c r="O121" i="20" s="1"/>
  <c r="O112" i="20" a="1"/>
  <c r="O112" i="20" s="1"/>
  <c r="O95" i="20" a="1"/>
  <c r="O95" i="20" s="1"/>
  <c r="O78" i="20" a="1"/>
  <c r="O78" i="20" s="1"/>
  <c r="O61" i="20" a="1"/>
  <c r="O61" i="20" s="1"/>
  <c r="O44" i="20" a="1"/>
  <c r="O44" i="20" s="1"/>
  <c r="O27" i="20" a="1"/>
  <c r="O27" i="20" s="1"/>
  <c r="O10" i="20" a="1"/>
  <c r="O10" i="20" s="1"/>
  <c r="N3" i="20"/>
  <c r="L143" i="20" a="1"/>
  <c r="L143" i="20" s="1"/>
  <c r="N143" i="20" s="1"/>
  <c r="L130" i="20" a="1"/>
  <c r="L130" i="20" s="1"/>
  <c r="N130" i="20" s="1"/>
  <c r="N20" i="20"/>
  <c r="P82" i="20" a="1"/>
  <c r="P82" i="20" s="1"/>
  <c r="P31" i="20" a="1"/>
  <c r="P31" i="20" s="1"/>
  <c r="P146" i="20" a="1"/>
  <c r="P146" i="20" s="1"/>
  <c r="P130" i="20" a="1"/>
  <c r="P130" i="20" s="1"/>
  <c r="P114" i="20" a="1"/>
  <c r="P114" i="20" s="1"/>
  <c r="P98" i="20" a="1"/>
  <c r="P98" i="20" s="1"/>
  <c r="P73" i="20" a="1"/>
  <c r="P73" i="20" s="1"/>
  <c r="P81" i="20" a="1"/>
  <c r="P81" i="20" s="1"/>
  <c r="P64" i="20" a="1"/>
  <c r="P64" i="20" s="1"/>
  <c r="P47" i="20" a="1"/>
  <c r="P47" i="20" s="1"/>
  <c r="P30" i="20" a="1"/>
  <c r="P30" i="20" s="1"/>
  <c r="P13" i="20" a="1"/>
  <c r="P13" i="20" s="1"/>
  <c r="O146" i="20" a="1"/>
  <c r="O146" i="20" s="1"/>
  <c r="O129" i="20" a="1"/>
  <c r="O129" i="20" s="1"/>
  <c r="O120" i="20" a="1"/>
  <c r="O120" i="20" s="1"/>
  <c r="O103" i="20" a="1"/>
  <c r="O103" i="20" s="1"/>
  <c r="O86" i="20" a="1"/>
  <c r="O86" i="20" s="1"/>
  <c r="O69" i="20" a="1"/>
  <c r="O69" i="20" s="1"/>
  <c r="O52" i="20" a="1"/>
  <c r="O52" i="20" s="1"/>
  <c r="O35" i="20" a="1"/>
  <c r="O35" i="20" s="1"/>
  <c r="O18" i="20" a="1"/>
  <c r="O18" i="20" s="1"/>
  <c r="L90" i="20" a="1"/>
  <c r="L90" i="20" s="1"/>
  <c r="N90" i="20" s="1"/>
  <c r="K95" i="20" a="1"/>
  <c r="K95" i="20" s="1"/>
  <c r="P137" i="20" a="1"/>
  <c r="P137" i="20" s="1"/>
  <c r="P129" i="20" a="1"/>
  <c r="P129" i="20" s="1"/>
  <c r="P121" i="20" a="1"/>
  <c r="P121" i="20" s="1"/>
  <c r="P113" i="20" a="1"/>
  <c r="P113" i="20" s="1"/>
  <c r="P105" i="20" a="1"/>
  <c r="P105" i="20" s="1"/>
  <c r="P97" i="20" a="1"/>
  <c r="P97" i="20" s="1"/>
  <c r="P89" i="20" a="1"/>
  <c r="P89" i="20" s="1"/>
  <c r="P72" i="20" a="1"/>
  <c r="P72" i="20" s="1"/>
  <c r="P55" i="20" a="1"/>
  <c r="P55" i="20" s="1"/>
  <c r="P38" i="20" a="1"/>
  <c r="P38" i="20" s="1"/>
  <c r="P21" i="20" a="1"/>
  <c r="P21" i="20" s="1"/>
  <c r="P4" i="20" a="1"/>
  <c r="P4" i="20" s="1"/>
  <c r="O137" i="20" a="1"/>
  <c r="O137" i="20" s="1"/>
  <c r="O128" i="20" a="1"/>
  <c r="O128" i="20" s="1"/>
  <c r="O111" i="20" a="1"/>
  <c r="O111" i="20" s="1"/>
  <c r="O94" i="20" a="1"/>
  <c r="O94" i="20" s="1"/>
  <c r="O77" i="20" a="1"/>
  <c r="O77" i="20" s="1"/>
  <c r="O60" i="20" a="1"/>
  <c r="O60" i="20" s="1"/>
  <c r="O43" i="20" a="1"/>
  <c r="O43" i="20" s="1"/>
  <c r="O26" i="20" a="1"/>
  <c r="O26" i="20" s="1"/>
  <c r="O9" i="20" a="1"/>
  <c r="O9" i="20" s="1"/>
  <c r="L142" i="20" a="1"/>
  <c r="L142" i="20" s="1"/>
  <c r="N142" i="20" s="1"/>
  <c r="L116" i="20" a="1"/>
  <c r="L116" i="20" s="1"/>
  <c r="N116" i="20" s="1"/>
  <c r="L46" i="20" a="1"/>
  <c r="L46" i="20" s="1"/>
  <c r="N46" i="20" s="1"/>
  <c r="N29" i="20"/>
  <c r="N77" i="20"/>
  <c r="N13" i="20"/>
  <c r="K6" i="20" a="1"/>
  <c r="K6" i="20" s="1"/>
  <c r="K5" i="20" a="1"/>
  <c r="K5" i="20" s="1"/>
  <c r="K3" i="20" a="1"/>
  <c r="K3" i="20" s="1"/>
  <c r="T278" i="18" a="1"/>
  <c r="T278" i="18" s="1"/>
  <c r="T252" i="18" a="1"/>
  <c r="T252" i="18" s="1"/>
  <c r="T232" i="18" a="1"/>
  <c r="T232" i="18" s="1"/>
  <c r="T210" i="18" a="1"/>
  <c r="T210" i="18" s="1"/>
  <c r="T185" i="18" a="1"/>
  <c r="T185" i="18" s="1"/>
  <c r="T161" i="18" a="1"/>
  <c r="T161" i="18" s="1"/>
  <c r="T129" i="18" a="1"/>
  <c r="T129" i="18" s="1"/>
  <c r="T93" i="18" a="1"/>
  <c r="T93" i="18" s="1"/>
  <c r="S203" i="18" a="1"/>
  <c r="S203" i="18" s="1"/>
  <c r="T250" i="18" a="1"/>
  <c r="T250" i="18" s="1"/>
  <c r="T274" i="18" a="1"/>
  <c r="T274" i="18" s="1"/>
  <c r="T273" i="18" a="1"/>
  <c r="T273" i="18" s="1"/>
  <c r="T251" i="18" a="1"/>
  <c r="T251" i="18" s="1"/>
  <c r="T231" i="18" a="1"/>
  <c r="T231" i="18" s="1"/>
  <c r="T209" i="18" a="1"/>
  <c r="T209" i="18" s="1"/>
  <c r="T184" i="18" a="1"/>
  <c r="T184" i="18" s="1"/>
  <c r="T157" i="18" a="1"/>
  <c r="T157" i="18" s="1"/>
  <c r="T128" i="18" a="1"/>
  <c r="T128" i="18" s="1"/>
  <c r="T86" i="18" a="1"/>
  <c r="T86" i="18" s="1"/>
  <c r="T10" i="18" a="1"/>
  <c r="T10" i="18" s="1"/>
  <c r="S278" i="18" a="1"/>
  <c r="S278" i="18" s="1"/>
  <c r="P270" i="18" a="1"/>
  <c r="P270" i="18" s="1"/>
  <c r="R270" i="18" s="1"/>
  <c r="U270" i="18" s="1"/>
  <c r="O270" i="18" a="1"/>
  <c r="O270" i="18" s="1"/>
  <c r="S270" i="18" a="1"/>
  <c r="S270" i="18" s="1"/>
  <c r="O254" i="18" a="1"/>
  <c r="O254" i="18" s="1"/>
  <c r="P254" i="18" a="1"/>
  <c r="P254" i="18" s="1"/>
  <c r="S254" i="18" a="1"/>
  <c r="S254" i="18" s="1"/>
  <c r="T254" i="18" a="1"/>
  <c r="T254" i="18" s="1"/>
  <c r="P238" i="18" a="1"/>
  <c r="P238" i="18" s="1"/>
  <c r="S238" i="18" a="1"/>
  <c r="S238" i="18" s="1"/>
  <c r="O238" i="18" a="1"/>
  <c r="O238" i="18" s="1"/>
  <c r="P222" i="18" a="1"/>
  <c r="P222" i="18" s="1"/>
  <c r="O222" i="18" a="1"/>
  <c r="O222" i="18" s="1"/>
  <c r="S222" i="18" a="1"/>
  <c r="S222" i="18" s="1"/>
  <c r="O206" i="18" a="1"/>
  <c r="O206" i="18" s="1"/>
  <c r="P206" i="18" a="1"/>
  <c r="P206" i="18" s="1"/>
  <c r="S206" i="18" a="1"/>
  <c r="S206" i="18" s="1"/>
  <c r="O190" i="18" a="1"/>
  <c r="O190" i="18" s="1"/>
  <c r="P190" i="18" a="1"/>
  <c r="P190" i="18" s="1"/>
  <c r="T190" i="18" a="1"/>
  <c r="T190" i="18" s="1"/>
  <c r="S190" i="18" a="1"/>
  <c r="S190" i="18" s="1"/>
  <c r="O174" i="18" a="1"/>
  <c r="O174" i="18" s="1"/>
  <c r="P174" i="18" a="1"/>
  <c r="P174" i="18" s="1"/>
  <c r="T174" i="18" a="1"/>
  <c r="T174" i="18" s="1"/>
  <c r="S174" i="18" a="1"/>
  <c r="S174" i="18" s="1"/>
  <c r="P158" i="18" a="1"/>
  <c r="P158" i="18" s="1"/>
  <c r="O158" i="18" a="1"/>
  <c r="O158" i="18" s="1"/>
  <c r="T158" i="18" a="1"/>
  <c r="T158" i="18" s="1"/>
  <c r="S158" i="18" a="1"/>
  <c r="S158" i="18" s="1"/>
  <c r="O142" i="18" a="1"/>
  <c r="O142" i="18" s="1"/>
  <c r="P142" i="18" a="1"/>
  <c r="P142" i="18" s="1"/>
  <c r="R142" i="18" s="1"/>
  <c r="U142" i="18" s="1"/>
  <c r="S142" i="18" a="1"/>
  <c r="S142" i="18" s="1"/>
  <c r="O126" i="18" a="1"/>
  <c r="O126" i="18" s="1"/>
  <c r="S126" i="18" a="1"/>
  <c r="S126" i="18" s="1"/>
  <c r="P126" i="18" a="1"/>
  <c r="P126" i="18" s="1"/>
  <c r="T126" i="18" a="1"/>
  <c r="T126" i="18" s="1"/>
  <c r="P110" i="18" a="1"/>
  <c r="P110" i="18" s="1"/>
  <c r="O110" i="18" a="1"/>
  <c r="O110" i="18" s="1"/>
  <c r="S110" i="18" a="1"/>
  <c r="S110" i="18" s="1"/>
  <c r="O94" i="18" a="1"/>
  <c r="O94" i="18" s="1"/>
  <c r="P94" i="18" a="1"/>
  <c r="P94" i="18" s="1"/>
  <c r="T94" i="18" a="1"/>
  <c r="T94" i="18" s="1"/>
  <c r="O78" i="18" a="1"/>
  <c r="O78" i="18" s="1"/>
  <c r="P78" i="18" a="1"/>
  <c r="P78" i="18" s="1"/>
  <c r="S78" i="18" a="1"/>
  <c r="S78" i="18" s="1"/>
  <c r="T78" i="18" a="1"/>
  <c r="T78" i="18" s="1"/>
  <c r="O62" i="18" a="1"/>
  <c r="O62" i="18" s="1"/>
  <c r="P62" i="18" a="1"/>
  <c r="P62" i="18" s="1"/>
  <c r="T62" i="18" a="1"/>
  <c r="T62" i="18" s="1"/>
  <c r="S62" i="18" a="1"/>
  <c r="S62" i="18" s="1"/>
  <c r="O46" i="18" a="1"/>
  <c r="O46" i="18" s="1"/>
  <c r="P46" i="18" a="1"/>
  <c r="P46" i="18" s="1"/>
  <c r="S46" i="18" a="1"/>
  <c r="S46" i="18" s="1"/>
  <c r="T46" i="18" a="1"/>
  <c r="T46" i="18" s="1"/>
  <c r="P30" i="18" a="1"/>
  <c r="P30" i="18" s="1"/>
  <c r="O30" i="18" a="1"/>
  <c r="O30" i="18" s="1"/>
  <c r="S30" i="18" a="1"/>
  <c r="S30" i="18" s="1"/>
  <c r="T30" i="18" a="1"/>
  <c r="T30" i="18" s="1"/>
  <c r="O28" i="18" a="1"/>
  <c r="O28" i="18" s="1"/>
  <c r="O41" i="18" a="1"/>
  <c r="O41" i="18" s="1"/>
  <c r="O53" i="18" a="1"/>
  <c r="O53" i="18" s="1"/>
  <c r="O66" i="18" a="1"/>
  <c r="O66" i="18" s="1"/>
  <c r="O77" i="18" a="1"/>
  <c r="O77" i="18" s="1"/>
  <c r="O101" i="18" a="1"/>
  <c r="O101" i="18" s="1"/>
  <c r="O113" i="18" a="1"/>
  <c r="O113" i="18" s="1"/>
  <c r="O124" i="18" a="1"/>
  <c r="O124" i="18" s="1"/>
  <c r="O147" i="18" a="1"/>
  <c r="O147" i="18" s="1"/>
  <c r="O171" i="18" a="1"/>
  <c r="O171" i="18" s="1"/>
  <c r="O182" i="18" a="1"/>
  <c r="O182" i="18" s="1"/>
  <c r="O205" i="18" a="1"/>
  <c r="O205" i="18" s="1"/>
  <c r="O217" i="18" a="1"/>
  <c r="O217" i="18" s="1"/>
  <c r="O264" i="18" a="1"/>
  <c r="O264" i="18" s="1"/>
  <c r="P6" i="18" a="1"/>
  <c r="P6" i="18" s="1"/>
  <c r="R6" i="18" s="1"/>
  <c r="U6" i="18" s="1"/>
  <c r="P29" i="18" a="1"/>
  <c r="P29" i="18" s="1"/>
  <c r="P42" i="18" a="1"/>
  <c r="P42" i="18" s="1"/>
  <c r="R42" i="18" s="1"/>
  <c r="U42" i="18" s="1"/>
  <c r="P52" i="18" a="1"/>
  <c r="P52" i="18" s="1"/>
  <c r="P74" i="18" a="1"/>
  <c r="P74" i="18" s="1"/>
  <c r="P86" i="18" a="1"/>
  <c r="P86" i="18" s="1"/>
  <c r="R86" i="18" s="1"/>
  <c r="U86" i="18" s="1"/>
  <c r="P97" i="18" a="1"/>
  <c r="P97" i="18" s="1"/>
  <c r="R97" i="18" s="1"/>
  <c r="U97" i="18" s="1"/>
  <c r="P108" i="18" a="1"/>
  <c r="P108" i="18" s="1"/>
  <c r="P119" i="18" a="1"/>
  <c r="P119" i="18" s="1"/>
  <c r="R119" i="18" s="1"/>
  <c r="U119" i="18" s="1"/>
  <c r="P168" i="18" a="1"/>
  <c r="P168" i="18" s="1"/>
  <c r="P180" i="18" a="1"/>
  <c r="P180" i="18" s="1"/>
  <c r="P193" i="18" a="1"/>
  <c r="P193" i="18" s="1"/>
  <c r="P205" i="18" a="1"/>
  <c r="P205" i="18" s="1"/>
  <c r="P218" i="18" a="1"/>
  <c r="P218" i="18" s="1"/>
  <c r="R218" i="18" s="1"/>
  <c r="U218" i="18" s="1"/>
  <c r="P230" i="18" a="1"/>
  <c r="P230" i="18" s="1"/>
  <c r="R230" i="18" s="1"/>
  <c r="U230" i="18" s="1"/>
  <c r="O42" i="18" a="1"/>
  <c r="O42" i="18" s="1"/>
  <c r="O54" i="18" a="1"/>
  <c r="O54" i="18" s="1"/>
  <c r="O90" i="18" a="1"/>
  <c r="O90" i="18" s="1"/>
  <c r="O102" i="18" a="1"/>
  <c r="O102" i="18" s="1"/>
  <c r="O114" i="18" a="1"/>
  <c r="O114" i="18" s="1"/>
  <c r="O125" i="18" a="1"/>
  <c r="O125" i="18" s="1"/>
  <c r="O137" i="18" a="1"/>
  <c r="O137" i="18" s="1"/>
  <c r="O148" i="18" a="1"/>
  <c r="O148" i="18" s="1"/>
  <c r="O160" i="18" a="1"/>
  <c r="O160" i="18" s="1"/>
  <c r="O172" i="18" a="1"/>
  <c r="O172" i="18" s="1"/>
  <c r="O183" i="18" a="1"/>
  <c r="O183" i="18" s="1"/>
  <c r="O195" i="18" a="1"/>
  <c r="O195" i="18" s="1"/>
  <c r="O229" i="18" a="1"/>
  <c r="O229" i="18" s="1"/>
  <c r="O241" i="18" a="1"/>
  <c r="O241" i="18" s="1"/>
  <c r="O252" i="18" a="1"/>
  <c r="O252" i="18" s="1"/>
  <c r="O275" i="18" a="1"/>
  <c r="O275" i="18" s="1"/>
  <c r="P7" i="18" a="1"/>
  <c r="P7" i="18" s="1"/>
  <c r="P19" i="18" a="1"/>
  <c r="P19" i="18" s="1"/>
  <c r="P87" i="18" a="1"/>
  <c r="P87" i="18" s="1"/>
  <c r="P98" i="18" a="1"/>
  <c r="P98" i="18" s="1"/>
  <c r="P109" i="18" a="1"/>
  <c r="P109" i="18" s="1"/>
  <c r="P120" i="18" a="1"/>
  <c r="P120" i="18" s="1"/>
  <c r="P132" i="18" a="1"/>
  <c r="P132" i="18" s="1"/>
  <c r="P156" i="18" a="1"/>
  <c r="P156" i="18" s="1"/>
  <c r="R156" i="18" s="1"/>
  <c r="U156" i="18" s="1"/>
  <c r="P169" i="18" a="1"/>
  <c r="P169" i="18" s="1"/>
  <c r="P181" i="18" a="1"/>
  <c r="P181" i="18" s="1"/>
  <c r="P194" i="18" a="1"/>
  <c r="P194" i="18" s="1"/>
  <c r="R194" i="18" s="1"/>
  <c r="U194" i="18" s="1"/>
  <c r="P231" i="18" a="1"/>
  <c r="P231" i="18" s="1"/>
  <c r="R231" i="18" s="1"/>
  <c r="U231" i="18" s="1"/>
  <c r="O29" i="18" a="1"/>
  <c r="O29" i="18" s="1"/>
  <c r="O43" i="18" a="1"/>
  <c r="O43" i="18" s="1"/>
  <c r="O55" i="18" a="1"/>
  <c r="O55" i="18" s="1"/>
  <c r="O67" i="18" a="1"/>
  <c r="O67" i="18" s="1"/>
  <c r="O91" i="18" a="1"/>
  <c r="O91" i="18" s="1"/>
  <c r="O103" i="18" a="1"/>
  <c r="O103" i="18" s="1"/>
  <c r="O115" i="18" a="1"/>
  <c r="O115" i="18" s="1"/>
  <c r="O138" i="18" a="1"/>
  <c r="O138" i="18" s="1"/>
  <c r="O149" i="18" a="1"/>
  <c r="O149" i="18" s="1"/>
  <c r="O173" i="18" a="1"/>
  <c r="O173" i="18" s="1"/>
  <c r="O196" i="18" a="1"/>
  <c r="O196" i="18" s="1"/>
  <c r="O218" i="18" a="1"/>
  <c r="O218" i="18" s="1"/>
  <c r="O230" i="18" a="1"/>
  <c r="O230" i="18" s="1"/>
  <c r="O242" i="18" a="1"/>
  <c r="O242" i="18" s="1"/>
  <c r="O253" i="18" a="1"/>
  <c r="O253" i="18" s="1"/>
  <c r="O265" i="18" a="1"/>
  <c r="O265" i="18" s="1"/>
  <c r="O276" i="18" a="1"/>
  <c r="O276" i="18" s="1"/>
  <c r="P8" i="18" a="1"/>
  <c r="P8" i="18" s="1"/>
  <c r="P20" i="18" a="1"/>
  <c r="P20" i="18" s="1"/>
  <c r="P43" i="18" a="1"/>
  <c r="P43" i="18" s="1"/>
  <c r="P53" i="18" a="1"/>
  <c r="P53" i="18" s="1"/>
  <c r="P64" i="18" a="1"/>
  <c r="P64" i="18" s="1"/>
  <c r="R64" i="18" s="1"/>
  <c r="U64" i="18" s="1"/>
  <c r="O44" i="18" a="1"/>
  <c r="O44" i="18" s="1"/>
  <c r="O68" i="18" a="1"/>
  <c r="O68" i="18" s="1"/>
  <c r="O80" i="18" a="1"/>
  <c r="O80" i="18" s="1"/>
  <c r="O92" i="18" a="1"/>
  <c r="O92" i="18" s="1"/>
  <c r="O104" i="18" a="1"/>
  <c r="O104" i="18" s="1"/>
  <c r="O139" i="18" a="1"/>
  <c r="O139" i="18" s="1"/>
  <c r="O161" i="18" a="1"/>
  <c r="O161" i="18" s="1"/>
  <c r="O184" i="18" a="1"/>
  <c r="O184" i="18" s="1"/>
  <c r="O208" i="18" a="1"/>
  <c r="O208" i="18" s="1"/>
  <c r="O219" i="18" a="1"/>
  <c r="O219" i="18" s="1"/>
  <c r="O231" i="18" a="1"/>
  <c r="O231" i="18" s="1"/>
  <c r="O243" i="18" a="1"/>
  <c r="O243" i="18" s="1"/>
  <c r="O266" i="18" a="1"/>
  <c r="O266" i="18" s="1"/>
  <c r="O277" i="18" a="1"/>
  <c r="O277" i="18" s="1"/>
  <c r="P21" i="18" a="1"/>
  <c r="P21" i="18" s="1"/>
  <c r="R21" i="18" s="1"/>
  <c r="U21" i="18" s="1"/>
  <c r="P44" i="18" a="1"/>
  <c r="P44" i="18" s="1"/>
  <c r="P54" i="18" a="1"/>
  <c r="P54" i="18" s="1"/>
  <c r="P76" i="18" a="1"/>
  <c r="P76" i="18" s="1"/>
  <c r="R76" i="18" s="1"/>
  <c r="U76" i="18" s="1"/>
  <c r="P99" i="18" a="1"/>
  <c r="P99" i="18" s="1"/>
  <c r="P145" i="18" a="1"/>
  <c r="P145" i="18" s="1"/>
  <c r="P170" i="18" a="1"/>
  <c r="P170" i="18" s="1"/>
  <c r="P220" i="18" a="1"/>
  <c r="P220" i="18" s="1"/>
  <c r="R220" i="18" s="1"/>
  <c r="U220" i="18" s="1"/>
  <c r="P233" i="18" a="1"/>
  <c r="P233" i="18" s="1"/>
  <c r="P278" i="18" a="1"/>
  <c r="P278" i="18" s="1"/>
  <c r="R278" i="18" s="1"/>
  <c r="U278" i="18" s="1"/>
  <c r="S5" i="18" a="1"/>
  <c r="S5" i="18" s="1"/>
  <c r="S29" i="18" a="1"/>
  <c r="S29" i="18" s="1"/>
  <c r="S40" i="18" a="1"/>
  <c r="S40" i="18" s="1"/>
  <c r="S51" i="18" a="1"/>
  <c r="S51" i="18" s="1"/>
  <c r="S75" i="18" a="1"/>
  <c r="S75" i="18" s="1"/>
  <c r="S86" i="18" a="1"/>
  <c r="S86" i="18" s="1"/>
  <c r="S97" i="18" a="1"/>
  <c r="S97" i="18" s="1"/>
  <c r="S123" i="18" a="1"/>
  <c r="S123" i="18" s="1"/>
  <c r="S133" i="18" a="1"/>
  <c r="S133" i="18" s="1"/>
  <c r="O45" i="18" a="1"/>
  <c r="O45" i="18" s="1"/>
  <c r="O56" i="18" a="1"/>
  <c r="O56" i="18" s="1"/>
  <c r="O69" i="18" a="1"/>
  <c r="O69" i="18" s="1"/>
  <c r="O81" i="18" a="1"/>
  <c r="O81" i="18" s="1"/>
  <c r="O93" i="18" a="1"/>
  <c r="O93" i="18" s="1"/>
  <c r="O105" i="18" a="1"/>
  <c r="O105" i="18" s="1"/>
  <c r="O116" i="18" a="1"/>
  <c r="O116" i="18" s="1"/>
  <c r="O128" i="18" a="1"/>
  <c r="O128" i="18" s="1"/>
  <c r="O150" i="18" a="1"/>
  <c r="O150" i="18" s="1"/>
  <c r="O162" i="18" a="1"/>
  <c r="O162" i="18" s="1"/>
  <c r="O185" i="18" a="1"/>
  <c r="O185" i="18" s="1"/>
  <c r="O197" i="18" a="1"/>
  <c r="O197" i="18" s="1"/>
  <c r="O209" i="18" a="1"/>
  <c r="O209" i="18" s="1"/>
  <c r="O220" i="18" a="1"/>
  <c r="O220" i="18" s="1"/>
  <c r="O232" i="18" a="1"/>
  <c r="O232" i="18" s="1"/>
  <c r="O267" i="18" a="1"/>
  <c r="O267" i="18" s="1"/>
  <c r="P9" i="18" a="1"/>
  <c r="P9" i="18" s="1"/>
  <c r="P32" i="18" a="1"/>
  <c r="P32" i="18" s="1"/>
  <c r="R32" i="18" s="1"/>
  <c r="U32" i="18" s="1"/>
  <c r="P55" i="18" a="1"/>
  <c r="P55" i="18" s="1"/>
  <c r="R55" i="18" s="1"/>
  <c r="U55" i="18" s="1"/>
  <c r="P65" i="18" a="1"/>
  <c r="P65" i="18" s="1"/>
  <c r="P89" i="18" a="1"/>
  <c r="P89" i="18" s="1"/>
  <c r="R89" i="18" s="1"/>
  <c r="U89" i="18" s="1"/>
  <c r="P122" i="18" a="1"/>
  <c r="P122" i="18" s="1"/>
  <c r="P134" i="18" a="1"/>
  <c r="P134" i="18" s="1"/>
  <c r="P146" i="18" a="1"/>
  <c r="P146" i="18" s="1"/>
  <c r="P171" i="18" a="1"/>
  <c r="P171" i="18" s="1"/>
  <c r="P183" i="18" a="1"/>
  <c r="P183" i="18" s="1"/>
  <c r="R183" i="18" s="1"/>
  <c r="U183" i="18" s="1"/>
  <c r="P196" i="18" a="1"/>
  <c r="P196" i="18" s="1"/>
  <c r="P208" i="18" a="1"/>
  <c r="P208" i="18" s="1"/>
  <c r="R208" i="18" s="1"/>
  <c r="U208" i="18" s="1"/>
  <c r="P234" i="18" a="1"/>
  <c r="P234" i="18" s="1"/>
  <c r="O3" i="18" a="1"/>
  <c r="O3" i="18" s="1"/>
  <c r="O57" i="18" a="1"/>
  <c r="O57" i="18" s="1"/>
  <c r="O117" i="18" a="1"/>
  <c r="O117" i="18" s="1"/>
  <c r="O140" i="18" a="1"/>
  <c r="O140" i="18" s="1"/>
  <c r="O151" i="18" a="1"/>
  <c r="O151" i="18" s="1"/>
  <c r="O186" i="18" a="1"/>
  <c r="O186" i="18" s="1"/>
  <c r="O221" i="18" a="1"/>
  <c r="O221" i="18" s="1"/>
  <c r="O233" i="18" a="1"/>
  <c r="O233" i="18" s="1"/>
  <c r="O244" i="18" a="1"/>
  <c r="O244" i="18" s="1"/>
  <c r="O256" i="18" a="1"/>
  <c r="O256" i="18" s="1"/>
  <c r="O278" i="18" a="1"/>
  <c r="O278" i="18" s="1"/>
  <c r="P10" i="18" a="1"/>
  <c r="P10" i="18" s="1"/>
  <c r="P22" i="18" a="1"/>
  <c r="P22" i="18" s="1"/>
  <c r="P33" i="18" a="1"/>
  <c r="P33" i="18" s="1"/>
  <c r="R33" i="18" s="1"/>
  <c r="U33" i="18" s="1"/>
  <c r="P45" i="18" a="1"/>
  <c r="P45" i="18" s="1"/>
  <c r="P56" i="18" a="1"/>
  <c r="P56" i="18" s="1"/>
  <c r="R56" i="18" s="1"/>
  <c r="U56" i="18" s="1"/>
  <c r="P77" i="18" a="1"/>
  <c r="P77" i="18" s="1"/>
  <c r="P90" i="18" a="1"/>
  <c r="P90" i="18" s="1"/>
  <c r="P100" i="18" a="1"/>
  <c r="P100" i="18" s="1"/>
  <c r="P112" i="18" a="1"/>
  <c r="P112" i="18" s="1"/>
  <c r="P123" i="18" a="1"/>
  <c r="P123" i="18" s="1"/>
  <c r="P135" i="18" a="1"/>
  <c r="P135" i="18" s="1"/>
  <c r="P147" i="18" a="1"/>
  <c r="P147" i="18" s="1"/>
  <c r="P172" i="18" a="1"/>
  <c r="P172" i="18" s="1"/>
  <c r="R172" i="18" s="1"/>
  <c r="U172" i="18" s="1"/>
  <c r="O32" i="18" a="1"/>
  <c r="O32" i="18" s="1"/>
  <c r="O58" i="18" a="1"/>
  <c r="O58" i="18" s="1"/>
  <c r="O70" i="18" a="1"/>
  <c r="O70" i="18" s="1"/>
  <c r="O82" i="18" a="1"/>
  <c r="O82" i="18" s="1"/>
  <c r="O106" i="18" a="1"/>
  <c r="O106" i="18" s="1"/>
  <c r="O129" i="18" a="1"/>
  <c r="O129" i="18" s="1"/>
  <c r="O152" i="18" a="1"/>
  <c r="O152" i="18" s="1"/>
  <c r="O163" i="18" a="1"/>
  <c r="O163" i="18" s="1"/>
  <c r="O187" i="18" a="1"/>
  <c r="O187" i="18" s="1"/>
  <c r="O198" i="18" a="1"/>
  <c r="O198" i="18" s="1"/>
  <c r="O210" i="18" a="1"/>
  <c r="O210" i="18" s="1"/>
  <c r="O245" i="18" a="1"/>
  <c r="O245" i="18" s="1"/>
  <c r="O268" i="18" a="1"/>
  <c r="O268" i="18" s="1"/>
  <c r="O279" i="18" a="1"/>
  <c r="O279" i="18" s="1"/>
  <c r="P23" i="18" a="1"/>
  <c r="P23" i="18" s="1"/>
  <c r="P34" i="18" a="1"/>
  <c r="P34" i="18" s="1"/>
  <c r="R34" i="18" s="1"/>
  <c r="U34" i="18" s="1"/>
  <c r="P57" i="18" a="1"/>
  <c r="P57" i="18" s="1"/>
  <c r="P66" i="18" a="1"/>
  <c r="P66" i="18" s="1"/>
  <c r="R66" i="18" s="1"/>
  <c r="U66" i="18" s="1"/>
  <c r="P91" i="18" a="1"/>
  <c r="P91" i="18" s="1"/>
  <c r="P124" i="18" a="1"/>
  <c r="P124" i="18" s="1"/>
  <c r="P148" i="18" a="1"/>
  <c r="P148" i="18" s="1"/>
  <c r="P160" i="18" a="1"/>
  <c r="P160" i="18" s="1"/>
  <c r="R160" i="18" s="1"/>
  <c r="U160" i="18" s="1"/>
  <c r="P185" i="18" a="1"/>
  <c r="P185" i="18" s="1"/>
  <c r="R185" i="18" s="1"/>
  <c r="U185" i="18" s="1"/>
  <c r="P198" i="18" a="1"/>
  <c r="P198" i="18" s="1"/>
  <c r="P210" i="18" a="1"/>
  <c r="P210" i="18" s="1"/>
  <c r="P246" i="18" a="1"/>
  <c r="P246" i="18" s="1"/>
  <c r="R246" i="18" s="1"/>
  <c r="U246" i="18" s="1"/>
  <c r="O19" i="18" a="1"/>
  <c r="O19" i="18" s="1"/>
  <c r="O59" i="18" a="1"/>
  <c r="O59" i="18" s="1"/>
  <c r="O71" i="18" a="1"/>
  <c r="O71" i="18" s="1"/>
  <c r="O83" i="18" a="1"/>
  <c r="O83" i="18" s="1"/>
  <c r="O118" i="18" a="1"/>
  <c r="O118" i="18" s="1"/>
  <c r="O141" i="18" a="1"/>
  <c r="O141" i="18" s="1"/>
  <c r="O153" i="18" a="1"/>
  <c r="O153" i="18" s="1"/>
  <c r="O176" i="18" a="1"/>
  <c r="O176" i="18" s="1"/>
  <c r="O199" i="18" a="1"/>
  <c r="O199" i="18" s="1"/>
  <c r="O211" i="18" a="1"/>
  <c r="O211" i="18" s="1"/>
  <c r="O234" i="18" a="1"/>
  <c r="O234" i="18" s="1"/>
  <c r="O257" i="18" a="1"/>
  <c r="O257" i="18" s="1"/>
  <c r="O280" i="18" a="1"/>
  <c r="O280" i="18" s="1"/>
  <c r="P11" i="18" a="1"/>
  <c r="P11" i="18" s="1"/>
  <c r="P35" i="18" a="1"/>
  <c r="P35" i="18" s="1"/>
  <c r="P67" i="18" a="1"/>
  <c r="P67" i="18" s="1"/>
  <c r="P101" i="18" a="1"/>
  <c r="P101" i="18" s="1"/>
  <c r="P113" i="18" a="1"/>
  <c r="P113" i="18" s="1"/>
  <c r="R113" i="18" s="1"/>
  <c r="U113" i="18" s="1"/>
  <c r="P136" i="18" a="1"/>
  <c r="P136" i="18" s="1"/>
  <c r="R136" i="18" s="1"/>
  <c r="U136" i="18" s="1"/>
  <c r="P161" i="18" a="1"/>
  <c r="P161" i="18" s="1"/>
  <c r="P173" i="18" a="1"/>
  <c r="P173" i="18" s="1"/>
  <c r="R173" i="18" s="1"/>
  <c r="U173" i="18" s="1"/>
  <c r="P186" i="18" a="1"/>
  <c r="P186" i="18" s="1"/>
  <c r="R186" i="18" s="1"/>
  <c r="U186" i="18" s="1"/>
  <c r="P199" i="18" a="1"/>
  <c r="P199" i="18" s="1"/>
  <c r="P211" i="18" a="1"/>
  <c r="P211" i="18" s="1"/>
  <c r="P236" i="18" a="1"/>
  <c r="P236" i="18" s="1"/>
  <c r="P258" i="18" a="1"/>
  <c r="P258" i="18" s="1"/>
  <c r="P281" i="18" a="1"/>
  <c r="P281" i="18" s="1"/>
  <c r="S9" i="18" a="1"/>
  <c r="S9" i="18" s="1"/>
  <c r="S19" i="18" a="1"/>
  <c r="S19" i="18" s="1"/>
  <c r="S55" i="18" a="1"/>
  <c r="S55" i="18" s="1"/>
  <c r="S65" i="18" a="1"/>
  <c r="S65" i="18" s="1"/>
  <c r="O20" i="18" a="1"/>
  <c r="O20" i="18" s="1"/>
  <c r="O33" i="18" a="1"/>
  <c r="O33" i="18" s="1"/>
  <c r="O107" i="18" a="1"/>
  <c r="O107" i="18" s="1"/>
  <c r="O119" i="18" a="1"/>
  <c r="O119" i="18" s="1"/>
  <c r="O130" i="18" a="1"/>
  <c r="O130" i="18" s="1"/>
  <c r="O164" i="18" a="1"/>
  <c r="O164" i="18" s="1"/>
  <c r="O177" i="18" a="1"/>
  <c r="O177" i="18" s="1"/>
  <c r="O188" i="18" a="1"/>
  <c r="O188" i="18" s="1"/>
  <c r="O246" i="18" a="1"/>
  <c r="O246" i="18" s="1"/>
  <c r="O269" i="18" a="1"/>
  <c r="O269" i="18" s="1"/>
  <c r="O281" i="18" a="1"/>
  <c r="O281" i="18" s="1"/>
  <c r="P24" i="18" a="1"/>
  <c r="P24" i="18" s="1"/>
  <c r="R24" i="18" s="1"/>
  <c r="U24" i="18" s="1"/>
  <c r="P58" i="18" a="1"/>
  <c r="P58" i="18" s="1"/>
  <c r="P68" i="18" a="1"/>
  <c r="P68" i="18" s="1"/>
  <c r="P80" i="18" a="1"/>
  <c r="P80" i="18" s="1"/>
  <c r="P92" i="18" a="1"/>
  <c r="P92" i="18" s="1"/>
  <c r="P114" i="18" a="1"/>
  <c r="P114" i="18" s="1"/>
  <c r="P125" i="18" a="1"/>
  <c r="P125" i="18" s="1"/>
  <c r="P137" i="18" a="1"/>
  <c r="P137" i="18" s="1"/>
  <c r="P149" i="18" a="1"/>
  <c r="P149" i="18" s="1"/>
  <c r="P212" i="18" a="1"/>
  <c r="P212" i="18" s="1"/>
  <c r="P247" i="18" a="1"/>
  <c r="P247" i="18" s="1"/>
  <c r="P259" i="18" a="1"/>
  <c r="P259" i="18" s="1"/>
  <c r="R259" i="18" s="1"/>
  <c r="U259" i="18" s="1"/>
  <c r="S10" i="18" a="1"/>
  <c r="S10" i="18" s="1"/>
  <c r="S20" i="18" a="1"/>
  <c r="S20" i="18" s="1"/>
  <c r="S44" i="18" a="1"/>
  <c r="S44" i="18" s="1"/>
  <c r="S90" i="18" a="1"/>
  <c r="S90" i="18" s="1"/>
  <c r="S101" i="18" a="1"/>
  <c r="S101" i="18" s="1"/>
  <c r="S113" i="18" a="1"/>
  <c r="S113" i="18" s="1"/>
  <c r="S138" i="18" a="1"/>
  <c r="S138" i="18" s="1"/>
  <c r="S188" i="18" a="1"/>
  <c r="S188" i="18" s="1"/>
  <c r="S200" i="18" a="1"/>
  <c r="S200" i="18" s="1"/>
  <c r="O21" i="18" a="1"/>
  <c r="O21" i="18" s="1"/>
  <c r="O35" i="18" a="1"/>
  <c r="O35" i="18" s="1"/>
  <c r="O48" i="18" a="1"/>
  <c r="O48" i="18" s="1"/>
  <c r="O60" i="18" a="1"/>
  <c r="O60" i="18" s="1"/>
  <c r="O72" i="18" a="1"/>
  <c r="O72" i="18" s="1"/>
  <c r="O84" i="18" a="1"/>
  <c r="O84" i="18" s="1"/>
  <c r="O96" i="18" a="1"/>
  <c r="O96" i="18" s="1"/>
  <c r="O108" i="18" a="1"/>
  <c r="O108" i="18" s="1"/>
  <c r="O131" i="18" a="1"/>
  <c r="O131" i="18" s="1"/>
  <c r="O154" i="18" a="1"/>
  <c r="O154" i="18" s="1"/>
  <c r="O165" i="18" a="1"/>
  <c r="O165" i="18" s="1"/>
  <c r="O189" i="18" a="1"/>
  <c r="O189" i="18" s="1"/>
  <c r="O200" i="18" a="1"/>
  <c r="O200" i="18" s="1"/>
  <c r="O212" i="18" a="1"/>
  <c r="O212" i="18" s="1"/>
  <c r="O235" i="18" a="1"/>
  <c r="O235" i="18" s="1"/>
  <c r="O247" i="18" a="1"/>
  <c r="O247" i="18" s="1"/>
  <c r="O258" i="18" a="1"/>
  <c r="O258" i="18" s="1"/>
  <c r="P12" i="18" a="1"/>
  <c r="P12" i="18" s="1"/>
  <c r="P25" i="18" a="1"/>
  <c r="P25" i="18" s="1"/>
  <c r="P36" i="18" a="1"/>
  <c r="P36" i="18" s="1"/>
  <c r="P69" i="18" a="1"/>
  <c r="P69" i="18" s="1"/>
  <c r="R69" i="18" s="1"/>
  <c r="U69" i="18" s="1"/>
  <c r="P81" i="18" a="1"/>
  <c r="P81" i="18" s="1"/>
  <c r="R81" i="18" s="1"/>
  <c r="U81" i="18" s="1"/>
  <c r="P93" i="18" a="1"/>
  <c r="P93" i="18" s="1"/>
  <c r="R93" i="18" s="1"/>
  <c r="U93" i="18" s="1"/>
  <c r="P102" i="18" a="1"/>
  <c r="P102" i="18" s="1"/>
  <c r="P138" i="18" a="1"/>
  <c r="P138" i="18" s="1"/>
  <c r="P150" i="18" a="1"/>
  <c r="P150" i="18" s="1"/>
  <c r="P162" i="18" a="1"/>
  <c r="P162" i="18" s="1"/>
  <c r="P187" i="18" a="1"/>
  <c r="P187" i="18" s="1"/>
  <c r="O22" i="18" a="1"/>
  <c r="O22" i="18" s="1"/>
  <c r="O49" i="18" a="1"/>
  <c r="O49" i="18" s="1"/>
  <c r="O61" i="18" a="1"/>
  <c r="O61" i="18" s="1"/>
  <c r="O85" i="18" a="1"/>
  <c r="O85" i="18" s="1"/>
  <c r="O97" i="18" a="1"/>
  <c r="O97" i="18" s="1"/>
  <c r="O109" i="18" a="1"/>
  <c r="O109" i="18" s="1"/>
  <c r="O120" i="18" a="1"/>
  <c r="O120" i="18" s="1"/>
  <c r="O132" i="18" a="1"/>
  <c r="O132" i="18" s="1"/>
  <c r="O155" i="18" a="1"/>
  <c r="O155" i="18" s="1"/>
  <c r="O166" i="18" a="1"/>
  <c r="O166" i="18" s="1"/>
  <c r="O178" i="18" a="1"/>
  <c r="O178" i="18" s="1"/>
  <c r="O213" i="18" a="1"/>
  <c r="O213" i="18" s="1"/>
  <c r="O224" i="18" a="1"/>
  <c r="O224" i="18" s="1"/>
  <c r="O236" i="18" a="1"/>
  <c r="O236" i="18" s="1"/>
  <c r="O259" i="18" a="1"/>
  <c r="O259" i="18" s="1"/>
  <c r="P2" i="18" a="1"/>
  <c r="P2" i="18" s="1"/>
  <c r="P13" i="18" a="1"/>
  <c r="P13" i="18" s="1"/>
  <c r="P37" i="18" a="1"/>
  <c r="P37" i="18" s="1"/>
  <c r="P48" i="18" a="1"/>
  <c r="P48" i="18" s="1"/>
  <c r="R48" i="18" s="1"/>
  <c r="U48" i="18" s="1"/>
  <c r="P59" i="18" a="1"/>
  <c r="P59" i="18" s="1"/>
  <c r="P103" i="18" a="1"/>
  <c r="P103" i="18" s="1"/>
  <c r="P115" i="18" a="1"/>
  <c r="P115" i="18" s="1"/>
  <c r="P163" i="18" a="1"/>
  <c r="P163" i="18" s="1"/>
  <c r="O23" i="18" a="1"/>
  <c r="O23" i="18" s="1"/>
  <c r="O36" i="18" a="1"/>
  <c r="O36" i="18" s="1"/>
  <c r="O73" i="18" a="1"/>
  <c r="O73" i="18" s="1"/>
  <c r="O86" i="18" a="1"/>
  <c r="O86" i="18" s="1"/>
  <c r="O98" i="18" a="1"/>
  <c r="O98" i="18" s="1"/>
  <c r="O121" i="18" a="1"/>
  <c r="O121" i="18" s="1"/>
  <c r="O144" i="18" a="1"/>
  <c r="O144" i="18" s="1"/>
  <c r="O156" i="18" a="1"/>
  <c r="O156" i="18" s="1"/>
  <c r="O167" i="18" a="1"/>
  <c r="O167" i="18" s="1"/>
  <c r="O179" i="18" a="1"/>
  <c r="O179" i="18" s="1"/>
  <c r="O201" i="18" a="1"/>
  <c r="O201" i="18" s="1"/>
  <c r="O225" i="18" a="1"/>
  <c r="O225" i="18" s="1"/>
  <c r="O237" i="18" a="1"/>
  <c r="O237" i="18" s="1"/>
  <c r="O248" i="18" a="1"/>
  <c r="O248" i="18" s="1"/>
  <c r="O260" i="18" a="1"/>
  <c r="O260" i="18" s="1"/>
  <c r="P3" i="18" a="1"/>
  <c r="P3" i="18" s="1"/>
  <c r="P14" i="18" a="1"/>
  <c r="P14" i="18" s="1"/>
  <c r="P26" i="18" a="1"/>
  <c r="P26" i="18" s="1"/>
  <c r="P38" i="18" a="1"/>
  <c r="P38" i="18" s="1"/>
  <c r="P70" i="18" a="1"/>
  <c r="P70" i="18" s="1"/>
  <c r="R70" i="18" s="1"/>
  <c r="U70" i="18" s="1"/>
  <c r="P82" i="18" a="1"/>
  <c r="P82" i="18" s="1"/>
  <c r="R82" i="18" s="1"/>
  <c r="U82" i="18" s="1"/>
  <c r="P104" i="18" a="1"/>
  <c r="P104" i="18" s="1"/>
  <c r="R104" i="18" s="1"/>
  <c r="U104" i="18" s="1"/>
  <c r="P139" i="18" a="1"/>
  <c r="P139" i="18" s="1"/>
  <c r="P151" i="18" a="1"/>
  <c r="P151" i="18" s="1"/>
  <c r="P164" i="18" a="1"/>
  <c r="P164" i="18" s="1"/>
  <c r="R164" i="18" s="1"/>
  <c r="U164" i="18" s="1"/>
  <c r="P176" i="18" a="1"/>
  <c r="P176" i="18" s="1"/>
  <c r="R176" i="18" s="1"/>
  <c r="U176" i="18" s="1"/>
  <c r="P189" i="18" a="1"/>
  <c r="P189" i="18" s="1"/>
  <c r="P250" i="18" a="1"/>
  <c r="P250" i="18" s="1"/>
  <c r="O26" i="18" a="1"/>
  <c r="O26" i="18" s="1"/>
  <c r="O39" i="18" a="1"/>
  <c r="O39" i="18" s="1"/>
  <c r="O52" i="18" a="1"/>
  <c r="O52" i="18" s="1"/>
  <c r="O76" i="18" a="1"/>
  <c r="O76" i="18" s="1"/>
  <c r="O100" i="18" a="1"/>
  <c r="O100" i="18" s="1"/>
  <c r="O112" i="18" a="1"/>
  <c r="O112" i="18" s="1"/>
  <c r="O123" i="18" a="1"/>
  <c r="O123" i="18" s="1"/>
  <c r="O135" i="18" a="1"/>
  <c r="O135" i="18" s="1"/>
  <c r="O146" i="18" a="1"/>
  <c r="O146" i="18" s="1"/>
  <c r="O170" i="18" a="1"/>
  <c r="O170" i="18" s="1"/>
  <c r="O193" i="18" a="1"/>
  <c r="O193" i="18" s="1"/>
  <c r="O204" i="18" a="1"/>
  <c r="O204" i="18" s="1"/>
  <c r="O216" i="18" a="1"/>
  <c r="O216" i="18" s="1"/>
  <c r="O227" i="18" a="1"/>
  <c r="O227" i="18" s="1"/>
  <c r="O262" i="18" a="1"/>
  <c r="O262" i="18" s="1"/>
  <c r="P5" i="18" a="1"/>
  <c r="P5" i="18" s="1"/>
  <c r="P17" i="18" a="1"/>
  <c r="P17" i="18" s="1"/>
  <c r="P28" i="18" a="1"/>
  <c r="P28" i="18" s="1"/>
  <c r="P50" i="18" a="1"/>
  <c r="P50" i="18" s="1"/>
  <c r="P72" i="18" a="1"/>
  <c r="P72" i="18" s="1"/>
  <c r="P84" i="18" a="1"/>
  <c r="P84" i="18" s="1"/>
  <c r="P96" i="18" a="1"/>
  <c r="P96" i="18" s="1"/>
  <c r="P106" i="18" a="1"/>
  <c r="P106" i="18" s="1"/>
  <c r="P130" i="18" a="1"/>
  <c r="P130" i="18" s="1"/>
  <c r="R130" i="18" s="1"/>
  <c r="U130" i="18" s="1"/>
  <c r="P154" i="18" a="1"/>
  <c r="P154" i="18" s="1"/>
  <c r="P166" i="18" a="1"/>
  <c r="P166" i="18" s="1"/>
  <c r="P216" i="18" a="1"/>
  <c r="P216" i="18" s="1"/>
  <c r="P228" i="18" a="1"/>
  <c r="P228" i="18" s="1"/>
  <c r="P241" i="18" a="1"/>
  <c r="P241" i="18" s="1"/>
  <c r="P253" i="18" a="1"/>
  <c r="P253" i="18" s="1"/>
  <c r="R253" i="18" s="1"/>
  <c r="U253" i="18" s="1"/>
  <c r="P263" i="18" a="1"/>
  <c r="P263" i="18" s="1"/>
  <c r="S14" i="18" a="1"/>
  <c r="S14" i="18" s="1"/>
  <c r="S25" i="18" a="1"/>
  <c r="S25" i="18" s="1"/>
  <c r="S36" i="18" a="1"/>
  <c r="S36" i="18" s="1"/>
  <c r="O27" i="18" a="1"/>
  <c r="O27" i="18" s="1"/>
  <c r="O40" i="18" a="1"/>
  <c r="O40" i="18" s="1"/>
  <c r="O65" i="18" a="1"/>
  <c r="O65" i="18" s="1"/>
  <c r="O89" i="18" a="1"/>
  <c r="O89" i="18" s="1"/>
  <c r="O136" i="18" a="1"/>
  <c r="O136" i="18" s="1"/>
  <c r="O181" i="18" a="1"/>
  <c r="O181" i="18" s="1"/>
  <c r="O194" i="18" a="1"/>
  <c r="O194" i="18" s="1"/>
  <c r="O228" i="18" a="1"/>
  <c r="O228" i="18" s="1"/>
  <c r="O240" i="18" a="1"/>
  <c r="O240" i="18" s="1"/>
  <c r="O251" i="18" a="1"/>
  <c r="O251" i="18" s="1"/>
  <c r="O263" i="18" a="1"/>
  <c r="O263" i="18" s="1"/>
  <c r="O274" i="18" a="1"/>
  <c r="O274" i="18" s="1"/>
  <c r="P18" i="18" a="1"/>
  <c r="P18" i="18" s="1"/>
  <c r="P41" i="18" a="1"/>
  <c r="P41" i="18" s="1"/>
  <c r="P51" i="18" a="1"/>
  <c r="P51" i="18" s="1"/>
  <c r="P73" i="18" a="1"/>
  <c r="P73" i="18" s="1"/>
  <c r="P85" i="18" a="1"/>
  <c r="P85" i="18" s="1"/>
  <c r="P107" i="18" a="1"/>
  <c r="P107" i="18" s="1"/>
  <c r="P118" i="18" a="1"/>
  <c r="P118" i="18" s="1"/>
  <c r="P131" i="18" a="1"/>
  <c r="P131" i="18" s="1"/>
  <c r="P155" i="18" a="1"/>
  <c r="P155" i="18" s="1"/>
  <c r="P167" i="18" a="1"/>
  <c r="P167" i="18" s="1"/>
  <c r="R167" i="18" s="1"/>
  <c r="U167" i="18" s="1"/>
  <c r="P179" i="18" a="1"/>
  <c r="P179" i="18" s="1"/>
  <c r="R179" i="18" s="1"/>
  <c r="U179" i="18" s="1"/>
  <c r="P192" i="18" a="1"/>
  <c r="P192" i="18" s="1"/>
  <c r="R192" i="18" s="1"/>
  <c r="U192" i="18" s="1"/>
  <c r="P204" i="18" a="1"/>
  <c r="P204" i="18" s="1"/>
  <c r="R204" i="18" s="1"/>
  <c r="U204" i="18" s="1"/>
  <c r="P217" i="18" a="1"/>
  <c r="P217" i="18" s="1"/>
  <c r="R217" i="18" s="1"/>
  <c r="U217" i="18" s="1"/>
  <c r="P229" i="18" a="1"/>
  <c r="P229" i="18" s="1"/>
  <c r="R229" i="18" s="1"/>
  <c r="U229" i="18" s="1"/>
  <c r="P276" i="18" a="1"/>
  <c r="P276" i="18" s="1"/>
  <c r="S2" i="18" a="1"/>
  <c r="S2" i="18" s="1"/>
  <c r="O249" i="18" a="1"/>
  <c r="O249" i="18" s="1"/>
  <c r="P60" i="18" a="1"/>
  <c r="P60" i="18" s="1"/>
  <c r="P121" i="18" a="1"/>
  <c r="P121" i="18" s="1"/>
  <c r="P182" i="18" a="1"/>
  <c r="P182" i="18" s="1"/>
  <c r="P215" i="18" a="1"/>
  <c r="P215" i="18" s="1"/>
  <c r="R215" i="18" s="1"/>
  <c r="U215" i="18" s="1"/>
  <c r="P244" i="18" a="1"/>
  <c r="P244" i="18" s="1"/>
  <c r="R244" i="18" s="1"/>
  <c r="U244" i="18" s="1"/>
  <c r="P262" i="18" a="1"/>
  <c r="P262" i="18" s="1"/>
  <c r="R262" i="18" s="1"/>
  <c r="U262" i="18" s="1"/>
  <c r="P279" i="18" a="1"/>
  <c r="P279" i="18" s="1"/>
  <c r="S13" i="18" a="1"/>
  <c r="S13" i="18" s="1"/>
  <c r="S43" i="18" a="1"/>
  <c r="S43" i="18" s="1"/>
  <c r="S58" i="18" a="1"/>
  <c r="S58" i="18" s="1"/>
  <c r="S71" i="18" a="1"/>
  <c r="S71" i="18" s="1"/>
  <c r="S83" i="18" a="1"/>
  <c r="S83" i="18" s="1"/>
  <c r="S96" i="18" a="1"/>
  <c r="S96" i="18" s="1"/>
  <c r="S125" i="18" a="1"/>
  <c r="S125" i="18" s="1"/>
  <c r="S140" i="18" a="1"/>
  <c r="S140" i="18" s="1"/>
  <c r="S152" i="18" a="1"/>
  <c r="S152" i="18" s="1"/>
  <c r="S165" i="18" a="1"/>
  <c r="S165" i="18" s="1"/>
  <c r="S178" i="18" a="1"/>
  <c r="S178" i="18" s="1"/>
  <c r="S218" i="18" a="1"/>
  <c r="S218" i="18" s="1"/>
  <c r="S230" i="18" a="1"/>
  <c r="S230" i="18" s="1"/>
  <c r="S242" i="18" a="1"/>
  <c r="S242" i="18" s="1"/>
  <c r="S281" i="18" a="1"/>
  <c r="S281" i="18" s="1"/>
  <c r="T13" i="18" a="1"/>
  <c r="T13" i="18" s="1"/>
  <c r="T25" i="18" a="1"/>
  <c r="T25" i="18" s="1"/>
  <c r="T36" i="18" a="1"/>
  <c r="T36" i="18" s="1"/>
  <c r="T84" i="18" a="1"/>
  <c r="T84" i="18" s="1"/>
  <c r="T113" i="18" a="1"/>
  <c r="T113" i="18" s="1"/>
  <c r="T141" i="18" a="1"/>
  <c r="T141" i="18" s="1"/>
  <c r="O64" i="18" a="1"/>
  <c r="O64" i="18" s="1"/>
  <c r="O157" i="18" a="1"/>
  <c r="O157" i="18" s="1"/>
  <c r="O250" i="18" a="1"/>
  <c r="O250" i="18" s="1"/>
  <c r="P61" i="18" a="1"/>
  <c r="P61" i="18" s="1"/>
  <c r="P128" i="18" a="1"/>
  <c r="P128" i="18" s="1"/>
  <c r="R128" i="18" s="1"/>
  <c r="U128" i="18" s="1"/>
  <c r="P184" i="18" a="1"/>
  <c r="P184" i="18" s="1"/>
  <c r="P219" i="18" a="1"/>
  <c r="P219" i="18" s="1"/>
  <c r="P245" i="18" a="1"/>
  <c r="P245" i="18" s="1"/>
  <c r="P264" i="18" a="1"/>
  <c r="P264" i="18" s="1"/>
  <c r="P280" i="18" a="1"/>
  <c r="P280" i="18" s="1"/>
  <c r="S28" i="18" a="1"/>
  <c r="S28" i="18" s="1"/>
  <c r="S59" i="18" a="1"/>
  <c r="S59" i="18" s="1"/>
  <c r="S72" i="18" a="1"/>
  <c r="S72" i="18" s="1"/>
  <c r="S84" i="18" a="1"/>
  <c r="S84" i="18" s="1"/>
  <c r="S112" i="18" a="1"/>
  <c r="S112" i="18" s="1"/>
  <c r="S153" i="18" a="1"/>
  <c r="S153" i="18" s="1"/>
  <c r="S166" i="18" a="1"/>
  <c r="S166" i="18" s="1"/>
  <c r="S179" i="18" a="1"/>
  <c r="S179" i="18" s="1"/>
  <c r="S192" i="18" a="1"/>
  <c r="S192" i="18" s="1"/>
  <c r="S219" i="18" a="1"/>
  <c r="S219" i="18" s="1"/>
  <c r="S231" i="18" a="1"/>
  <c r="S231" i="18" s="1"/>
  <c r="S243" i="18" a="1"/>
  <c r="S243" i="18" s="1"/>
  <c r="S256" i="18" a="1"/>
  <c r="S256" i="18" s="1"/>
  <c r="S269" i="18" a="1"/>
  <c r="S269" i="18" s="1"/>
  <c r="T2" i="18" a="1"/>
  <c r="T2" i="18" s="1"/>
  <c r="T14" i="18" a="1"/>
  <c r="T14" i="18" s="1"/>
  <c r="T26" i="18" a="1"/>
  <c r="T26" i="18" s="1"/>
  <c r="T59" i="18" a="1"/>
  <c r="T59" i="18" s="1"/>
  <c r="O74" i="18" a="1"/>
  <c r="O74" i="18" s="1"/>
  <c r="O168" i="18" a="1"/>
  <c r="O168" i="18" s="1"/>
  <c r="P71" i="18" a="1"/>
  <c r="P71" i="18" s="1"/>
  <c r="P129" i="18" a="1"/>
  <c r="P129" i="18" s="1"/>
  <c r="P188" i="18" a="1"/>
  <c r="P188" i="18" s="1"/>
  <c r="P221" i="18" a="1"/>
  <c r="P221" i="18" s="1"/>
  <c r="R221" i="18" s="1"/>
  <c r="U221" i="18" s="1"/>
  <c r="P248" i="18" a="1"/>
  <c r="P248" i="18" s="1"/>
  <c r="P265" i="18" a="1"/>
  <c r="P265" i="18" s="1"/>
  <c r="S45" i="18" a="1"/>
  <c r="S45" i="18" s="1"/>
  <c r="S85" i="18" a="1"/>
  <c r="S85" i="18" s="1"/>
  <c r="S98" i="18" a="1"/>
  <c r="S98" i="18" s="1"/>
  <c r="S141" i="18" a="1"/>
  <c r="S141" i="18" s="1"/>
  <c r="S154" i="18" a="1"/>
  <c r="S154" i="18" s="1"/>
  <c r="S167" i="18" a="1"/>
  <c r="S167" i="18" s="1"/>
  <c r="S180" i="18" a="1"/>
  <c r="S180" i="18" s="1"/>
  <c r="S220" i="18" a="1"/>
  <c r="S220" i="18" s="1"/>
  <c r="S232" i="18" a="1"/>
  <c r="S232" i="18" s="1"/>
  <c r="S244" i="18" a="1"/>
  <c r="S244" i="18" s="1"/>
  <c r="T3" i="18" a="1"/>
  <c r="T3" i="18" s="1"/>
  <c r="T37" i="18" a="1"/>
  <c r="T37" i="18" s="1"/>
  <c r="T48" i="18" a="1"/>
  <c r="T48" i="18" s="1"/>
  <c r="T60" i="18" a="1"/>
  <c r="T60" i="18" s="1"/>
  <c r="T72" i="18" a="1"/>
  <c r="T72" i="18" s="1"/>
  <c r="O75" i="18" a="1"/>
  <c r="O75" i="18" s="1"/>
  <c r="O169" i="18" a="1"/>
  <c r="O169" i="18" s="1"/>
  <c r="O261" i="18" a="1"/>
  <c r="O261" i="18" s="1"/>
  <c r="P133" i="18" a="1"/>
  <c r="P133" i="18" s="1"/>
  <c r="P224" i="18" a="1"/>
  <c r="P224" i="18" s="1"/>
  <c r="P249" i="18" a="1"/>
  <c r="P249" i="18" s="1"/>
  <c r="P266" i="18" a="1"/>
  <c r="P266" i="18" s="1"/>
  <c r="S60" i="18" a="1"/>
  <c r="S60" i="18" s="1"/>
  <c r="S73" i="18" a="1"/>
  <c r="S73" i="18" s="1"/>
  <c r="S87" i="18" a="1"/>
  <c r="S87" i="18" s="1"/>
  <c r="S99" i="18" a="1"/>
  <c r="S99" i="18" s="1"/>
  <c r="S114" i="18" a="1"/>
  <c r="S114" i="18" s="1"/>
  <c r="S128" i="18" a="1"/>
  <c r="S128" i="18" s="1"/>
  <c r="S155" i="18" a="1"/>
  <c r="S155" i="18" s="1"/>
  <c r="S168" i="18" a="1"/>
  <c r="S168" i="18" s="1"/>
  <c r="S181" i="18" a="1"/>
  <c r="S181" i="18" s="1"/>
  <c r="S193" i="18" a="1"/>
  <c r="S193" i="18" s="1"/>
  <c r="S221" i="18" a="1"/>
  <c r="S221" i="18" s="1"/>
  <c r="S233" i="18" a="1"/>
  <c r="S233" i="18" s="1"/>
  <c r="S245" i="18" a="1"/>
  <c r="S245" i="18" s="1"/>
  <c r="S257" i="18" a="1"/>
  <c r="S257" i="18" s="1"/>
  <c r="T16" i="18" a="1"/>
  <c r="T16" i="18" s="1"/>
  <c r="T27" i="18" a="1"/>
  <c r="T27" i="18" s="1"/>
  <c r="T38" i="18" a="1"/>
  <c r="T38" i="18" s="1"/>
  <c r="T49" i="18" a="1"/>
  <c r="T49" i="18" s="1"/>
  <c r="T61" i="18" a="1"/>
  <c r="T61" i="18" s="1"/>
  <c r="T73" i="18" a="1"/>
  <c r="T73" i="18" s="1"/>
  <c r="T87" i="18" a="1"/>
  <c r="T87" i="18" s="1"/>
  <c r="T101" i="18" a="1"/>
  <c r="T101" i="18" s="1"/>
  <c r="T115" i="18" a="1"/>
  <c r="T115" i="18" s="1"/>
  <c r="T130" i="18" a="1"/>
  <c r="T130" i="18" s="1"/>
  <c r="T144" i="18" a="1"/>
  <c r="T144" i="18" s="1"/>
  <c r="T172" i="18" a="1"/>
  <c r="T172" i="18" s="1"/>
  <c r="T201" i="18" a="1"/>
  <c r="T201" i="18" s="1"/>
  <c r="T215" i="18" a="1"/>
  <c r="T215" i="18" s="1"/>
  <c r="T229" i="18" a="1"/>
  <c r="T229" i="18" s="1"/>
  <c r="T243" i="18" a="1"/>
  <c r="T243" i="18" s="1"/>
  <c r="T258" i="18" a="1"/>
  <c r="T258" i="18" s="1"/>
  <c r="T272" i="18" a="1"/>
  <c r="T272" i="18" s="1"/>
  <c r="O87" i="18" a="1"/>
  <c r="O87" i="18" s="1"/>
  <c r="O272" i="18" a="1"/>
  <c r="O272" i="18" s="1"/>
  <c r="P75" i="18" a="1"/>
  <c r="P75" i="18" s="1"/>
  <c r="P140" i="18" a="1"/>
  <c r="P140" i="18" s="1"/>
  <c r="P225" i="18" a="1"/>
  <c r="P225" i="18" s="1"/>
  <c r="P251" i="18" a="1"/>
  <c r="P251" i="18" s="1"/>
  <c r="P267" i="18" a="1"/>
  <c r="P267" i="18" s="1"/>
  <c r="S74" i="18" a="1"/>
  <c r="S74" i="18" s="1"/>
  <c r="S88" i="18" a="1"/>
  <c r="S88" i="18" s="1"/>
  <c r="S100" i="18" a="1"/>
  <c r="S100" i="18" s="1"/>
  <c r="S115" i="18" a="1"/>
  <c r="S115" i="18" s="1"/>
  <c r="S169" i="18" a="1"/>
  <c r="S169" i="18" s="1"/>
  <c r="S182" i="18" a="1"/>
  <c r="S182" i="18" s="1"/>
  <c r="S194" i="18" a="1"/>
  <c r="S194" i="18" s="1"/>
  <c r="S208" i="18" a="1"/>
  <c r="S208" i="18" s="1"/>
  <c r="S234" i="18" a="1"/>
  <c r="S234" i="18" s="1"/>
  <c r="S246" i="18" a="1"/>
  <c r="S246" i="18" s="1"/>
  <c r="T4" i="18" a="1"/>
  <c r="T4" i="18" s="1"/>
  <c r="T17" i="18" a="1"/>
  <c r="T17" i="18" s="1"/>
  <c r="T28" i="18" a="1"/>
  <c r="T28" i="18" s="1"/>
  <c r="T50" i="18" a="1"/>
  <c r="T50" i="18" s="1"/>
  <c r="T74" i="18" a="1"/>
  <c r="T74" i="18" s="1"/>
  <c r="T88" i="18" a="1"/>
  <c r="T88" i="18" s="1"/>
  <c r="T102" i="18" a="1"/>
  <c r="T102" i="18" s="1"/>
  <c r="T116" i="18" a="1"/>
  <c r="T116" i="18" s="1"/>
  <c r="T145" i="18" a="1"/>
  <c r="T145" i="18" s="1"/>
  <c r="T173" i="18" a="1"/>
  <c r="T173" i="18" s="1"/>
  <c r="T187" i="18" a="1"/>
  <c r="T187" i="18" s="1"/>
  <c r="T202" i="18" a="1"/>
  <c r="T202" i="18" s="1"/>
  <c r="O88" i="18" a="1"/>
  <c r="O88" i="18" s="1"/>
  <c r="O180" i="18" a="1"/>
  <c r="O180" i="18" s="1"/>
  <c r="O273" i="18" a="1"/>
  <c r="O273" i="18" s="1"/>
  <c r="P141" i="18" a="1"/>
  <c r="P141" i="18" s="1"/>
  <c r="R141" i="18" s="1"/>
  <c r="U141" i="18" s="1"/>
  <c r="P195" i="18" a="1"/>
  <c r="P195" i="18" s="1"/>
  <c r="R195" i="18" s="1"/>
  <c r="U195" i="18" s="1"/>
  <c r="P226" i="18" a="1"/>
  <c r="P226" i="18" s="1"/>
  <c r="P252" i="18" a="1"/>
  <c r="P252" i="18" s="1"/>
  <c r="P268" i="18" a="1"/>
  <c r="P268" i="18" s="1"/>
  <c r="S16" i="18" a="1"/>
  <c r="S16" i="18" s="1"/>
  <c r="S32" i="18" a="1"/>
  <c r="S32" i="18" s="1"/>
  <c r="S61" i="18" a="1"/>
  <c r="S61" i="18" s="1"/>
  <c r="S76" i="18" a="1"/>
  <c r="S76" i="18" s="1"/>
  <c r="S89" i="18" a="1"/>
  <c r="S89" i="18" s="1"/>
  <c r="S102" i="18" a="1"/>
  <c r="S102" i="18" s="1"/>
  <c r="S129" i="18" a="1"/>
  <c r="S129" i="18" s="1"/>
  <c r="S156" i="18" a="1"/>
  <c r="S156" i="18" s="1"/>
  <c r="S170" i="18" a="1"/>
  <c r="S170" i="18" s="1"/>
  <c r="S183" i="18" a="1"/>
  <c r="S183" i="18" s="1"/>
  <c r="S195" i="18" a="1"/>
  <c r="S195" i="18" s="1"/>
  <c r="S235" i="18" a="1"/>
  <c r="S235" i="18" s="1"/>
  <c r="S247" i="18" a="1"/>
  <c r="S247" i="18" s="1"/>
  <c r="S258" i="18" a="1"/>
  <c r="S258" i="18" s="1"/>
  <c r="S272" i="18" a="1"/>
  <c r="S272" i="18" s="1"/>
  <c r="T5" i="18" a="1"/>
  <c r="T5" i="18" s="1"/>
  <c r="T18" i="18" a="1"/>
  <c r="T18" i="18" s="1"/>
  <c r="T39" i="18" a="1"/>
  <c r="T39" i="18" s="1"/>
  <c r="T89" i="18" a="1"/>
  <c r="T89" i="18" s="1"/>
  <c r="T103" i="18" a="1"/>
  <c r="T103" i="18" s="1"/>
  <c r="T117" i="18" a="1"/>
  <c r="T117" i="18" s="1"/>
  <c r="T131" i="18" a="1"/>
  <c r="T131" i="18" s="1"/>
  <c r="T146" i="18" a="1"/>
  <c r="T146" i="18" s="1"/>
  <c r="T160" i="18" a="1"/>
  <c r="T160" i="18" s="1"/>
  <c r="T188" i="18" a="1"/>
  <c r="T188" i="18" s="1"/>
  <c r="T217" i="18" a="1"/>
  <c r="T217" i="18" s="1"/>
  <c r="O192" i="18" a="1"/>
  <c r="O192" i="18" s="1"/>
  <c r="P4" i="18" a="1"/>
  <c r="P4" i="18" s="1"/>
  <c r="R4" i="18" s="1"/>
  <c r="U4" i="18" s="1"/>
  <c r="P83" i="18" a="1"/>
  <c r="P83" i="18" s="1"/>
  <c r="R83" i="18" s="1"/>
  <c r="U83" i="18" s="1"/>
  <c r="P144" i="18" a="1"/>
  <c r="P144" i="18" s="1"/>
  <c r="P197" i="18" a="1"/>
  <c r="P197" i="18" s="1"/>
  <c r="P227" i="18" a="1"/>
  <c r="P227" i="18" s="1"/>
  <c r="R227" i="18" s="1"/>
  <c r="U227" i="18" s="1"/>
  <c r="P269" i="18" a="1"/>
  <c r="P269" i="18" s="1"/>
  <c r="S17" i="18" a="1"/>
  <c r="S17" i="18" s="1"/>
  <c r="S33" i="18" a="1"/>
  <c r="S33" i="18" s="1"/>
  <c r="S103" i="18" a="1"/>
  <c r="S103" i="18" s="1"/>
  <c r="S116" i="18" a="1"/>
  <c r="S116" i="18" s="1"/>
  <c r="S144" i="18" a="1"/>
  <c r="S144" i="18" s="1"/>
  <c r="S157" i="18" a="1"/>
  <c r="S157" i="18" s="1"/>
  <c r="S171" i="18" a="1"/>
  <c r="S171" i="18" s="1"/>
  <c r="S184" i="18" a="1"/>
  <c r="S184" i="18" s="1"/>
  <c r="S196" i="18" a="1"/>
  <c r="S196" i="18" s="1"/>
  <c r="S209" i="18" a="1"/>
  <c r="S209" i="18" s="1"/>
  <c r="S248" i="18" a="1"/>
  <c r="S248" i="18" s="1"/>
  <c r="S259" i="18" a="1"/>
  <c r="S259" i="18" s="1"/>
  <c r="T19" i="18" a="1"/>
  <c r="T19" i="18" s="1"/>
  <c r="T29" i="18" a="1"/>
  <c r="T29" i="18" s="1"/>
  <c r="T51" i="18" a="1"/>
  <c r="T51" i="18" s="1"/>
  <c r="T75" i="18" a="1"/>
  <c r="T75" i="18" s="1"/>
  <c r="T90" i="18" a="1"/>
  <c r="T90" i="18" s="1"/>
  <c r="T104" i="18" a="1"/>
  <c r="T104" i="18" s="1"/>
  <c r="T118" i="18" a="1"/>
  <c r="T118" i="18" s="1"/>
  <c r="O99" i="18" a="1"/>
  <c r="O99" i="18" s="1"/>
  <c r="P88" i="18" a="1"/>
  <c r="P88" i="18" s="1"/>
  <c r="R88" i="18" s="1"/>
  <c r="U88" i="18" s="1"/>
  <c r="P152" i="18" a="1"/>
  <c r="P152" i="18" s="1"/>
  <c r="P200" i="18" a="1"/>
  <c r="P200" i="18" s="1"/>
  <c r="P232" i="18" a="1"/>
  <c r="P232" i="18" s="1"/>
  <c r="R232" i="18" s="1"/>
  <c r="U232" i="18" s="1"/>
  <c r="S3" i="18" a="1"/>
  <c r="S3" i="18" s="1"/>
  <c r="S48" i="18" a="1"/>
  <c r="S48" i="18" s="1"/>
  <c r="S77" i="18" a="1"/>
  <c r="S77" i="18" s="1"/>
  <c r="S91" i="18" a="1"/>
  <c r="S91" i="18" s="1"/>
  <c r="S104" i="18" a="1"/>
  <c r="S104" i="18" s="1"/>
  <c r="S117" i="18" a="1"/>
  <c r="S117" i="18" s="1"/>
  <c r="S130" i="18" a="1"/>
  <c r="S130" i="18" s="1"/>
  <c r="S185" i="18" a="1"/>
  <c r="S185" i="18" s="1"/>
  <c r="S197" i="18" a="1"/>
  <c r="S197" i="18" s="1"/>
  <c r="S236" i="18" a="1"/>
  <c r="S236" i="18" s="1"/>
  <c r="S249" i="18" a="1"/>
  <c r="S249" i="18" s="1"/>
  <c r="S260" i="18" a="1"/>
  <c r="S260" i="18" s="1"/>
  <c r="S273" i="18" a="1"/>
  <c r="S273" i="18" s="1"/>
  <c r="T6" i="18" a="1"/>
  <c r="T6" i="18" s="1"/>
  <c r="T40" i="18" a="1"/>
  <c r="T40" i="18" s="1"/>
  <c r="T52" i="18" a="1"/>
  <c r="T52" i="18" s="1"/>
  <c r="T76" i="18" a="1"/>
  <c r="T76" i="18" s="1"/>
  <c r="T105" i="18" a="1"/>
  <c r="T105" i="18" s="1"/>
  <c r="T119" i="18" a="1"/>
  <c r="T119" i="18" s="1"/>
  <c r="T133" i="18" a="1"/>
  <c r="T133" i="18" s="1"/>
  <c r="T147" i="18" a="1"/>
  <c r="T147" i="18" s="1"/>
  <c r="T162" i="18" a="1"/>
  <c r="T162" i="18" s="1"/>
  <c r="T176" i="18" a="1"/>
  <c r="T176" i="18" s="1"/>
  <c r="T204" i="18" a="1"/>
  <c r="T204" i="18" s="1"/>
  <c r="T233" i="18" a="1"/>
  <c r="T233" i="18" s="1"/>
  <c r="T247" i="18" a="1"/>
  <c r="T247" i="18" s="1"/>
  <c r="T261" i="18" a="1"/>
  <c r="T261" i="18" s="1"/>
  <c r="T275" i="18" a="1"/>
  <c r="T275" i="18" s="1"/>
  <c r="O202" i="18" a="1"/>
  <c r="O202" i="18" s="1"/>
  <c r="P153" i="18" a="1"/>
  <c r="P153" i="18" s="1"/>
  <c r="R153" i="18" s="1"/>
  <c r="U153" i="18" s="1"/>
  <c r="P201" i="18" a="1"/>
  <c r="P201" i="18" s="1"/>
  <c r="R201" i="18" s="1"/>
  <c r="U201" i="18" s="1"/>
  <c r="P235" i="18" a="1"/>
  <c r="P235" i="18" s="1"/>
  <c r="P272" i="18" a="1"/>
  <c r="P272" i="18" s="1"/>
  <c r="S4" i="18" a="1"/>
  <c r="S4" i="18" s="1"/>
  <c r="S18" i="18" a="1"/>
  <c r="S18" i="18" s="1"/>
  <c r="S34" i="18" a="1"/>
  <c r="S34" i="18" s="1"/>
  <c r="S105" i="18" a="1"/>
  <c r="S105" i="18" s="1"/>
  <c r="S118" i="18" a="1"/>
  <c r="S118" i="18" s="1"/>
  <c r="S131" i="18" a="1"/>
  <c r="S131" i="18" s="1"/>
  <c r="S145" i="18" a="1"/>
  <c r="S145" i="18" s="1"/>
  <c r="S172" i="18" a="1"/>
  <c r="S172" i="18" s="1"/>
  <c r="S186" i="18" a="1"/>
  <c r="S186" i="18" s="1"/>
  <c r="S198" i="18" a="1"/>
  <c r="S198" i="18" s="1"/>
  <c r="S210" i="18" a="1"/>
  <c r="S210" i="18" s="1"/>
  <c r="S237" i="18" a="1"/>
  <c r="S237" i="18" s="1"/>
  <c r="S250" i="18" a="1"/>
  <c r="S250" i="18" s="1"/>
  <c r="S261" i="18" a="1"/>
  <c r="S261" i="18" s="1"/>
  <c r="T20" i="18" a="1"/>
  <c r="T20" i="18" s="1"/>
  <c r="T41" i="18" a="1"/>
  <c r="T41" i="18" s="1"/>
  <c r="T53" i="18" a="1"/>
  <c r="T53" i="18" s="1"/>
  <c r="T64" i="18" a="1"/>
  <c r="T64" i="18" s="1"/>
  <c r="T77" i="18" a="1"/>
  <c r="T77" i="18" s="1"/>
  <c r="T91" i="18" a="1"/>
  <c r="T91" i="18" s="1"/>
  <c r="T106" i="18" a="1"/>
  <c r="T106" i="18" s="1"/>
  <c r="T120" i="18" a="1"/>
  <c r="T120" i="18" s="1"/>
  <c r="T134" i="18" a="1"/>
  <c r="T134" i="18" s="1"/>
  <c r="T148" i="18" a="1"/>
  <c r="T148" i="18" s="1"/>
  <c r="T177" i="18" a="1"/>
  <c r="T177" i="18" s="1"/>
  <c r="T205" i="18" a="1"/>
  <c r="T205" i="18" s="1"/>
  <c r="T219" i="18" a="1"/>
  <c r="T219" i="18" s="1"/>
  <c r="T234" i="18" a="1"/>
  <c r="T234" i="18" s="1"/>
  <c r="T248" i="18" a="1"/>
  <c r="T248" i="18" s="1"/>
  <c r="T262" i="18" a="1"/>
  <c r="T262" i="18" s="1"/>
  <c r="T276" i="18" a="1"/>
  <c r="T276" i="18" s="1"/>
  <c r="O203" i="18" a="1"/>
  <c r="O203" i="18" s="1"/>
  <c r="P16" i="18" a="1"/>
  <c r="P16" i="18" s="1"/>
  <c r="P157" i="18" a="1"/>
  <c r="P157" i="18" s="1"/>
  <c r="R157" i="18" s="1"/>
  <c r="U157" i="18" s="1"/>
  <c r="P202" i="18" a="1"/>
  <c r="P202" i="18" s="1"/>
  <c r="R202" i="18" s="1"/>
  <c r="U202" i="18" s="1"/>
  <c r="P237" i="18" a="1"/>
  <c r="P237" i="18" s="1"/>
  <c r="P256" i="18" a="1"/>
  <c r="P256" i="18" s="1"/>
  <c r="P273" i="18" a="1"/>
  <c r="P273" i="18" s="1"/>
  <c r="S21" i="18" a="1"/>
  <c r="S21" i="18" s="1"/>
  <c r="S35" i="18" a="1"/>
  <c r="S35" i="18" s="1"/>
  <c r="S49" i="18" a="1"/>
  <c r="S49" i="18" s="1"/>
  <c r="S64" i="18" a="1"/>
  <c r="S64" i="18" s="1"/>
  <c r="S92" i="18" a="1"/>
  <c r="S92" i="18" s="1"/>
  <c r="S106" i="18" a="1"/>
  <c r="S106" i="18" s="1"/>
  <c r="S119" i="18" a="1"/>
  <c r="S119" i="18" s="1"/>
  <c r="S132" i="18" a="1"/>
  <c r="S132" i="18" s="1"/>
  <c r="S187" i="18" a="1"/>
  <c r="S187" i="18" s="1"/>
  <c r="S199" i="18" a="1"/>
  <c r="S199" i="18" s="1"/>
  <c r="S211" i="18" a="1"/>
  <c r="S211" i="18" s="1"/>
  <c r="S224" i="18" a="1"/>
  <c r="S224" i="18" s="1"/>
  <c r="S251" i="18" a="1"/>
  <c r="S251" i="18" s="1"/>
  <c r="S262" i="18" a="1"/>
  <c r="S262" i="18" s="1"/>
  <c r="S274" i="18" a="1"/>
  <c r="S274" i="18" s="1"/>
  <c r="T7" i="18" a="1"/>
  <c r="T7" i="18" s="1"/>
  <c r="T42" i="18" a="1"/>
  <c r="T42" i="18" s="1"/>
  <c r="T54" i="18" a="1"/>
  <c r="T54" i="18" s="1"/>
  <c r="T65" i="18" a="1"/>
  <c r="T65" i="18" s="1"/>
  <c r="T92" i="18" a="1"/>
  <c r="T92" i="18" s="1"/>
  <c r="O24" i="18" a="1"/>
  <c r="O24" i="18" s="1"/>
  <c r="O122" i="18" a="1"/>
  <c r="O122" i="18" s="1"/>
  <c r="O214" i="18" a="1"/>
  <c r="O214" i="18" s="1"/>
  <c r="P27" i="18" a="1"/>
  <c r="P27" i="18" s="1"/>
  <c r="P165" i="18" a="1"/>
  <c r="P165" i="18" s="1"/>
  <c r="P203" i="18" a="1"/>
  <c r="P203" i="18" s="1"/>
  <c r="P257" i="18" a="1"/>
  <c r="P257" i="18" s="1"/>
  <c r="P274" i="18" a="1"/>
  <c r="P274" i="18" s="1"/>
  <c r="R274" i="18" s="1"/>
  <c r="U274" i="18" s="1"/>
  <c r="S6" i="18" a="1"/>
  <c r="S6" i="18" s="1"/>
  <c r="S37" i="18" a="1"/>
  <c r="S37" i="18" s="1"/>
  <c r="S50" i="18" a="1"/>
  <c r="S50" i="18" s="1"/>
  <c r="S93" i="18" a="1"/>
  <c r="S93" i="18" s="1"/>
  <c r="S107" i="18" a="1"/>
  <c r="S107" i="18" s="1"/>
  <c r="S120" i="18" a="1"/>
  <c r="S120" i="18" s="1"/>
  <c r="S146" i="18" a="1"/>
  <c r="S146" i="18" s="1"/>
  <c r="S173" i="18" a="1"/>
  <c r="S173" i="18" s="1"/>
  <c r="S201" i="18" a="1"/>
  <c r="S201" i="18" s="1"/>
  <c r="S212" i="18" a="1"/>
  <c r="S212" i="18" s="1"/>
  <c r="S225" i="18" a="1"/>
  <c r="S225" i="18" s="1"/>
  <c r="S263" i="18" a="1"/>
  <c r="S263" i="18" s="1"/>
  <c r="S275" i="18" a="1"/>
  <c r="S275" i="18" s="1"/>
  <c r="T8" i="18" a="1"/>
  <c r="T8" i="18" s="1"/>
  <c r="T21" i="18" a="1"/>
  <c r="T21" i="18" s="1"/>
  <c r="T66" i="18" a="1"/>
  <c r="T66" i="18" s="1"/>
  <c r="O25" i="18" a="1"/>
  <c r="O25" i="18" s="1"/>
  <c r="O215" i="18" a="1"/>
  <c r="O215" i="18" s="1"/>
  <c r="P105" i="18" a="1"/>
  <c r="P105" i="18" s="1"/>
  <c r="P275" i="18" a="1"/>
  <c r="P275" i="18" s="1"/>
  <c r="S7" i="18" a="1"/>
  <c r="S7" i="18" s="1"/>
  <c r="S22" i="18" a="1"/>
  <c r="S22" i="18" s="1"/>
  <c r="S38" i="18" a="1"/>
  <c r="S38" i="18" s="1"/>
  <c r="S52" i="18" a="1"/>
  <c r="S52" i="18" s="1"/>
  <c r="S66" i="18" a="1"/>
  <c r="S66" i="18" s="1"/>
  <c r="S80" i="18" a="1"/>
  <c r="S80" i="18" s="1"/>
  <c r="S121" i="18" a="1"/>
  <c r="S121" i="18" s="1"/>
  <c r="S134" i="18" a="1"/>
  <c r="S134" i="18" s="1"/>
  <c r="S147" i="18" a="1"/>
  <c r="S147" i="18" s="1"/>
  <c r="S160" i="18" a="1"/>
  <c r="S160" i="18" s="1"/>
  <c r="S202" i="18" a="1"/>
  <c r="S202" i="18" s="1"/>
  <c r="S213" i="18" a="1"/>
  <c r="S213" i="18" s="1"/>
  <c r="S252" i="18" a="1"/>
  <c r="S252" i="18" s="1"/>
  <c r="S264" i="18" a="1"/>
  <c r="S264" i="18" s="1"/>
  <c r="S276" i="18" a="1"/>
  <c r="S276" i="18" s="1"/>
  <c r="T9" i="18" a="1"/>
  <c r="T9" i="18" s="1"/>
  <c r="T22" i="18" a="1"/>
  <c r="T22" i="18" s="1"/>
  <c r="T32" i="18" a="1"/>
  <c r="T32" i="18" s="1"/>
  <c r="T43" i="18" a="1"/>
  <c r="T43" i="18" s="1"/>
  <c r="T55" i="18" a="1"/>
  <c r="T55" i="18" s="1"/>
  <c r="T80" i="18" a="1"/>
  <c r="T80" i="18" s="1"/>
  <c r="T108" i="18" a="1"/>
  <c r="T108" i="18" s="1"/>
  <c r="T137" i="18" a="1"/>
  <c r="T137" i="18" s="1"/>
  <c r="T151" i="18" a="1"/>
  <c r="T151" i="18" s="1"/>
  <c r="O50" i="18" a="1"/>
  <c r="O50" i="18" s="1"/>
  <c r="O145" i="18" a="1"/>
  <c r="O145" i="18" s="1"/>
  <c r="P49" i="18" a="1"/>
  <c r="P49" i="18" s="1"/>
  <c r="P116" i="18" a="1"/>
  <c r="P116" i="18" s="1"/>
  <c r="R116" i="18" s="1"/>
  <c r="U116" i="18" s="1"/>
  <c r="P177" i="18" a="1"/>
  <c r="P177" i="18" s="1"/>
  <c r="R177" i="18" s="1"/>
  <c r="U177" i="18" s="1"/>
  <c r="P213" i="18" a="1"/>
  <c r="P213" i="18" s="1"/>
  <c r="S12" i="18" a="1"/>
  <c r="S12" i="18" s="1"/>
  <c r="S26" i="18" a="1"/>
  <c r="S26" i="18" s="1"/>
  <c r="S41" i="18" a="1"/>
  <c r="S41" i="18" s="1"/>
  <c r="S56" i="18" a="1"/>
  <c r="S56" i="18" s="1"/>
  <c r="S69" i="18" a="1"/>
  <c r="S69" i="18" s="1"/>
  <c r="S124" i="18" a="1"/>
  <c r="S124" i="18" s="1"/>
  <c r="S137" i="18" a="1"/>
  <c r="S137" i="18" s="1"/>
  <c r="S150" i="18" a="1"/>
  <c r="S150" i="18" s="1"/>
  <c r="S163" i="18" a="1"/>
  <c r="S163" i="18" s="1"/>
  <c r="S176" i="18" a="1"/>
  <c r="S176" i="18" s="1"/>
  <c r="S216" i="18" a="1"/>
  <c r="S216" i="18" s="1"/>
  <c r="S228" i="18" a="1"/>
  <c r="S228" i="18" s="1"/>
  <c r="S267" i="18" a="1"/>
  <c r="S267" i="18" s="1"/>
  <c r="S279" i="18" a="1"/>
  <c r="S279" i="18" s="1"/>
  <c r="T11" i="18" a="1"/>
  <c r="T11" i="18" s="1"/>
  <c r="T57" i="18" a="1"/>
  <c r="T57" i="18" s="1"/>
  <c r="T69" i="18" a="1"/>
  <c r="T69" i="18" s="1"/>
  <c r="T97" i="18" a="1"/>
  <c r="T97" i="18" s="1"/>
  <c r="T125" i="18" a="1"/>
  <c r="T125" i="18" s="1"/>
  <c r="T139" i="18" a="1"/>
  <c r="T139" i="18" s="1"/>
  <c r="T154" i="18" a="1"/>
  <c r="T154" i="18" s="1"/>
  <c r="T168" i="18" a="1"/>
  <c r="T168" i="18" s="1"/>
  <c r="T182" i="18" a="1"/>
  <c r="T182" i="18" s="1"/>
  <c r="T196" i="18" a="1"/>
  <c r="T196" i="18" s="1"/>
  <c r="T225" i="18" a="1"/>
  <c r="T225" i="18" s="1"/>
  <c r="T253" i="18" a="1"/>
  <c r="T253" i="18" s="1"/>
  <c r="T267" i="18" a="1"/>
  <c r="T267" i="18" s="1"/>
  <c r="T240" i="18" a="1"/>
  <c r="T240" i="18" s="1"/>
  <c r="O51" i="18" a="1"/>
  <c r="O51" i="18" s="1"/>
  <c r="P117" i="18" a="1"/>
  <c r="P117" i="18" s="1"/>
  <c r="P178" i="18" a="1"/>
  <c r="P178" i="18" s="1"/>
  <c r="R178" i="18" s="1"/>
  <c r="U178" i="18" s="1"/>
  <c r="P214" i="18" a="1"/>
  <c r="P214" i="18" s="1"/>
  <c r="P243" i="18" a="1"/>
  <c r="P243" i="18" s="1"/>
  <c r="R243" i="18" s="1"/>
  <c r="U243" i="18" s="1"/>
  <c r="P261" i="18" a="1"/>
  <c r="P261" i="18" s="1"/>
  <c r="R261" i="18" s="1"/>
  <c r="U261" i="18" s="1"/>
  <c r="S27" i="18" a="1"/>
  <c r="S27" i="18" s="1"/>
  <c r="S42" i="18" a="1"/>
  <c r="S42" i="18" s="1"/>
  <c r="S57" i="18" a="1"/>
  <c r="S57" i="18" s="1"/>
  <c r="S70" i="18" a="1"/>
  <c r="S70" i="18" s="1"/>
  <c r="S82" i="18" a="1"/>
  <c r="S82" i="18" s="1"/>
  <c r="S139" i="18" a="1"/>
  <c r="S139" i="18" s="1"/>
  <c r="S151" i="18" a="1"/>
  <c r="S151" i="18" s="1"/>
  <c r="S164" i="18" a="1"/>
  <c r="S164" i="18" s="1"/>
  <c r="S177" i="18" a="1"/>
  <c r="S177" i="18" s="1"/>
  <c r="S205" i="18" a="1"/>
  <c r="S205" i="18" s="1"/>
  <c r="S217" i="18" a="1"/>
  <c r="S217" i="18" s="1"/>
  <c r="S229" i="18" a="1"/>
  <c r="S229" i="18" s="1"/>
  <c r="S241" i="18" a="1"/>
  <c r="S241" i="18" s="1"/>
  <c r="S268" i="18" a="1"/>
  <c r="S268" i="18" s="1"/>
  <c r="S280" i="18" a="1"/>
  <c r="S280" i="18" s="1"/>
  <c r="T12" i="18" a="1"/>
  <c r="T12" i="18" s="1"/>
  <c r="T24" i="18" a="1"/>
  <c r="T24" i="18" s="1"/>
  <c r="T35" i="18" a="1"/>
  <c r="T35" i="18" s="1"/>
  <c r="T58" i="18" a="1"/>
  <c r="T58" i="18" s="1"/>
  <c r="T70" i="18" a="1"/>
  <c r="T70" i="18" s="1"/>
  <c r="T83" i="18" a="1"/>
  <c r="T83" i="18" s="1"/>
  <c r="T98" i="18" a="1"/>
  <c r="T98" i="18" s="1"/>
  <c r="T112" i="18" a="1"/>
  <c r="T112" i="18" s="1"/>
  <c r="T140" i="18" a="1"/>
  <c r="T140" i="18" s="1"/>
  <c r="T169" i="18" a="1"/>
  <c r="T169" i="18" s="1"/>
  <c r="T183" i="18" a="1"/>
  <c r="T183" i="18" s="1"/>
  <c r="T197" i="18" a="1"/>
  <c r="T197" i="18" s="1"/>
  <c r="T211" i="18" a="1"/>
  <c r="T211" i="18" s="1"/>
  <c r="T226" i="18" a="1"/>
  <c r="T226" i="18" s="1"/>
  <c r="T268" i="18" a="1"/>
  <c r="T268" i="18" s="1"/>
  <c r="T269" i="18" a="1"/>
  <c r="T269" i="18" s="1"/>
  <c r="T249" i="18" a="1"/>
  <c r="T249" i="18" s="1"/>
  <c r="T227" i="18" a="1"/>
  <c r="T227" i="18" s="1"/>
  <c r="T206" i="18" a="1"/>
  <c r="T206" i="18" s="1"/>
  <c r="T179" i="18" a="1"/>
  <c r="T179" i="18" s="1"/>
  <c r="T153" i="18" a="1"/>
  <c r="T153" i="18" s="1"/>
  <c r="T122" i="18" a="1"/>
  <c r="T122" i="18" s="1"/>
  <c r="T81" i="18" a="1"/>
  <c r="T81" i="18" s="1"/>
  <c r="S277" i="18" a="1"/>
  <c r="S277" i="18" s="1"/>
  <c r="S175" i="18" a="1"/>
  <c r="S175" i="18" s="1"/>
  <c r="S67" i="18" a="1"/>
  <c r="S67" i="18" s="1"/>
  <c r="R281" i="18"/>
  <c r="U281" i="18" s="1"/>
  <c r="T270" i="18" a="1"/>
  <c r="T270" i="18" s="1"/>
  <c r="T246" i="18" a="1"/>
  <c r="T246" i="18" s="1"/>
  <c r="T203" i="18" a="1"/>
  <c r="T203" i="18" s="1"/>
  <c r="T152" i="18" a="1"/>
  <c r="T152" i="18" s="1"/>
  <c r="T121" i="18" a="1"/>
  <c r="T121" i="18" s="1"/>
  <c r="S266" i="18" a="1"/>
  <c r="S266" i="18" s="1"/>
  <c r="S162" i="18" a="1"/>
  <c r="S162" i="18" s="1"/>
  <c r="S54" i="18" a="1"/>
  <c r="S54" i="18" s="1"/>
  <c r="R254" i="18"/>
  <c r="U254" i="18" s="1"/>
  <c r="R226" i="18"/>
  <c r="U226" i="18" s="1"/>
  <c r="R213" i="18"/>
  <c r="U213" i="18" s="1"/>
  <c r="R92" i="18"/>
  <c r="U92" i="18" s="1"/>
  <c r="O226" i="18" a="1"/>
  <c r="O226" i="18" s="1"/>
  <c r="S68" i="18" a="1"/>
  <c r="S68" i="18" s="1"/>
  <c r="T224" i="18" a="1"/>
  <c r="T224" i="18" s="1"/>
  <c r="T150" i="18" a="1"/>
  <c r="T150" i="18" s="1"/>
  <c r="T71" i="18" a="1"/>
  <c r="T71" i="18" s="1"/>
  <c r="S265" i="18" a="1"/>
  <c r="S265" i="18" s="1"/>
  <c r="S161" i="18" a="1"/>
  <c r="S161" i="18" s="1"/>
  <c r="S53" i="18" a="1"/>
  <c r="S53" i="18" s="1"/>
  <c r="P277" i="18" a="1"/>
  <c r="P277" i="18" s="1"/>
  <c r="O134" i="18" a="1"/>
  <c r="O134" i="18" s="1"/>
  <c r="R168" i="18"/>
  <c r="U168" i="18" s="1"/>
  <c r="T266" i="18" a="1"/>
  <c r="T266" i="18" s="1"/>
  <c r="T200" i="18" a="1"/>
  <c r="T200" i="18" s="1"/>
  <c r="T265" i="18" a="1"/>
  <c r="T265" i="18" s="1"/>
  <c r="T199" i="18" a="1"/>
  <c r="T199" i="18" s="1"/>
  <c r="T149" i="18" a="1"/>
  <c r="T149" i="18" s="1"/>
  <c r="T114" i="18" a="1"/>
  <c r="T114" i="18" s="1"/>
  <c r="T68" i="18" a="1"/>
  <c r="T68" i="18" s="1"/>
  <c r="S253" i="18" a="1"/>
  <c r="S253" i="18" s="1"/>
  <c r="S149" i="18" a="1"/>
  <c r="S149" i="18" s="1"/>
  <c r="S39" i="18" a="1"/>
  <c r="S39" i="18" s="1"/>
  <c r="R106" i="18"/>
  <c r="U106" i="18" s="1"/>
  <c r="R27" i="18"/>
  <c r="U27" i="18" s="1"/>
  <c r="O133" i="18" a="1"/>
  <c r="O133" i="18" s="1"/>
  <c r="P271" i="18" a="1"/>
  <c r="P271" i="18" s="1"/>
  <c r="R271" i="18" s="1"/>
  <c r="U271" i="18" s="1"/>
  <c r="O271" i="18" a="1"/>
  <c r="O271" i="18" s="1"/>
  <c r="S271" i="18" a="1"/>
  <c r="S271" i="18" s="1"/>
  <c r="O255" i="18" a="1"/>
  <c r="O255" i="18" s="1"/>
  <c r="P255" i="18" a="1"/>
  <c r="P255" i="18" s="1"/>
  <c r="R255" i="18" s="1"/>
  <c r="U255" i="18" s="1"/>
  <c r="S255" i="18" a="1"/>
  <c r="S255" i="18" s="1"/>
  <c r="P223" i="18" a="1"/>
  <c r="P223" i="18" s="1"/>
  <c r="O223" i="18" a="1"/>
  <c r="O223" i="18" s="1"/>
  <c r="S223" i="18" a="1"/>
  <c r="S223" i="18" s="1"/>
  <c r="O191" i="18" a="1"/>
  <c r="O191" i="18" s="1"/>
  <c r="P191" i="18" a="1"/>
  <c r="P191" i="18" s="1"/>
  <c r="R191" i="18" s="1"/>
  <c r="U191" i="18" s="1"/>
  <c r="T191" i="18" a="1"/>
  <c r="T191" i="18" s="1"/>
  <c r="S191" i="18" a="1"/>
  <c r="S191" i="18" s="1"/>
  <c r="O159" i="18" a="1"/>
  <c r="O159" i="18" s="1"/>
  <c r="P159" i="18" a="1"/>
  <c r="P159" i="18" s="1"/>
  <c r="T159" i="18" a="1"/>
  <c r="T159" i="18" s="1"/>
  <c r="S159" i="18" a="1"/>
  <c r="S159" i="18" s="1"/>
  <c r="O127" i="18" a="1"/>
  <c r="O127" i="18" s="1"/>
  <c r="P127" i="18" a="1"/>
  <c r="P127" i="18" s="1"/>
  <c r="R127" i="18" s="1"/>
  <c r="U127" i="18" s="1"/>
  <c r="T127" i="18" a="1"/>
  <c r="T127" i="18" s="1"/>
  <c r="S127" i="18" a="1"/>
  <c r="S127" i="18" s="1"/>
  <c r="O79" i="18" a="1"/>
  <c r="O79" i="18" s="1"/>
  <c r="P79" i="18" a="1"/>
  <c r="P79" i="18" s="1"/>
  <c r="S79" i="18" a="1"/>
  <c r="S79" i="18" s="1"/>
  <c r="O47" i="18" a="1"/>
  <c r="O47" i="18" s="1"/>
  <c r="P47" i="18" a="1"/>
  <c r="P47" i="18" s="1"/>
  <c r="T47" i="18" a="1"/>
  <c r="T47" i="18" s="1"/>
  <c r="S47" i="18" a="1"/>
  <c r="S47" i="18" s="1"/>
  <c r="O15" i="18" a="1"/>
  <c r="O15" i="18" s="1"/>
  <c r="T15" i="18" a="1"/>
  <c r="T15" i="18" s="1"/>
  <c r="S15" i="18" a="1"/>
  <c r="S15" i="18" s="1"/>
  <c r="P15" i="18" a="1"/>
  <c r="P15" i="18" s="1"/>
  <c r="R15" i="18" s="1"/>
  <c r="U15" i="18" s="1"/>
  <c r="P39" i="18" a="1"/>
  <c r="P39" i="18" s="1"/>
  <c r="T245" i="18" a="1"/>
  <c r="T245" i="18" s="1"/>
  <c r="T178" i="18" a="1"/>
  <c r="T178" i="18" s="1"/>
  <c r="T244" i="18" a="1"/>
  <c r="T244" i="18" s="1"/>
  <c r="T223" i="18" a="1"/>
  <c r="T223" i="18" s="1"/>
  <c r="T264" i="18" a="1"/>
  <c r="T264" i="18" s="1"/>
  <c r="T222" i="18" a="1"/>
  <c r="T222" i="18" s="1"/>
  <c r="T198" i="18" a="1"/>
  <c r="T198" i="18" s="1"/>
  <c r="T171" i="18" a="1"/>
  <c r="T171" i="18" s="1"/>
  <c r="T110" i="18" a="1"/>
  <c r="T110" i="18" s="1"/>
  <c r="T67" i="18" a="1"/>
  <c r="T67" i="18" s="1"/>
  <c r="S148" i="18" a="1"/>
  <c r="S148" i="18" s="1"/>
  <c r="R133" i="18"/>
  <c r="U133" i="18" s="1"/>
  <c r="R39" i="18"/>
  <c r="U39" i="18" s="1"/>
  <c r="P260" i="18" a="1"/>
  <c r="P260" i="18" s="1"/>
  <c r="O38" i="18" a="1"/>
  <c r="O38" i="18" s="1"/>
  <c r="T155" i="18" a="1"/>
  <c r="T155" i="18" s="1"/>
  <c r="R269" i="18"/>
  <c r="U269" i="18" s="1"/>
  <c r="R94" i="18"/>
  <c r="U94" i="18" s="1"/>
  <c r="T242" i="18" a="1"/>
  <c r="T242" i="18" s="1"/>
  <c r="T221" i="18" a="1"/>
  <c r="T221" i="18" s="1"/>
  <c r="T195" i="18" a="1"/>
  <c r="T195" i="18" s="1"/>
  <c r="T109" i="18" a="1"/>
  <c r="T109" i="18" s="1"/>
  <c r="T56" i="18" a="1"/>
  <c r="T56" i="18" s="1"/>
  <c r="S240" i="18" a="1"/>
  <c r="S240" i="18" s="1"/>
  <c r="S136" i="18" a="1"/>
  <c r="S136" i="18" s="1"/>
  <c r="S24" i="18" a="1"/>
  <c r="S24" i="18" s="1"/>
  <c r="R132" i="18"/>
  <c r="U132" i="18" s="1"/>
  <c r="R51" i="18"/>
  <c r="U51" i="18" s="1"/>
  <c r="R38" i="18"/>
  <c r="U38" i="18" s="1"/>
  <c r="O37" i="18" a="1"/>
  <c r="O37" i="18" s="1"/>
  <c r="T123" i="18" a="1"/>
  <c r="T123" i="18" s="1"/>
  <c r="R138" i="18"/>
  <c r="U138" i="18" s="1"/>
  <c r="R109" i="18"/>
  <c r="U109" i="18" s="1"/>
  <c r="T263" i="18" a="1"/>
  <c r="T263" i="18" s="1"/>
  <c r="T281" i="18" a="1"/>
  <c r="T281" i="18" s="1"/>
  <c r="T260" i="18" a="1"/>
  <c r="T260" i="18" s="1"/>
  <c r="T241" i="18" a="1"/>
  <c r="T241" i="18" s="1"/>
  <c r="T220" i="18" a="1"/>
  <c r="T220" i="18" s="1"/>
  <c r="T170" i="18" a="1"/>
  <c r="T170" i="18" s="1"/>
  <c r="T142" i="18" a="1"/>
  <c r="T142" i="18" s="1"/>
  <c r="T107" i="18" a="1"/>
  <c r="T107" i="18" s="1"/>
  <c r="S135" i="18" a="1"/>
  <c r="S135" i="18" s="1"/>
  <c r="S23" i="18" a="1"/>
  <c r="S23" i="18" s="1"/>
  <c r="R131" i="18"/>
  <c r="U131" i="18" s="1"/>
  <c r="R74" i="18"/>
  <c r="U74" i="18" s="1"/>
  <c r="R62" i="18"/>
  <c r="U62" i="18" s="1"/>
  <c r="R50" i="18"/>
  <c r="U50" i="18" s="1"/>
  <c r="P242" i="18" a="1"/>
  <c r="P242" i="18" s="1"/>
  <c r="T280" i="18" a="1"/>
  <c r="T280" i="18" s="1"/>
  <c r="T259" i="18" a="1"/>
  <c r="T259" i="18" s="1"/>
  <c r="T238" i="18" a="1"/>
  <c r="T238" i="18" s="1"/>
  <c r="T218" i="18" a="1"/>
  <c r="T218" i="18" s="1"/>
  <c r="T194" i="18" a="1"/>
  <c r="T194" i="18" s="1"/>
  <c r="T167" i="18" a="1"/>
  <c r="T167" i="18" s="1"/>
  <c r="T45" i="18" a="1"/>
  <c r="T45" i="18" s="1"/>
  <c r="S227" i="18" a="1"/>
  <c r="S227" i="18" s="1"/>
  <c r="S11" i="18" a="1"/>
  <c r="S11" i="18" s="1"/>
  <c r="R184" i="18"/>
  <c r="U184" i="18" s="1"/>
  <c r="R171" i="18"/>
  <c r="U171" i="18" s="1"/>
  <c r="R158" i="18"/>
  <c r="U158" i="18" s="1"/>
  <c r="R23" i="18"/>
  <c r="U23" i="18" s="1"/>
  <c r="P240" i="18" a="1"/>
  <c r="P240" i="18" s="1"/>
  <c r="R95" i="18"/>
  <c r="U95" i="18" s="1"/>
  <c r="T180" i="18" a="1"/>
  <c r="T180" i="18" s="1"/>
  <c r="T279" i="18" a="1"/>
  <c r="T279" i="18" s="1"/>
  <c r="T237" i="18" a="1"/>
  <c r="T237" i="18" s="1"/>
  <c r="T216" i="18" a="1"/>
  <c r="T216" i="18" s="1"/>
  <c r="T193" i="18" a="1"/>
  <c r="T193" i="18" s="1"/>
  <c r="T166" i="18" a="1"/>
  <c r="T166" i="18" s="1"/>
  <c r="T138" i="18" a="1"/>
  <c r="T138" i="18" s="1"/>
  <c r="T100" i="18" a="1"/>
  <c r="T100" i="18" s="1"/>
  <c r="T44" i="18" a="1"/>
  <c r="T44" i="18" s="1"/>
  <c r="S226" i="18" a="1"/>
  <c r="S226" i="18" s="1"/>
  <c r="S122" i="18" a="1"/>
  <c r="S122" i="18" s="1"/>
  <c r="S8" i="18" a="1"/>
  <c r="S8" i="18" s="1"/>
  <c r="R196" i="18"/>
  <c r="U196" i="18" s="1"/>
  <c r="R115" i="18"/>
  <c r="U115" i="18" s="1"/>
  <c r="R101" i="18"/>
  <c r="U101" i="18" s="1"/>
  <c r="R73" i="18"/>
  <c r="U73" i="18" s="1"/>
  <c r="R60" i="18"/>
  <c r="U60" i="18" s="1"/>
  <c r="R22" i="18"/>
  <c r="U22" i="18" s="1"/>
  <c r="R10" i="18"/>
  <c r="U10" i="18" s="1"/>
  <c r="T236" i="18" a="1"/>
  <c r="T236" i="18" s="1"/>
  <c r="T165" i="18" a="1"/>
  <c r="T165" i="18" s="1"/>
  <c r="T136" i="18" a="1"/>
  <c r="T136" i="18" s="1"/>
  <c r="T99" i="18" a="1"/>
  <c r="T99" i="18" s="1"/>
  <c r="T34" i="18" a="1"/>
  <c r="T34" i="18" s="1"/>
  <c r="S215" i="18" a="1"/>
  <c r="S215" i="18" s="1"/>
  <c r="S109" i="18" a="1"/>
  <c r="S109" i="18" s="1"/>
  <c r="R260" i="18"/>
  <c r="U260" i="18" s="1"/>
  <c r="R72" i="18"/>
  <c r="U72" i="18" s="1"/>
  <c r="P209" i="18" a="1"/>
  <c r="P209" i="18" s="1"/>
  <c r="R7" i="18"/>
  <c r="U7" i="18" s="1"/>
  <c r="P239" i="18" a="1"/>
  <c r="P239" i="18" s="1"/>
  <c r="S239" i="18" a="1"/>
  <c r="S239" i="18" s="1"/>
  <c r="T239" i="18" a="1"/>
  <c r="T239" i="18" s="1"/>
  <c r="O239" i="18" a="1"/>
  <c r="O239" i="18" s="1"/>
  <c r="O207" i="18" a="1"/>
  <c r="O207" i="18" s="1"/>
  <c r="P207" i="18" a="1"/>
  <c r="P207" i="18" s="1"/>
  <c r="R207" i="18" s="1"/>
  <c r="U207" i="18" s="1"/>
  <c r="S207" i="18" a="1"/>
  <c r="S207" i="18" s="1"/>
  <c r="O175" i="18" a="1"/>
  <c r="O175" i="18" s="1"/>
  <c r="P175" i="18" a="1"/>
  <c r="P175" i="18" s="1"/>
  <c r="R175" i="18" s="1"/>
  <c r="U175" i="18" s="1"/>
  <c r="P143" i="18" a="1"/>
  <c r="P143" i="18" s="1"/>
  <c r="R143" i="18" s="1"/>
  <c r="U143" i="18" s="1"/>
  <c r="O143" i="18" a="1"/>
  <c r="O143" i="18" s="1"/>
  <c r="S143" i="18" a="1"/>
  <c r="S143" i="18" s="1"/>
  <c r="P111" i="18" a="1"/>
  <c r="P111" i="18" s="1"/>
  <c r="O111" i="18" a="1"/>
  <c r="O111" i="18" s="1"/>
  <c r="T111" i="18" a="1"/>
  <c r="T111" i="18" s="1"/>
  <c r="S111" i="18" a="1"/>
  <c r="S111" i="18" s="1"/>
  <c r="O95" i="18" a="1"/>
  <c r="O95" i="18" s="1"/>
  <c r="P95" i="18" a="1"/>
  <c r="P95" i="18" s="1"/>
  <c r="S95" i="18" a="1"/>
  <c r="S95" i="18" s="1"/>
  <c r="P63" i="18" a="1"/>
  <c r="P63" i="18" s="1"/>
  <c r="S63" i="18" a="1"/>
  <c r="S63" i="18" s="1"/>
  <c r="O63" i="18" a="1"/>
  <c r="O63" i="18" s="1"/>
  <c r="T63" i="18" a="1"/>
  <c r="T63" i="18" s="1"/>
  <c r="P31" i="18" a="1"/>
  <c r="P31" i="18" s="1"/>
  <c r="O31" i="18" a="1"/>
  <c r="O31" i="18" s="1"/>
  <c r="S31" i="18" a="1"/>
  <c r="S31" i="18" s="1"/>
  <c r="T31" i="18" a="1"/>
  <c r="T31" i="18" s="1"/>
  <c r="T257" i="18" a="1"/>
  <c r="T257" i="18" s="1"/>
  <c r="T192" i="18" a="1"/>
  <c r="T192" i="18" s="1"/>
  <c r="T277" i="18" a="1"/>
  <c r="T277" i="18" s="1"/>
  <c r="T235" i="18" a="1"/>
  <c r="T235" i="18" s="1"/>
  <c r="T213" i="18" a="1"/>
  <c r="T213" i="18" s="1"/>
  <c r="T189" i="18" a="1"/>
  <c r="T189" i="18" s="1"/>
  <c r="T164" i="18" a="1"/>
  <c r="T164" i="18" s="1"/>
  <c r="T135" i="18" a="1"/>
  <c r="T135" i="18" s="1"/>
  <c r="T96" i="18" a="1"/>
  <c r="T96" i="18" s="1"/>
  <c r="T33" i="18" a="1"/>
  <c r="T33" i="18" s="1"/>
  <c r="S214" i="18" a="1"/>
  <c r="S214" i="18" s="1"/>
  <c r="S108" i="18" a="1"/>
  <c r="S108" i="18" s="1"/>
  <c r="R206" i="18"/>
  <c r="U206" i="18" s="1"/>
  <c r="R47" i="18"/>
  <c r="U47" i="18" s="1"/>
  <c r="T228" i="18" a="1"/>
  <c r="T228" i="18" s="1"/>
  <c r="T214" i="18" a="1"/>
  <c r="T214" i="18" s="1"/>
  <c r="T256" i="18" a="1"/>
  <c r="T256" i="18" s="1"/>
  <c r="T255" i="18" a="1"/>
  <c r="T255" i="18" s="1"/>
  <c r="T212" i="18" a="1"/>
  <c r="T212" i="18" s="1"/>
  <c r="T186" i="18" a="1"/>
  <c r="T186" i="18" s="1"/>
  <c r="T163" i="18" a="1"/>
  <c r="T163" i="18" s="1"/>
  <c r="T132" i="18" a="1"/>
  <c r="T132" i="18" s="1"/>
  <c r="T95" i="18" a="1"/>
  <c r="T95" i="18" s="1"/>
  <c r="T23" i="18" a="1"/>
  <c r="T23" i="18" s="1"/>
  <c r="S204" i="18" a="1"/>
  <c r="S204" i="18" s="1"/>
  <c r="R58" i="18"/>
  <c r="U58" i="18" s="1"/>
  <c r="R46" i="18"/>
  <c r="U46" i="18" s="1"/>
  <c r="R245" i="18"/>
  <c r="U245" i="18" s="1"/>
  <c r="R209" i="18"/>
  <c r="U209" i="18" s="1"/>
  <c r="R96" i="18"/>
  <c r="U96" i="18" s="1"/>
  <c r="R257" i="18"/>
  <c r="U257" i="18" s="1"/>
  <c r="R134" i="18"/>
  <c r="U134" i="18" s="1"/>
  <c r="R120" i="18"/>
  <c r="U120" i="18" s="1"/>
  <c r="R12" i="18"/>
  <c r="U12" i="18" s="1"/>
  <c r="R85" i="18"/>
  <c r="U85" i="18" s="1"/>
  <c r="R57" i="18"/>
  <c r="U57" i="18" s="1"/>
  <c r="R280" i="18"/>
  <c r="U280" i="18" s="1"/>
  <c r="R242" i="18"/>
  <c r="U242" i="18" s="1"/>
  <c r="R144" i="18"/>
  <c r="U144" i="18" s="1"/>
  <c r="R80" i="18"/>
  <c r="U80" i="18" s="1"/>
  <c r="R68" i="18"/>
  <c r="U68" i="18" s="1"/>
  <c r="R45" i="18"/>
  <c r="U45" i="18" s="1"/>
  <c r="R9" i="18"/>
  <c r="U9" i="18" s="1"/>
  <c r="R279" i="18"/>
  <c r="U279" i="18" s="1"/>
  <c r="R267" i="18"/>
  <c r="U267" i="18" s="1"/>
  <c r="R241" i="18"/>
  <c r="U241" i="18" s="1"/>
  <c r="R169" i="18"/>
  <c r="U169" i="18" s="1"/>
  <c r="R20" i="18"/>
  <c r="U20" i="18" s="1"/>
  <c r="R8" i="18"/>
  <c r="U8" i="18" s="1"/>
  <c r="R266" i="18"/>
  <c r="U266" i="18" s="1"/>
  <c r="R240" i="18"/>
  <c r="U240" i="18" s="1"/>
  <c r="R193" i="18"/>
  <c r="U193" i="18" s="1"/>
  <c r="R180" i="18"/>
  <c r="U180" i="18" s="1"/>
  <c r="R117" i="18"/>
  <c r="U117" i="18" s="1"/>
  <c r="R105" i="18"/>
  <c r="U105" i="18" s="1"/>
  <c r="R78" i="18"/>
  <c r="U78" i="18" s="1"/>
  <c r="R67" i="18"/>
  <c r="U67" i="18" s="1"/>
  <c r="R43" i="18"/>
  <c r="U43" i="18" s="1"/>
  <c r="R265" i="18"/>
  <c r="U265" i="18" s="1"/>
  <c r="R155" i="18"/>
  <c r="U155" i="18" s="1"/>
  <c r="R31" i="18"/>
  <c r="U31" i="18" s="1"/>
  <c r="R252" i="18"/>
  <c r="U252" i="18" s="1"/>
  <c r="R203" i="18"/>
  <c r="U203" i="18" s="1"/>
  <c r="R154" i="18"/>
  <c r="U154" i="18" s="1"/>
  <c r="R103" i="18"/>
  <c r="U103" i="18" s="1"/>
  <c r="R90" i="18"/>
  <c r="U90" i="18" s="1"/>
  <c r="R77" i="18"/>
  <c r="U77" i="18" s="1"/>
  <c r="R54" i="18"/>
  <c r="U54" i="18" s="1"/>
  <c r="R30" i="18"/>
  <c r="U30" i="18" s="1"/>
  <c r="R18" i="18"/>
  <c r="U18" i="18" s="1"/>
  <c r="R40" i="18"/>
  <c r="U40" i="18" s="1"/>
  <c r="R263" i="18"/>
  <c r="U263" i="18" s="1"/>
  <c r="R251" i="18"/>
  <c r="U251" i="18" s="1"/>
  <c r="R214" i="18"/>
  <c r="U214" i="18" s="1"/>
  <c r="R190" i="18"/>
  <c r="U190" i="18" s="1"/>
  <c r="R166" i="18"/>
  <c r="U166" i="18" s="1"/>
  <c r="R140" i="18"/>
  <c r="U140" i="18" s="1"/>
  <c r="R102" i="18"/>
  <c r="U102" i="18" s="1"/>
  <c r="R41" i="18"/>
  <c r="U41" i="18" s="1"/>
  <c r="R17" i="18"/>
  <c r="U17" i="18" s="1"/>
  <c r="R162" i="18"/>
  <c r="U162" i="18" s="1"/>
  <c r="R275" i="18"/>
  <c r="U275" i="18" s="1"/>
  <c r="R237" i="18"/>
  <c r="U237" i="18" s="1"/>
  <c r="R225" i="18"/>
  <c r="U225" i="18" s="1"/>
  <c r="R189" i="18"/>
  <c r="U189" i="18" s="1"/>
  <c r="R165" i="18"/>
  <c r="U165" i="18" s="1"/>
  <c r="R152" i="18"/>
  <c r="U152" i="18" s="1"/>
  <c r="R139" i="18"/>
  <c r="U139" i="18" s="1"/>
  <c r="R126" i="18"/>
  <c r="U126" i="18" s="1"/>
  <c r="R29" i="18"/>
  <c r="U29" i="18" s="1"/>
  <c r="R5" i="18"/>
  <c r="U5" i="18" s="1"/>
  <c r="R236" i="18"/>
  <c r="U236" i="18" s="1"/>
  <c r="R224" i="18"/>
  <c r="U224" i="18" s="1"/>
  <c r="R151" i="18"/>
  <c r="U151" i="18" s="1"/>
  <c r="R52" i="18"/>
  <c r="U52" i="18" s="1"/>
  <c r="R28" i="18"/>
  <c r="U28" i="18" s="1"/>
  <c r="R16" i="18"/>
  <c r="U16" i="18" s="1"/>
  <c r="R25" i="18"/>
  <c r="U25" i="18" s="1"/>
  <c r="R249" i="18"/>
  <c r="U249" i="18" s="1"/>
  <c r="R124" i="18"/>
  <c r="U124" i="18" s="1"/>
  <c r="R3" i="18"/>
  <c r="U3" i="18" s="1"/>
  <c r="R200" i="18"/>
  <c r="U200" i="18" s="1"/>
  <c r="R248" i="18"/>
  <c r="U248" i="18" s="1"/>
  <c r="R187" i="18"/>
  <c r="U187" i="18" s="1"/>
  <c r="R163" i="18"/>
  <c r="U163" i="18" s="1"/>
  <c r="R149" i="18"/>
  <c r="U149" i="18" s="1"/>
  <c r="R123" i="18"/>
  <c r="U123" i="18" s="1"/>
  <c r="R112" i="18"/>
  <c r="U112" i="18" s="1"/>
  <c r="R199" i="18"/>
  <c r="U199" i="18" s="1"/>
  <c r="R247" i="18"/>
  <c r="U247" i="18" s="1"/>
  <c r="R234" i="18"/>
  <c r="U234" i="18" s="1"/>
  <c r="R210" i="18"/>
  <c r="U210" i="18" s="1"/>
  <c r="R198" i="18"/>
  <c r="U198" i="18" s="1"/>
  <c r="R174" i="18"/>
  <c r="U174" i="18" s="1"/>
  <c r="R148" i="18"/>
  <c r="U148" i="18" s="1"/>
  <c r="R137" i="18"/>
  <c r="U137" i="18" s="1"/>
  <c r="R122" i="18"/>
  <c r="U122" i="18" s="1"/>
  <c r="R98" i="18"/>
  <c r="U98" i="18" s="1"/>
  <c r="R61" i="18"/>
  <c r="U61" i="18" s="1"/>
  <c r="R26" i="18"/>
  <c r="U26" i="18" s="1"/>
  <c r="R272" i="18"/>
  <c r="U272" i="18" s="1"/>
  <c r="R258" i="18"/>
  <c r="U258" i="18" s="1"/>
  <c r="R233" i="18"/>
  <c r="U233" i="18" s="1"/>
  <c r="R197" i="18"/>
  <c r="U197" i="18" s="1"/>
  <c r="R161" i="18"/>
  <c r="U161" i="18" s="1"/>
  <c r="R110" i="18"/>
  <c r="U110" i="18" s="1"/>
  <c r="R84" i="18"/>
  <c r="U84" i="18" s="1"/>
  <c r="R37" i="18"/>
  <c r="U37" i="18" s="1"/>
  <c r="R13" i="18"/>
  <c r="U13" i="18" s="1"/>
  <c r="R145" i="18"/>
  <c r="U145" i="18" s="1"/>
  <c r="R250" i="18"/>
  <c r="U250" i="18" s="1"/>
  <c r="R239" i="18"/>
  <c r="U239" i="18" s="1"/>
  <c r="R228" i="18"/>
  <c r="U228" i="18" s="1"/>
  <c r="R205" i="18"/>
  <c r="U205" i="18" s="1"/>
  <c r="R182" i="18"/>
  <c r="U182" i="18" s="1"/>
  <c r="R147" i="18"/>
  <c r="U147" i="18" s="1"/>
  <c r="R111" i="18"/>
  <c r="U111" i="18" s="1"/>
  <c r="R100" i="18"/>
  <c r="U100" i="18" s="1"/>
  <c r="R87" i="18"/>
  <c r="U87" i="18" s="1"/>
  <c r="R65" i="18"/>
  <c r="U65" i="18" s="1"/>
  <c r="R53" i="18"/>
  <c r="U53" i="18" s="1"/>
  <c r="R19" i="18"/>
  <c r="U19" i="18" s="1"/>
  <c r="R277" i="18"/>
  <c r="R108" i="18"/>
  <c r="O2" i="18" a="1"/>
  <c r="O2" i="18" s="1"/>
  <c r="O12" i="18" a="1"/>
  <c r="O12" i="18" s="1"/>
  <c r="R273" i="18"/>
  <c r="U273" i="18" s="1"/>
  <c r="R238" i="18"/>
  <c r="U238" i="18" s="1"/>
  <c r="R216" i="18"/>
  <c r="U216" i="18" s="1"/>
  <c r="R181" i="18"/>
  <c r="U181" i="18" s="1"/>
  <c r="R159" i="18"/>
  <c r="U159" i="18" s="1"/>
  <c r="R146" i="18"/>
  <c r="U146" i="18" s="1"/>
  <c r="R135" i="18"/>
  <c r="U135" i="18" s="1"/>
  <c r="R121" i="18"/>
  <c r="U121" i="18" s="1"/>
  <c r="R99" i="18"/>
  <c r="U99" i="18" s="1"/>
  <c r="R75" i="18"/>
  <c r="U75" i="18" s="1"/>
  <c r="R268" i="18"/>
  <c r="U268" i="18" s="1"/>
  <c r="R223" i="18"/>
  <c r="U223" i="18" s="1"/>
  <c r="R212" i="18"/>
  <c r="U212" i="18" s="1"/>
  <c r="R71" i="18"/>
  <c r="U71" i="18" s="1"/>
  <c r="R49" i="18"/>
  <c r="U49" i="18" s="1"/>
  <c r="R36" i="18"/>
  <c r="U36" i="18" s="1"/>
  <c r="R2" i="18"/>
  <c r="U2" i="18" s="1"/>
  <c r="R256" i="18"/>
  <c r="U256" i="18" s="1"/>
  <c r="R222" i="18"/>
  <c r="U222" i="18" s="1"/>
  <c r="R211" i="18"/>
  <c r="U211" i="18" s="1"/>
  <c r="R188" i="18"/>
  <c r="U188" i="18" s="1"/>
  <c r="R129" i="18"/>
  <c r="U129" i="18" s="1"/>
  <c r="R59" i="18"/>
  <c r="U59" i="18" s="1"/>
  <c r="R35" i="18"/>
  <c r="U35" i="18" s="1"/>
  <c r="R14" i="18"/>
  <c r="U14" i="18" s="1"/>
  <c r="R276" i="18"/>
  <c r="U276" i="18" s="1"/>
  <c r="R264" i="18"/>
  <c r="U264" i="18" s="1"/>
  <c r="R219" i="18"/>
  <c r="U219" i="18" s="1"/>
  <c r="R150" i="18"/>
  <c r="U150" i="18" s="1"/>
  <c r="R125" i="18"/>
  <c r="U125" i="18" s="1"/>
  <c r="R114" i="18"/>
  <c r="U114" i="18" s="1"/>
  <c r="R91" i="18"/>
  <c r="U91" i="18" s="1"/>
  <c r="R79" i="18"/>
  <c r="U79" i="18" s="1"/>
  <c r="R44" i="18"/>
  <c r="U44" i="18" s="1"/>
  <c r="R11" i="18"/>
  <c r="U11" i="18" s="1"/>
  <c r="R118" i="18"/>
  <c r="U118" i="18" s="1"/>
  <c r="R107" i="18"/>
  <c r="U107" i="18" s="1"/>
  <c r="U277" i="18"/>
  <c r="R235" i="18"/>
  <c r="U235" i="18" s="1"/>
  <c r="R170" i="18"/>
  <c r="U170" i="18" s="1"/>
  <c r="R63" i="18"/>
  <c r="U63" i="18" s="1"/>
  <c r="U108" i="18"/>
  <c r="O11" i="18" a="1"/>
  <c r="O11" i="18" s="1"/>
  <c r="O10" i="18" a="1"/>
  <c r="O10" i="18" s="1"/>
  <c r="O18" i="18" a="1"/>
  <c r="O18" i="18" s="1"/>
  <c r="O9" i="18" a="1"/>
  <c r="O9" i="18" s="1"/>
  <c r="O34" i="18" a="1"/>
  <c r="O34" i="18" s="1"/>
  <c r="O17" i="18" a="1"/>
  <c r="O17" i="18" s="1"/>
  <c r="O8" i="18" a="1"/>
  <c r="O8" i="18" s="1"/>
  <c r="O16" i="18" a="1"/>
  <c r="O16" i="18" s="1"/>
  <c r="O7" i="18" a="1"/>
  <c r="O7" i="18" s="1"/>
  <c r="O6" i="18" a="1"/>
  <c r="O6" i="18" s="1"/>
  <c r="O14" i="18" a="1"/>
  <c r="O14" i="18" s="1"/>
  <c r="O5" i="18" a="1"/>
  <c r="O5" i="18" s="1"/>
  <c r="O13" i="18" a="1"/>
  <c r="O13" i="18" s="1"/>
  <c r="O4" i="18" a="1"/>
  <c r="O4" i="18" s="1"/>
  <c r="Y135" i="17"/>
  <c r="Y25" i="17"/>
  <c r="T71" i="17" a="1"/>
  <c r="T71" i="17" s="1"/>
  <c r="Y75" i="17"/>
  <c r="Y13" i="17"/>
  <c r="Y48" i="17"/>
  <c r="Q48" i="17" s="1"/>
  <c r="W48" i="17" s="1"/>
  <c r="Y202" i="17"/>
  <c r="Y234" i="17"/>
  <c r="Y192" i="17"/>
  <c r="Y12" i="17"/>
  <c r="Y221" i="17"/>
  <c r="Y86" i="17"/>
  <c r="Y134" i="17"/>
  <c r="Y28" i="17"/>
  <c r="Y81" i="17"/>
  <c r="Q108" i="17"/>
  <c r="W108" i="17" s="1"/>
  <c r="N241" i="17" a="1"/>
  <c r="N241" i="17" s="1"/>
  <c r="R241" i="17" a="1"/>
  <c r="R241" i="17" s="1"/>
  <c r="O241" i="17" a="1"/>
  <c r="O241" i="17" s="1"/>
  <c r="S241" i="17" a="1"/>
  <c r="S241" i="17" s="1"/>
  <c r="U241" i="17" a="1"/>
  <c r="U241" i="17" s="1"/>
  <c r="N90" i="17" a="1"/>
  <c r="N90" i="17" s="1"/>
  <c r="O90" i="17" a="1"/>
  <c r="O90" i="17" s="1"/>
  <c r="Q90" i="17" s="1"/>
  <c r="W90" i="17" s="1"/>
  <c r="S90" i="17" a="1"/>
  <c r="S90" i="17" s="1"/>
  <c r="R90" i="17" a="1"/>
  <c r="R90" i="17" s="1"/>
  <c r="R160" i="17" a="1"/>
  <c r="R160" i="17" s="1"/>
  <c r="O160" i="17" a="1"/>
  <c r="O160" i="17" s="1"/>
  <c r="Q160" i="17" s="1"/>
  <c r="W160" i="17" s="1"/>
  <c r="N160" i="17" a="1"/>
  <c r="N160" i="17" s="1"/>
  <c r="S160" i="17" a="1"/>
  <c r="S160" i="17" s="1"/>
  <c r="U160" i="17" a="1"/>
  <c r="U160" i="17" s="1"/>
  <c r="N239" i="17" a="1"/>
  <c r="N239" i="17" s="1"/>
  <c r="O239" i="17" a="1"/>
  <c r="O239" i="17" s="1"/>
  <c r="S239" i="17" a="1"/>
  <c r="S239" i="17" s="1"/>
  <c r="R239" i="17" a="1"/>
  <c r="R239" i="17" s="1"/>
  <c r="O78" i="17" a="1"/>
  <c r="O78" i="17" s="1"/>
  <c r="N78" i="17" a="1"/>
  <c r="N78" i="17" s="1"/>
  <c r="O158" i="17" a="1"/>
  <c r="O158" i="17" s="1"/>
  <c r="N158" i="17" a="1"/>
  <c r="N158" i="17" s="1"/>
  <c r="R158" i="17" a="1"/>
  <c r="R158" i="17" s="1"/>
  <c r="S158" i="17" a="1"/>
  <c r="S158" i="17" s="1"/>
  <c r="N237" i="17" a="1"/>
  <c r="N237" i="17" s="1"/>
  <c r="O237" i="17" a="1"/>
  <c r="O237" i="17" s="1"/>
  <c r="R237" i="17" a="1"/>
  <c r="R237" i="17" s="1"/>
  <c r="S237" i="17" a="1"/>
  <c r="S237" i="17" s="1"/>
  <c r="T237" i="17" a="1"/>
  <c r="T237" i="17" s="1"/>
  <c r="X237" i="17" a="1"/>
  <c r="X237" i="17" s="1"/>
  <c r="Y237" i="17" s="1"/>
  <c r="N66" i="17" a="1"/>
  <c r="N66" i="17" s="1"/>
  <c r="R66" i="17" a="1"/>
  <c r="R66" i="17" s="1"/>
  <c r="O66" i="17" a="1"/>
  <c r="O66" i="17" s="1"/>
  <c r="Q66" i="17" s="1"/>
  <c r="W66" i="17" s="1"/>
  <c r="S66" i="17" a="1"/>
  <c r="S66" i="17" s="1"/>
  <c r="T66" i="17" a="1"/>
  <c r="T66" i="17" s="1"/>
  <c r="N235" i="17" a="1"/>
  <c r="N235" i="17" s="1"/>
  <c r="O235" i="17" a="1"/>
  <c r="O235" i="17" s="1"/>
  <c r="Q235" i="17" s="1"/>
  <c r="W235" i="17" s="1"/>
  <c r="R235" i="17" a="1"/>
  <c r="R235" i="17" s="1"/>
  <c r="S235" i="17" a="1"/>
  <c r="S235" i="17" s="1"/>
  <c r="V235" i="17" a="1"/>
  <c r="V235" i="17" s="1"/>
  <c r="O54" i="17" a="1"/>
  <c r="O54" i="17" s="1"/>
  <c r="N54" i="17" a="1"/>
  <c r="N54" i="17" s="1"/>
  <c r="U54" i="17" a="1"/>
  <c r="U54" i="17" s="1"/>
  <c r="S54" i="17" a="1"/>
  <c r="S54" i="17" s="1"/>
  <c r="N154" i="17" a="1"/>
  <c r="N154" i="17" s="1"/>
  <c r="R154" i="17" a="1"/>
  <c r="R154" i="17" s="1"/>
  <c r="O154" i="17" a="1"/>
  <c r="O154" i="17" s="1"/>
  <c r="Q154" i="17" s="1"/>
  <c r="W154" i="17" s="1"/>
  <c r="S154" i="17" a="1"/>
  <c r="S154" i="17" s="1"/>
  <c r="T154" i="17" a="1"/>
  <c r="T154" i="17" s="1"/>
  <c r="N233" i="17" a="1"/>
  <c r="N233" i="17" s="1"/>
  <c r="O233" i="17" a="1"/>
  <c r="O233" i="17" s="1"/>
  <c r="R233" i="17" a="1"/>
  <c r="R233" i="17" s="1"/>
  <c r="S233" i="17" a="1"/>
  <c r="S233" i="17" s="1"/>
  <c r="U233" i="17" a="1"/>
  <c r="U233" i="17" s="1"/>
  <c r="N2" i="17" a="1"/>
  <c r="N2" i="17" s="1"/>
  <c r="N202" i="17" a="1"/>
  <c r="N202" i="17" s="1"/>
  <c r="N43" i="17" a="1"/>
  <c r="N43" i="17" s="1"/>
  <c r="N203" i="17" a="1"/>
  <c r="N203" i="17" s="1"/>
  <c r="N49" i="17" a="1"/>
  <c r="N49" i="17" s="1"/>
  <c r="N204" i="17" a="1"/>
  <c r="N204" i="17" s="1"/>
  <c r="N110" i="17" a="1"/>
  <c r="N110" i="17" s="1"/>
  <c r="N212" i="17" a="1"/>
  <c r="N212" i="17" s="1"/>
  <c r="N98" i="17" a="1"/>
  <c r="N98" i="17" s="1"/>
  <c r="N213" i="17" a="1"/>
  <c r="N213" i="17" s="1"/>
  <c r="N104" i="17" a="1"/>
  <c r="N104" i="17" s="1"/>
  <c r="N214" i="17" a="1"/>
  <c r="N214" i="17" s="1"/>
  <c r="N205" i="17" a="1"/>
  <c r="N205" i="17" s="1"/>
  <c r="N177" i="17" a="1"/>
  <c r="N177" i="17" s="1"/>
  <c r="N168" i="17" a="1"/>
  <c r="N168" i="17" s="1"/>
  <c r="N74" i="17" a="1"/>
  <c r="N74" i="17" s="1"/>
  <c r="N169" i="17" a="1"/>
  <c r="N169" i="17" s="1"/>
  <c r="N81" i="17" a="1"/>
  <c r="N81" i="17" s="1"/>
  <c r="N170" i="17" a="1"/>
  <c r="N170" i="17" s="1"/>
  <c r="N88" i="17" a="1"/>
  <c r="N88" i="17" s="1"/>
  <c r="O23" i="17" a="1"/>
  <c r="O23" i="17" s="1"/>
  <c r="O103" i="17" a="1"/>
  <c r="O103" i="17" s="1"/>
  <c r="O5" i="17" a="1"/>
  <c r="O5" i="17" s="1"/>
  <c r="Q5" i="17" s="1"/>
  <c r="W5" i="17" s="1"/>
  <c r="O225" i="17" a="1"/>
  <c r="O225" i="17" s="1"/>
  <c r="O116" i="17" a="1"/>
  <c r="O116" i="17" s="1"/>
  <c r="Q116" i="17" s="1"/>
  <c r="W116" i="17" s="1"/>
  <c r="O216" i="17" a="1"/>
  <c r="O216" i="17" s="1"/>
  <c r="O67" i="17" a="1"/>
  <c r="O67" i="17" s="1"/>
  <c r="O188" i="17" a="1"/>
  <c r="O188" i="17" s="1"/>
  <c r="O76" i="17" a="1"/>
  <c r="O76" i="17" s="1"/>
  <c r="O179" i="17" a="1"/>
  <c r="O179" i="17" s="1"/>
  <c r="Q179" i="17" s="1"/>
  <c r="W179" i="17" s="1"/>
  <c r="O170" i="17" a="1"/>
  <c r="O170" i="17" s="1"/>
  <c r="Q170" i="17" s="1"/>
  <c r="W170" i="17" s="1"/>
  <c r="O87" i="17" a="1"/>
  <c r="O87" i="17" s="1"/>
  <c r="O161" i="17" a="1"/>
  <c r="O161" i="17" s="1"/>
  <c r="Q161" i="17" s="1"/>
  <c r="W161" i="17" s="1"/>
  <c r="R202" i="17" a="1"/>
  <c r="R202" i="17" s="1"/>
  <c r="R184" i="17" a="1"/>
  <c r="R184" i="17" s="1"/>
  <c r="R52" i="17" a="1"/>
  <c r="R52" i="17" s="1"/>
  <c r="R155" i="17" a="1"/>
  <c r="R155" i="17" s="1"/>
  <c r="R120" i="17" a="1"/>
  <c r="R120" i="17" s="1"/>
  <c r="R17" i="17" a="1"/>
  <c r="R17" i="17" s="1"/>
  <c r="N36" i="17" a="1"/>
  <c r="N36" i="17" s="1"/>
  <c r="N99" i="17" a="1"/>
  <c r="N99" i="17" s="1"/>
  <c r="N105" i="17" a="1"/>
  <c r="N105" i="17" s="1"/>
  <c r="N111" i="17" a="1"/>
  <c r="N111" i="17" s="1"/>
  <c r="N215" i="17" a="1"/>
  <c r="N215" i="17" s="1"/>
  <c r="N61" i="17" a="1"/>
  <c r="N61" i="17" s="1"/>
  <c r="N206" i="17" a="1"/>
  <c r="N206" i="17" s="1"/>
  <c r="N187" i="17" a="1"/>
  <c r="N187" i="17" s="1"/>
  <c r="N71" i="17" a="1"/>
  <c r="N71" i="17" s="1"/>
  <c r="N178" i="17" a="1"/>
  <c r="N178" i="17" s="1"/>
  <c r="N75" i="17" a="1"/>
  <c r="N75" i="17" s="1"/>
  <c r="N179" i="17" a="1"/>
  <c r="N179" i="17" s="1"/>
  <c r="N37" i="17" a="1"/>
  <c r="N37" i="17" s="1"/>
  <c r="N222" i="17" a="1"/>
  <c r="N222" i="17" s="1"/>
  <c r="N100" i="17" a="1"/>
  <c r="N100" i="17" s="1"/>
  <c r="N223" i="17" a="1"/>
  <c r="N223" i="17" s="1"/>
  <c r="N106" i="17" a="1"/>
  <c r="N106" i="17" s="1"/>
  <c r="N224" i="17" a="1"/>
  <c r="N224" i="17" s="1"/>
  <c r="N116" i="17" a="1"/>
  <c r="N116" i="17" s="1"/>
  <c r="N197" i="17" a="1"/>
  <c r="N197" i="17" s="1"/>
  <c r="N188" i="17" a="1"/>
  <c r="N188" i="17" s="1"/>
  <c r="N76" i="17" a="1"/>
  <c r="N76" i="17" s="1"/>
  <c r="N189" i="17" a="1"/>
  <c r="N189" i="17" s="1"/>
  <c r="N89" i="17" a="1"/>
  <c r="N89" i="17" s="1"/>
  <c r="N92" i="17" a="1"/>
  <c r="N92" i="17" s="1"/>
  <c r="N234" i="17" a="1"/>
  <c r="N234" i="17" s="1"/>
  <c r="N112" i="17" a="1"/>
  <c r="N112" i="17" s="1"/>
  <c r="N225" i="17" a="1"/>
  <c r="N225" i="17" s="1"/>
  <c r="N216" i="17" a="1"/>
  <c r="N216" i="17" s="1"/>
  <c r="N67" i="17" a="1"/>
  <c r="N67" i="17" s="1"/>
  <c r="N72" i="17" a="1"/>
  <c r="N72" i="17" s="1"/>
  <c r="N198" i="17" a="1"/>
  <c r="N198" i="17" s="1"/>
  <c r="N199" i="17" a="1"/>
  <c r="N199" i="17" s="1"/>
  <c r="N83" i="17" a="1"/>
  <c r="N83" i="17" s="1"/>
  <c r="N190" i="17" a="1"/>
  <c r="N190" i="17" s="1"/>
  <c r="O34" i="17" a="1"/>
  <c r="O34" i="17" s="1"/>
  <c r="N93" i="17" a="1"/>
  <c r="N93" i="17" s="1"/>
  <c r="N232" i="17" a="1"/>
  <c r="N232" i="17" s="1"/>
  <c r="N101" i="17" a="1"/>
  <c r="N101" i="17" s="1"/>
  <c r="N4" i="17" a="1"/>
  <c r="N4" i="17" s="1"/>
  <c r="N107" i="17" a="1"/>
  <c r="N107" i="17" s="1"/>
  <c r="N5" i="17" a="1"/>
  <c r="N5" i="17" s="1"/>
  <c r="N117" i="17" a="1"/>
  <c r="N117" i="17" s="1"/>
  <c r="N226" i="17" a="1"/>
  <c r="N226" i="17" s="1"/>
  <c r="N122" i="17" a="1"/>
  <c r="N122" i="17" s="1"/>
  <c r="N207" i="17" a="1"/>
  <c r="N207" i="17" s="1"/>
  <c r="N73" i="17" a="1"/>
  <c r="N73" i="17" s="1"/>
  <c r="N77" i="17" a="1"/>
  <c r="N77" i="17" s="1"/>
  <c r="N94" i="17" a="1"/>
  <c r="N94" i="17" s="1"/>
  <c r="N3" i="17" a="1"/>
  <c r="N3" i="17" s="1"/>
  <c r="N102" i="17" a="1"/>
  <c r="N102" i="17" s="1"/>
  <c r="N14" i="17" a="1"/>
  <c r="N14" i="17" s="1"/>
  <c r="N108" i="17" a="1"/>
  <c r="N108" i="17" s="1"/>
  <c r="N15" i="17" a="1"/>
  <c r="N15" i="17" s="1"/>
  <c r="N113" i="17" a="1"/>
  <c r="N113" i="17" s="1"/>
  <c r="N6" i="17" a="1"/>
  <c r="N6" i="17" s="1"/>
  <c r="N118" i="17" a="1"/>
  <c r="N118" i="17" s="1"/>
  <c r="N236" i="17" a="1"/>
  <c r="N236" i="17" s="1"/>
  <c r="N217" i="17" a="1"/>
  <c r="N217" i="17" s="1"/>
  <c r="N128" i="17" a="1"/>
  <c r="N128" i="17" s="1"/>
  <c r="N13" i="17" a="1"/>
  <c r="N13" i="17" s="1"/>
  <c r="N103" i="17" a="1"/>
  <c r="N103" i="17" s="1"/>
  <c r="N109" i="17" a="1"/>
  <c r="N109" i="17" s="1"/>
  <c r="N25" i="17" a="1"/>
  <c r="N25" i="17" s="1"/>
  <c r="N114" i="17" a="1"/>
  <c r="N114" i="17" s="1"/>
  <c r="N16" i="17" a="1"/>
  <c r="N16" i="17" s="1"/>
  <c r="N119" i="17" a="1"/>
  <c r="N119" i="17" s="1"/>
  <c r="N123" i="17" a="1"/>
  <c r="N123" i="17" s="1"/>
  <c r="N227" i="17" a="1"/>
  <c r="N227" i="17" s="1"/>
  <c r="N218" i="17" a="1"/>
  <c r="N218" i="17" s="1"/>
  <c r="N79" i="17" a="1"/>
  <c r="N79" i="17" s="1"/>
  <c r="N219" i="17" a="1"/>
  <c r="N219" i="17" s="1"/>
  <c r="N24" i="17" a="1"/>
  <c r="N24" i="17" s="1"/>
  <c r="N50" i="17" a="1"/>
  <c r="N50" i="17" s="1"/>
  <c r="N120" i="17" a="1"/>
  <c r="N120" i="17" s="1"/>
  <c r="N7" i="17" a="1"/>
  <c r="N7" i="17" s="1"/>
  <c r="N124" i="17" a="1"/>
  <c r="N124" i="17" s="1"/>
  <c r="N129" i="17" a="1"/>
  <c r="N129" i="17" s="1"/>
  <c r="N228" i="17" a="1"/>
  <c r="N228" i="17" s="1"/>
  <c r="N134" i="17" a="1"/>
  <c r="N134" i="17" s="1"/>
  <c r="N229" i="17" a="1"/>
  <c r="N229" i="17" s="1"/>
  <c r="N141" i="17" a="1"/>
  <c r="N141" i="17" s="1"/>
  <c r="N220" i="17" a="1"/>
  <c r="N220" i="17" s="1"/>
  <c r="N147" i="17" a="1"/>
  <c r="N147" i="17" s="1"/>
  <c r="N221" i="17" a="1"/>
  <c r="N221" i="17" s="1"/>
  <c r="O37" i="17" a="1"/>
  <c r="O37" i="17" s="1"/>
  <c r="O202" i="17" a="1"/>
  <c r="O202" i="17" s="1"/>
  <c r="O42" i="17" a="1"/>
  <c r="O42" i="17" s="1"/>
  <c r="Q42" i="17" s="1"/>
  <c r="W42" i="17" s="1"/>
  <c r="O193" i="17" a="1"/>
  <c r="O193" i="17" s="1"/>
  <c r="Q193" i="17" s="1"/>
  <c r="W193" i="17" s="1"/>
  <c r="O48" i="17" a="1"/>
  <c r="O48" i="17" s="1"/>
  <c r="O194" i="17" a="1"/>
  <c r="O194" i="17" s="1"/>
  <c r="O52" i="17" a="1"/>
  <c r="O52" i="17" s="1"/>
  <c r="Q52" i="17" s="1"/>
  <c r="W52" i="17" s="1"/>
  <c r="O155" i="17" a="1"/>
  <c r="O155" i="17" s="1"/>
  <c r="O56" i="17" a="1"/>
  <c r="O56" i="17" s="1"/>
  <c r="O121" i="17" a="1"/>
  <c r="O121" i="17" s="1"/>
  <c r="Q121" i="17" s="1"/>
  <c r="W121" i="17" s="1"/>
  <c r="O27" i="17" a="1"/>
  <c r="O27" i="17" s="1"/>
  <c r="O127" i="17" a="1"/>
  <c r="O127" i="17" s="1"/>
  <c r="O18" i="17" a="1"/>
  <c r="O18" i="17" s="1"/>
  <c r="Q18" i="17" s="1"/>
  <c r="W18" i="17" s="1"/>
  <c r="O131" i="17" a="1"/>
  <c r="O131" i="17" s="1"/>
  <c r="Q131" i="17" s="1"/>
  <c r="W131" i="17" s="1"/>
  <c r="O238" i="17" a="1"/>
  <c r="O238" i="17" s="1"/>
  <c r="O136" i="17" a="1"/>
  <c r="O136" i="17" s="1"/>
  <c r="O140" i="17" a="1"/>
  <c r="O140" i="17" s="1"/>
  <c r="Q140" i="17" s="1"/>
  <c r="W140" i="17" s="1"/>
  <c r="O220" i="17" a="1"/>
  <c r="O220" i="17" s="1"/>
  <c r="R33" i="17" a="1"/>
  <c r="R33" i="17" s="1"/>
  <c r="R23" i="17" a="1"/>
  <c r="R23" i="17" s="1"/>
  <c r="N96" i="17" a="1"/>
  <c r="N96" i="17" s="1"/>
  <c r="N23" i="17" a="1"/>
  <c r="N23" i="17" s="1"/>
  <c r="N153" i="17" a="1"/>
  <c r="N153" i="17" s="1"/>
  <c r="N44" i="17" a="1"/>
  <c r="N44" i="17" s="1"/>
  <c r="N51" i="17" a="1"/>
  <c r="N51" i="17" s="1"/>
  <c r="N115" i="17" a="1"/>
  <c r="N115" i="17" s="1"/>
  <c r="N26" i="17" a="1"/>
  <c r="N26" i="17" s="1"/>
  <c r="N17" i="17" a="1"/>
  <c r="N17" i="17" s="1"/>
  <c r="N130" i="17" a="1"/>
  <c r="N130" i="17" s="1"/>
  <c r="N135" i="17" a="1"/>
  <c r="N135" i="17" s="1"/>
  <c r="N142" i="17" a="1"/>
  <c r="N142" i="17" s="1"/>
  <c r="N97" i="17" a="1"/>
  <c r="N97" i="17" s="1"/>
  <c r="N38" i="17" a="1"/>
  <c r="N38" i="17" s="1"/>
  <c r="N45" i="17" a="1"/>
  <c r="N45" i="17" s="1"/>
  <c r="N164" i="17" a="1"/>
  <c r="N164" i="17" s="1"/>
  <c r="N121" i="17" a="1"/>
  <c r="N121" i="17" s="1"/>
  <c r="N125" i="17" a="1"/>
  <c r="N125" i="17" s="1"/>
  <c r="N8" i="17" a="1"/>
  <c r="N8" i="17" s="1"/>
  <c r="N238" i="17" a="1"/>
  <c r="N238" i="17" s="1"/>
  <c r="N136" i="17" a="1"/>
  <c r="N136" i="17" s="1"/>
  <c r="N148" i="17" a="1"/>
  <c r="N148" i="17" s="1"/>
  <c r="N231" i="17" a="1"/>
  <c r="N231" i="17" s="1"/>
  <c r="O93" i="17" a="1"/>
  <c r="O93" i="17" s="1"/>
  <c r="Q93" i="17" s="1"/>
  <c r="W93" i="17" s="1"/>
  <c r="N39" i="17" a="1"/>
  <c r="N39" i="17" s="1"/>
  <c r="N163" i="17" a="1"/>
  <c r="N163" i="17" s="1"/>
  <c r="N174" i="17" a="1"/>
  <c r="N174" i="17" s="1"/>
  <c r="N52" i="17" a="1"/>
  <c r="N52" i="17" s="1"/>
  <c r="N155" i="17" a="1"/>
  <c r="N155" i="17" s="1"/>
  <c r="N56" i="17" a="1"/>
  <c r="N56" i="17" s="1"/>
  <c r="N27" i="17" a="1"/>
  <c r="N27" i="17" s="1"/>
  <c r="N18" i="17" a="1"/>
  <c r="N18" i="17" s="1"/>
  <c r="N131" i="17" a="1"/>
  <c r="N131" i="17" s="1"/>
  <c r="N137" i="17" a="1"/>
  <c r="N137" i="17" s="1"/>
  <c r="N10" i="17" a="1"/>
  <c r="N10" i="17" s="1"/>
  <c r="N143" i="17" a="1"/>
  <c r="N143" i="17" s="1"/>
  <c r="N240" i="17" a="1"/>
  <c r="N240" i="17" s="1"/>
  <c r="O222" i="17" a="1"/>
  <c r="O222" i="17" s="1"/>
  <c r="O213" i="17" a="1"/>
  <c r="O213" i="17" s="1"/>
  <c r="Q213" i="17" s="1"/>
  <c r="W213" i="17" s="1"/>
  <c r="O104" i="17" a="1"/>
  <c r="O104" i="17" s="1"/>
  <c r="Q104" i="17" s="1"/>
  <c r="W104" i="17" s="1"/>
  <c r="O175" i="17" a="1"/>
  <c r="O175" i="17" s="1"/>
  <c r="Q175" i="17" s="1"/>
  <c r="W175" i="17" s="1"/>
  <c r="O176" i="17" a="1"/>
  <c r="O176" i="17" s="1"/>
  <c r="O63" i="17" a="1"/>
  <c r="O63" i="17" s="1"/>
  <c r="O68" i="17" a="1"/>
  <c r="O68" i="17" s="1"/>
  <c r="O133" i="17" a="1"/>
  <c r="O133" i="17" s="1"/>
  <c r="O138" i="17" a="1"/>
  <c r="O138" i="17" s="1"/>
  <c r="O10" i="17" a="1"/>
  <c r="O10" i="17" s="1"/>
  <c r="O142" i="17" a="1"/>
  <c r="O142" i="17" s="1"/>
  <c r="O240" i="17" a="1"/>
  <c r="O240" i="17" s="1"/>
  <c r="O231" i="17" a="1"/>
  <c r="O231" i="17" s="1"/>
  <c r="Q231" i="17" s="1"/>
  <c r="W231" i="17" s="1"/>
  <c r="R35" i="17" a="1"/>
  <c r="R35" i="17" s="1"/>
  <c r="R24" i="17" a="1"/>
  <c r="R24" i="17" s="1"/>
  <c r="R15" i="17" a="1"/>
  <c r="R15" i="17" s="1"/>
  <c r="R112" i="17" a="1"/>
  <c r="R112" i="17" s="1"/>
  <c r="R225" i="17" a="1"/>
  <c r="R225" i="17" s="1"/>
  <c r="R116" i="17" a="1"/>
  <c r="R116" i="17" s="1"/>
  <c r="R70" i="17" a="1"/>
  <c r="R70" i="17" s="1"/>
  <c r="R168" i="17" a="1"/>
  <c r="R168" i="17" s="1"/>
  <c r="R74" i="17" a="1"/>
  <c r="R74" i="17" s="1"/>
  <c r="R145" i="17" a="1"/>
  <c r="R145" i="17" s="1"/>
  <c r="R21" i="17" a="1"/>
  <c r="R21" i="17" s="1"/>
  <c r="S93" i="17" a="1"/>
  <c r="S93" i="17" s="1"/>
  <c r="S212" i="17" a="1"/>
  <c r="S212" i="17" s="1"/>
  <c r="S43" i="17" a="1"/>
  <c r="S43" i="17" s="1"/>
  <c r="S193" i="17" a="1"/>
  <c r="S193" i="17" s="1"/>
  <c r="S47" i="17" a="1"/>
  <c r="S47" i="17" s="1"/>
  <c r="S164" i="17" a="1"/>
  <c r="S164" i="17" s="1"/>
  <c r="S165" i="17" a="1"/>
  <c r="S165" i="17" s="1"/>
  <c r="S56" i="17" a="1"/>
  <c r="S56" i="17" s="1"/>
  <c r="N172" i="17" a="1"/>
  <c r="N172" i="17" s="1"/>
  <c r="N173" i="17" a="1"/>
  <c r="N173" i="17" s="1"/>
  <c r="N46" i="17" a="1"/>
  <c r="N46" i="17" s="1"/>
  <c r="N53" i="17" a="1"/>
  <c r="N53" i="17" s="1"/>
  <c r="N165" i="17" a="1"/>
  <c r="N165" i="17" s="1"/>
  <c r="N126" i="17" a="1"/>
  <c r="N126" i="17" s="1"/>
  <c r="N28" i="17" a="1"/>
  <c r="N28" i="17" s="1"/>
  <c r="N9" i="17" a="1"/>
  <c r="N9" i="17" s="1"/>
  <c r="N20" i="17" a="1"/>
  <c r="N20" i="17" s="1"/>
  <c r="N11" i="17" a="1"/>
  <c r="N11" i="17" s="1"/>
  <c r="N149" i="17" a="1"/>
  <c r="N149" i="17" s="1"/>
  <c r="O94" i="17" a="1"/>
  <c r="O94" i="17" s="1"/>
  <c r="N40" i="17" a="1"/>
  <c r="N40" i="17" s="1"/>
  <c r="N183" i="17" a="1"/>
  <c r="N183" i="17" s="1"/>
  <c r="N47" i="17" a="1"/>
  <c r="N47" i="17" s="1"/>
  <c r="N184" i="17" a="1"/>
  <c r="N184" i="17" s="1"/>
  <c r="N175" i="17" a="1"/>
  <c r="N175" i="17" s="1"/>
  <c r="N57" i="17" a="1"/>
  <c r="N57" i="17" s="1"/>
  <c r="N166" i="17" a="1"/>
  <c r="N166" i="17" s="1"/>
  <c r="N62" i="17" a="1"/>
  <c r="N62" i="17" s="1"/>
  <c r="N132" i="17" a="1"/>
  <c r="N132" i="17" s="1"/>
  <c r="N19" i="17" a="1"/>
  <c r="N19" i="17" s="1"/>
  <c r="N138" i="17" a="1"/>
  <c r="N138" i="17" s="1"/>
  <c r="N144" i="17" a="1"/>
  <c r="N144" i="17" s="1"/>
  <c r="N21" i="17" a="1"/>
  <c r="N21" i="17" s="1"/>
  <c r="N150" i="17" a="1"/>
  <c r="N150" i="17" s="1"/>
  <c r="O2" i="17" a="1"/>
  <c r="O2" i="17" s="1"/>
  <c r="Q2" i="17" s="1"/>
  <c r="W2" i="17" s="1"/>
  <c r="O95" i="17" a="1"/>
  <c r="O95" i="17" s="1"/>
  <c r="Q95" i="17" s="1"/>
  <c r="W95" i="17" s="1"/>
  <c r="O232" i="17" a="1"/>
  <c r="O232" i="17" s="1"/>
  <c r="Q232" i="17" s="1"/>
  <c r="W232" i="17" s="1"/>
  <c r="O105" i="17" a="1"/>
  <c r="O105" i="17" s="1"/>
  <c r="O224" i="17" a="1"/>
  <c r="O224" i="17" s="1"/>
  <c r="O55" i="17" a="1"/>
  <c r="O55" i="17" s="1"/>
  <c r="O195" i="17" a="1"/>
  <c r="O195" i="17" s="1"/>
  <c r="O59" i="17" a="1"/>
  <c r="O59" i="17" s="1"/>
  <c r="O196" i="17" a="1"/>
  <c r="O196" i="17" s="1"/>
  <c r="Q196" i="17" s="1"/>
  <c r="W196" i="17" s="1"/>
  <c r="O64" i="17" a="1"/>
  <c r="O64" i="17" s="1"/>
  <c r="O177" i="17" a="1"/>
  <c r="O177" i="17" s="1"/>
  <c r="Q177" i="17" s="1"/>
  <c r="W177" i="17" s="1"/>
  <c r="O69" i="17" a="1"/>
  <c r="O69" i="17" s="1"/>
  <c r="O74" i="17" a="1"/>
  <c r="O74" i="17" s="1"/>
  <c r="O139" i="17" a="1"/>
  <c r="O139" i="17" s="1"/>
  <c r="Q139" i="17" s="1"/>
  <c r="W139" i="17" s="1"/>
  <c r="O30" i="17" a="1"/>
  <c r="O30" i="17" s="1"/>
  <c r="Q30" i="17" s="1"/>
  <c r="W30" i="17" s="1"/>
  <c r="O21" i="17" a="1"/>
  <c r="O21" i="17" s="1"/>
  <c r="Q21" i="17" s="1"/>
  <c r="W21" i="17" s="1"/>
  <c r="R41" i="17" a="1"/>
  <c r="R41" i="17" s="1"/>
  <c r="R109" i="17" a="1"/>
  <c r="R109" i="17" s="1"/>
  <c r="R25" i="17" a="1"/>
  <c r="R25" i="17" s="1"/>
  <c r="R113" i="17" a="1"/>
  <c r="R113" i="17" s="1"/>
  <c r="R117" i="17" a="1"/>
  <c r="R117" i="17" s="1"/>
  <c r="R67" i="17" a="1"/>
  <c r="R67" i="17" s="1"/>
  <c r="R71" i="17" a="1"/>
  <c r="R71" i="17" s="1"/>
  <c r="R188" i="17" a="1"/>
  <c r="R188" i="17" s="1"/>
  <c r="R76" i="17" a="1"/>
  <c r="R76" i="17" s="1"/>
  <c r="R179" i="17" a="1"/>
  <c r="R179" i="17" s="1"/>
  <c r="R81" i="17" a="1"/>
  <c r="R81" i="17" s="1"/>
  <c r="R31" i="17" a="1"/>
  <c r="R31" i="17" s="1"/>
  <c r="S94" i="17" a="1"/>
  <c r="S94" i="17" s="1"/>
  <c r="S203" i="17" a="1"/>
  <c r="S203" i="17" s="1"/>
  <c r="N41" i="17" a="1"/>
  <c r="N41" i="17" s="1"/>
  <c r="N48" i="17" a="1"/>
  <c r="N48" i="17" s="1"/>
  <c r="N185" i="17" a="1"/>
  <c r="N185" i="17" s="1"/>
  <c r="N58" i="17" a="1"/>
  <c r="N58" i="17" s="1"/>
  <c r="N176" i="17" a="1"/>
  <c r="N176" i="17" s="1"/>
  <c r="N63" i="17" a="1"/>
  <c r="N63" i="17" s="1"/>
  <c r="N127" i="17" a="1"/>
  <c r="N127" i="17" s="1"/>
  <c r="N68" i="17" a="1"/>
  <c r="N68" i="17" s="1"/>
  <c r="N133" i="17" a="1"/>
  <c r="N133" i="17" s="1"/>
  <c r="N139" i="17" a="1"/>
  <c r="N139" i="17" s="1"/>
  <c r="N30" i="17" a="1"/>
  <c r="N30" i="17" s="1"/>
  <c r="N145" i="17" a="1"/>
  <c r="N145" i="17" s="1"/>
  <c r="N31" i="17" a="1"/>
  <c r="N31" i="17" s="1"/>
  <c r="N151" i="17" a="1"/>
  <c r="N151" i="17" s="1"/>
  <c r="O12" i="17" a="1"/>
  <c r="O12" i="17" s="1"/>
  <c r="O96" i="17" a="1"/>
  <c r="O96" i="17" s="1"/>
  <c r="O100" i="17" a="1"/>
  <c r="O100" i="17" s="1"/>
  <c r="O4" i="17" a="1"/>
  <c r="O4" i="17" s="1"/>
  <c r="O106" i="17" a="1"/>
  <c r="O106" i="17" s="1"/>
  <c r="O110" i="17" a="1"/>
  <c r="O110" i="17" s="1"/>
  <c r="Q110" i="17" s="1"/>
  <c r="W110" i="17" s="1"/>
  <c r="O65" i="17" a="1"/>
  <c r="O65" i="17" s="1"/>
  <c r="Q65" i="17" s="1"/>
  <c r="W65" i="17" s="1"/>
  <c r="O187" i="17" a="1"/>
  <c r="O187" i="17" s="1"/>
  <c r="O70" i="17" a="1"/>
  <c r="O70" i="17" s="1"/>
  <c r="O168" i="17" a="1"/>
  <c r="O168" i="17" s="1"/>
  <c r="O144" i="17" a="1"/>
  <c r="O144" i="17" s="1"/>
  <c r="Q144" i="17" s="1"/>
  <c r="W144" i="17" s="1"/>
  <c r="O150" i="17" a="1"/>
  <c r="O150" i="17" s="1"/>
  <c r="Q150" i="17" s="1"/>
  <c r="W150" i="17" s="1"/>
  <c r="R37" i="17" a="1"/>
  <c r="R37" i="17" s="1"/>
  <c r="R182" i="17" a="1"/>
  <c r="R182" i="17" s="1"/>
  <c r="R42" i="17" a="1"/>
  <c r="R42" i="17" s="1"/>
  <c r="R163" i="17" a="1"/>
  <c r="R163" i="17" s="1"/>
  <c r="R45" i="17" a="1"/>
  <c r="R45" i="17" s="1"/>
  <c r="R114" i="17" a="1"/>
  <c r="R114" i="17" s="1"/>
  <c r="R6" i="17" a="1"/>
  <c r="R6" i="17" s="1"/>
  <c r="R226" i="17" a="1"/>
  <c r="R226" i="17" s="1"/>
  <c r="R122" i="17" a="1"/>
  <c r="R122" i="17" s="1"/>
  <c r="R207" i="17" a="1"/>
  <c r="R207" i="17" s="1"/>
  <c r="R72" i="17" a="1"/>
  <c r="R72" i="17" s="1"/>
  <c r="R198" i="17" a="1"/>
  <c r="R198" i="17" s="1"/>
  <c r="R86" i="17" a="1"/>
  <c r="R86" i="17" s="1"/>
  <c r="R150" i="17" a="1"/>
  <c r="R150" i="17" s="1"/>
  <c r="S232" i="17" a="1"/>
  <c r="S232" i="17" s="1"/>
  <c r="S99" i="17" a="1"/>
  <c r="S99" i="17" s="1"/>
  <c r="S49" i="17" a="1"/>
  <c r="S49" i="17" s="1"/>
  <c r="S184" i="17" a="1"/>
  <c r="S184" i="17" s="1"/>
  <c r="N59" i="17" a="1"/>
  <c r="N59" i="17" s="1"/>
  <c r="N159" i="17" a="1"/>
  <c r="N159" i="17" s="1"/>
  <c r="N230" i="17" a="1"/>
  <c r="N230" i="17" s="1"/>
  <c r="O22" i="17" a="1"/>
  <c r="O22" i="17" s="1"/>
  <c r="Q22" i="17" s="1"/>
  <c r="W22" i="17" s="1"/>
  <c r="O212" i="17" a="1"/>
  <c r="O212" i="17" s="1"/>
  <c r="O60" i="17" a="1"/>
  <c r="O60" i="17" s="1"/>
  <c r="Q60" i="17" s="1"/>
  <c r="W60" i="17" s="1"/>
  <c r="O7" i="17" a="1"/>
  <c r="O7" i="17" s="1"/>
  <c r="Q7" i="17" s="1"/>
  <c r="W7" i="17" s="1"/>
  <c r="O167" i="17" a="1"/>
  <c r="O167" i="17" s="1"/>
  <c r="O128" i="17" a="1"/>
  <c r="O128" i="17" s="1"/>
  <c r="O19" i="17" a="1"/>
  <c r="O19" i="17" s="1"/>
  <c r="O189" i="17" a="1"/>
  <c r="O189" i="17" s="1"/>
  <c r="O88" i="17" a="1"/>
  <c r="O88" i="17" s="1"/>
  <c r="O201" i="17" a="1"/>
  <c r="O201" i="17" s="1"/>
  <c r="R93" i="17" a="1"/>
  <c r="R93" i="17" s="1"/>
  <c r="N60" i="17" a="1"/>
  <c r="N60" i="17" s="1"/>
  <c r="N86" i="17" a="1"/>
  <c r="N86" i="17" s="1"/>
  <c r="O32" i="17" a="1"/>
  <c r="O32" i="17" s="1"/>
  <c r="Q32" i="17" s="1"/>
  <c r="W32" i="17" s="1"/>
  <c r="O153" i="17" a="1"/>
  <c r="O153" i="17" s="1"/>
  <c r="O15" i="17" a="1"/>
  <c r="O15" i="17" s="1"/>
  <c r="Q15" i="17" s="1"/>
  <c r="W15" i="17" s="1"/>
  <c r="O115" i="17" a="1"/>
  <c r="O115" i="17" s="1"/>
  <c r="O61" i="17" a="1"/>
  <c r="O61" i="17" s="1"/>
  <c r="O17" i="17" a="1"/>
  <c r="O17" i="17" s="1"/>
  <c r="O129" i="17" a="1"/>
  <c r="O129" i="17" s="1"/>
  <c r="O29" i="17" a="1"/>
  <c r="O29" i="17" s="1"/>
  <c r="O199" i="17" a="1"/>
  <c r="O199" i="17" s="1"/>
  <c r="Q199" i="17" s="1"/>
  <c r="W199" i="17" s="1"/>
  <c r="O141" i="17" a="1"/>
  <c r="O141" i="17" s="1"/>
  <c r="O89" i="17" a="1"/>
  <c r="O89" i="17" s="1"/>
  <c r="O211" i="17" a="1"/>
  <c r="O211" i="17" s="1"/>
  <c r="R94" i="17" a="1"/>
  <c r="R94" i="17" s="1"/>
  <c r="R173" i="17" a="1"/>
  <c r="R173" i="17" s="1"/>
  <c r="R49" i="17" a="1"/>
  <c r="R49" i="17" s="1"/>
  <c r="R234" i="17" a="1"/>
  <c r="R234" i="17" s="1"/>
  <c r="R115" i="17" a="1"/>
  <c r="R115" i="17" s="1"/>
  <c r="R57" i="17" a="1"/>
  <c r="R57" i="17" s="1"/>
  <c r="R196" i="17" a="1"/>
  <c r="R196" i="17" s="1"/>
  <c r="R227" i="17" a="1"/>
  <c r="R227" i="17" s="1"/>
  <c r="R131" i="17" a="1"/>
  <c r="R131" i="17" s="1"/>
  <c r="R169" i="17" a="1"/>
  <c r="R169" i="17" s="1"/>
  <c r="R83" i="17" a="1"/>
  <c r="R83" i="17" s="1"/>
  <c r="R200" i="17" a="1"/>
  <c r="R200" i="17" s="1"/>
  <c r="R146" i="17" a="1"/>
  <c r="R146" i="17" s="1"/>
  <c r="R221" i="17" a="1"/>
  <c r="R221" i="17" s="1"/>
  <c r="S96" i="17" a="1"/>
  <c r="S96" i="17" s="1"/>
  <c r="S38" i="17" a="1"/>
  <c r="S38" i="17" s="1"/>
  <c r="N186" i="17" a="1"/>
  <c r="N186" i="17" s="1"/>
  <c r="N87" i="17" a="1"/>
  <c r="N87" i="17" s="1"/>
  <c r="O33" i="17" a="1"/>
  <c r="O33" i="17" s="1"/>
  <c r="Q33" i="17" s="1"/>
  <c r="W33" i="17" s="1"/>
  <c r="O163" i="17" a="1"/>
  <c r="O163" i="17" s="1"/>
  <c r="Q163" i="17" s="1"/>
  <c r="W163" i="17" s="1"/>
  <c r="O49" i="17" a="1"/>
  <c r="O49" i="17" s="1"/>
  <c r="O117" i="17" a="1"/>
  <c r="O117" i="17" s="1"/>
  <c r="Q117" i="17" s="1"/>
  <c r="W117" i="17" s="1"/>
  <c r="O197" i="17" a="1"/>
  <c r="O197" i="17" s="1"/>
  <c r="O130" i="17" a="1"/>
  <c r="O130" i="17" s="1"/>
  <c r="O75" i="17" a="1"/>
  <c r="O75" i="17" s="1"/>
  <c r="O209" i="17" a="1"/>
  <c r="O209" i="17" s="1"/>
  <c r="O143" i="17" a="1"/>
  <c r="O143" i="17" s="1"/>
  <c r="O221" i="17" a="1"/>
  <c r="O221" i="17" s="1"/>
  <c r="R38" i="17" a="1"/>
  <c r="R38" i="17" s="1"/>
  <c r="R183" i="17" a="1"/>
  <c r="R183" i="17" s="1"/>
  <c r="R104" i="17" a="1"/>
  <c r="R104" i="17" s="1"/>
  <c r="N196" i="17" a="1"/>
  <c r="N196" i="17" s="1"/>
  <c r="N209" i="17" a="1"/>
  <c r="N209" i="17" s="1"/>
  <c r="O3" i="17" a="1"/>
  <c r="O3" i="17" s="1"/>
  <c r="O173" i="17" a="1"/>
  <c r="O173" i="17" s="1"/>
  <c r="Q173" i="17" s="1"/>
  <c r="W173" i="17" s="1"/>
  <c r="O25" i="17" a="1"/>
  <c r="O25" i="17" s="1"/>
  <c r="O165" i="17" a="1"/>
  <c r="O165" i="17" s="1"/>
  <c r="Q165" i="17" s="1"/>
  <c r="W165" i="17" s="1"/>
  <c r="O118" i="17" a="1"/>
  <c r="O118" i="17" s="1"/>
  <c r="Q118" i="17" s="1"/>
  <c r="W118" i="17" s="1"/>
  <c r="O207" i="17" a="1"/>
  <c r="O207" i="17" s="1"/>
  <c r="Q207" i="17" s="1"/>
  <c r="W207" i="17" s="1"/>
  <c r="O145" i="17" a="1"/>
  <c r="O145" i="17" s="1"/>
  <c r="Q145" i="17" s="1"/>
  <c r="W145" i="17" s="1"/>
  <c r="O91" i="17" a="1"/>
  <c r="O91" i="17" s="1"/>
  <c r="Q91" i="17" s="1"/>
  <c r="W91" i="17" s="1"/>
  <c r="R95" i="17" a="1"/>
  <c r="R95" i="17" s="1"/>
  <c r="R39" i="17" a="1"/>
  <c r="R39" i="17" s="1"/>
  <c r="R193" i="17" a="1"/>
  <c r="R193" i="17" s="1"/>
  <c r="R165" i="17" a="1"/>
  <c r="R165" i="17" s="1"/>
  <c r="R58" i="17" a="1"/>
  <c r="R58" i="17" s="1"/>
  <c r="N64" i="17" a="1"/>
  <c r="N64" i="17" s="1"/>
  <c r="O13" i="17" a="1"/>
  <c r="O13" i="17" s="1"/>
  <c r="Q13" i="17" s="1"/>
  <c r="W13" i="17" s="1"/>
  <c r="O107" i="17" a="1"/>
  <c r="O107" i="17" s="1"/>
  <c r="O185" i="17" a="1"/>
  <c r="O185" i="17" s="1"/>
  <c r="O62" i="17" a="1"/>
  <c r="O62" i="17" s="1"/>
  <c r="Q62" i="17" s="1"/>
  <c r="W62" i="17" s="1"/>
  <c r="O217" i="17" a="1"/>
  <c r="O217" i="17" s="1"/>
  <c r="Q217" i="17" s="1"/>
  <c r="W217" i="17" s="1"/>
  <c r="O77" i="17" a="1"/>
  <c r="O77" i="17" s="1"/>
  <c r="Q77" i="17" s="1"/>
  <c r="W77" i="17" s="1"/>
  <c r="O219" i="17" a="1"/>
  <c r="O219" i="17" s="1"/>
  <c r="Q219" i="17" s="1"/>
  <c r="W219" i="17" s="1"/>
  <c r="R40" i="17" a="1"/>
  <c r="R40" i="17" s="1"/>
  <c r="R203" i="17" a="1"/>
  <c r="R203" i="17" s="1"/>
  <c r="R105" i="17" a="1"/>
  <c r="R105" i="17" s="1"/>
  <c r="R175" i="17" a="1"/>
  <c r="R175" i="17" s="1"/>
  <c r="R59" i="17" a="1"/>
  <c r="R59" i="17" s="1"/>
  <c r="R216" i="17" a="1"/>
  <c r="R216" i="17" s="1"/>
  <c r="R125" i="17" a="1"/>
  <c r="R125" i="17" s="1"/>
  <c r="N65" i="17" a="1"/>
  <c r="N65" i="17" s="1"/>
  <c r="N80" i="17" a="1"/>
  <c r="N80" i="17" s="1"/>
  <c r="N91" i="17" a="1"/>
  <c r="N91" i="17" s="1"/>
  <c r="O35" i="17" a="1"/>
  <c r="O35" i="17" s="1"/>
  <c r="O38" i="17" a="1"/>
  <c r="O38" i="17" s="1"/>
  <c r="O183" i="17" a="1"/>
  <c r="O183" i="17" s="1"/>
  <c r="Q183" i="17" s="1"/>
  <c r="W183" i="17" s="1"/>
  <c r="O108" i="17" a="1"/>
  <c r="O108" i="17" s="1"/>
  <c r="O50" i="17" a="1"/>
  <c r="O50" i="17" s="1"/>
  <c r="Q50" i="17" s="1"/>
  <c r="W50" i="17" s="1"/>
  <c r="O205" i="17" a="1"/>
  <c r="O205" i="17" s="1"/>
  <c r="Q205" i="17" s="1"/>
  <c r="W205" i="17" s="1"/>
  <c r="O119" i="17" a="1"/>
  <c r="O119" i="17" s="1"/>
  <c r="Q119" i="17" s="1"/>
  <c r="W119" i="17" s="1"/>
  <c r="O132" i="17" a="1"/>
  <c r="O132" i="17" s="1"/>
  <c r="O229" i="17" a="1"/>
  <c r="O229" i="17" s="1"/>
  <c r="O146" i="17" a="1"/>
  <c r="O146" i="17" s="1"/>
  <c r="R96" i="17" a="1"/>
  <c r="R96" i="17" s="1"/>
  <c r="R213" i="17" a="1"/>
  <c r="R213" i="17" s="1"/>
  <c r="N157" i="17" a="1"/>
  <c r="N157" i="17" s="1"/>
  <c r="N82" i="17" a="1"/>
  <c r="N82" i="17" s="1"/>
  <c r="N146" i="17" a="1"/>
  <c r="N146" i="17" s="1"/>
  <c r="O36" i="17" a="1"/>
  <c r="O36" i="17" s="1"/>
  <c r="O203" i="17" a="1"/>
  <c r="O203" i="17" s="1"/>
  <c r="Q203" i="17" s="1"/>
  <c r="W203" i="17" s="1"/>
  <c r="O109" i="17" a="1"/>
  <c r="O109" i="17" s="1"/>
  <c r="Q109" i="17" s="1"/>
  <c r="W109" i="17" s="1"/>
  <c r="O51" i="17" a="1"/>
  <c r="O51" i="17" s="1"/>
  <c r="Q51" i="17" s="1"/>
  <c r="W51" i="17" s="1"/>
  <c r="O215" i="17" a="1"/>
  <c r="O215" i="17" s="1"/>
  <c r="O227" i="17" a="1"/>
  <c r="O227" i="17" s="1"/>
  <c r="Q227" i="17" s="1"/>
  <c r="W227" i="17" s="1"/>
  <c r="O79" i="17" a="1"/>
  <c r="O79" i="17" s="1"/>
  <c r="Q79" i="17" s="1"/>
  <c r="W79" i="17" s="1"/>
  <c r="O180" i="17" a="1"/>
  <c r="O180" i="17" s="1"/>
  <c r="Q180" i="17" s="1"/>
  <c r="W180" i="17" s="1"/>
  <c r="O147" i="17" a="1"/>
  <c r="O147" i="17" s="1"/>
  <c r="Q147" i="17" s="1"/>
  <c r="W147" i="17" s="1"/>
  <c r="R2" i="17" a="1"/>
  <c r="R2" i="17" s="1"/>
  <c r="R97" i="17" a="1"/>
  <c r="R97" i="17" s="1"/>
  <c r="R43" i="17" a="1"/>
  <c r="R43" i="17" s="1"/>
  <c r="N167" i="17" a="1"/>
  <c r="N167" i="17" s="1"/>
  <c r="N84" i="17" a="1"/>
  <c r="N84" i="17" s="1"/>
  <c r="O92" i="17" a="1"/>
  <c r="O92" i="17" s="1"/>
  <c r="Q92" i="17" s="1"/>
  <c r="W92" i="17" s="1"/>
  <c r="O39" i="17" a="1"/>
  <c r="O39" i="17" s="1"/>
  <c r="O53" i="17" a="1"/>
  <c r="O53" i="17" s="1"/>
  <c r="O120" i="17" a="1"/>
  <c r="O120" i="17" s="1"/>
  <c r="Q120" i="17" s="1"/>
  <c r="W120" i="17" s="1"/>
  <c r="O178" i="17" a="1"/>
  <c r="O178" i="17" s="1"/>
  <c r="Q178" i="17" s="1"/>
  <c r="W178" i="17" s="1"/>
  <c r="O134" i="17" a="1"/>
  <c r="O134" i="17" s="1"/>
  <c r="Q134" i="17" s="1"/>
  <c r="W134" i="17" s="1"/>
  <c r="O20" i="17" a="1"/>
  <c r="O20" i="17" s="1"/>
  <c r="O190" i="17" a="1"/>
  <c r="O190" i="17" s="1"/>
  <c r="O148" i="17" a="1"/>
  <c r="O148" i="17" s="1"/>
  <c r="Q148" i="17" s="1"/>
  <c r="W148" i="17" s="1"/>
  <c r="R12" i="17" a="1"/>
  <c r="R12" i="17" s="1"/>
  <c r="R98" i="17" a="1"/>
  <c r="R98" i="17" s="1"/>
  <c r="R107" i="17" a="1"/>
  <c r="R107" i="17" s="1"/>
  <c r="N192" i="17" a="1"/>
  <c r="N192" i="17" s="1"/>
  <c r="N69" i="17" a="1"/>
  <c r="N69" i="17" s="1"/>
  <c r="N85" i="17" a="1"/>
  <c r="N85" i="17" s="1"/>
  <c r="O223" i="17" a="1"/>
  <c r="O223" i="17" s="1"/>
  <c r="Q223" i="17" s="1"/>
  <c r="W223" i="17" s="1"/>
  <c r="O164" i="17" a="1"/>
  <c r="O164" i="17" s="1"/>
  <c r="Q164" i="17" s="1"/>
  <c r="W164" i="17" s="1"/>
  <c r="O122" i="17" a="1"/>
  <c r="O122" i="17" s="1"/>
  <c r="O8" i="17" a="1"/>
  <c r="O8" i="17" s="1"/>
  <c r="Q8" i="17" s="1"/>
  <c r="W8" i="17" s="1"/>
  <c r="O135" i="17" a="1"/>
  <c r="O135" i="17" s="1"/>
  <c r="Q135" i="17" s="1"/>
  <c r="W135" i="17" s="1"/>
  <c r="O80" i="17" a="1"/>
  <c r="O80" i="17" s="1"/>
  <c r="Q80" i="17" s="1"/>
  <c r="W80" i="17" s="1"/>
  <c r="O200" i="17" a="1"/>
  <c r="O200" i="17" s="1"/>
  <c r="O149" i="17" a="1"/>
  <c r="O149" i="17" s="1"/>
  <c r="Q149" i="17" s="1"/>
  <c r="W149" i="17" s="1"/>
  <c r="R162" i="17" a="1"/>
  <c r="R162" i="17" s="1"/>
  <c r="R99" i="17" a="1"/>
  <c r="R99" i="17" s="1"/>
  <c r="R108" i="17" a="1"/>
  <c r="R108" i="17" s="1"/>
  <c r="R205" i="17" a="1"/>
  <c r="R205" i="17" s="1"/>
  <c r="R27" i="17" a="1"/>
  <c r="R27" i="17" s="1"/>
  <c r="R68" i="17" a="1"/>
  <c r="R68" i="17" s="1"/>
  <c r="R79" i="17" a="1"/>
  <c r="R79" i="17" s="1"/>
  <c r="R143" i="17" a="1"/>
  <c r="R143" i="17" s="1"/>
  <c r="S33" i="17" a="1"/>
  <c r="S33" i="17" s="1"/>
  <c r="S182" i="17" a="1"/>
  <c r="S182" i="17" s="1"/>
  <c r="S234" i="17" a="1"/>
  <c r="S234" i="17" s="1"/>
  <c r="S112" i="17" a="1"/>
  <c r="S112" i="17" s="1"/>
  <c r="S118" i="17" a="1"/>
  <c r="S118" i="17" s="1"/>
  <c r="S236" i="17" a="1"/>
  <c r="S236" i="17" s="1"/>
  <c r="S123" i="17" a="1"/>
  <c r="S123" i="17" s="1"/>
  <c r="S72" i="17" a="1"/>
  <c r="S72" i="17" s="1"/>
  <c r="S188" i="17" a="1"/>
  <c r="S188" i="17" s="1"/>
  <c r="S137" i="17" a="1"/>
  <c r="S137" i="17" s="1"/>
  <c r="S229" i="17" a="1"/>
  <c r="S229" i="17" s="1"/>
  <c r="N42" i="17" a="1"/>
  <c r="N42" i="17" s="1"/>
  <c r="N70" i="17" a="1"/>
  <c r="N70" i="17" s="1"/>
  <c r="N140" i="17" a="1"/>
  <c r="N140" i="17" s="1"/>
  <c r="N161" i="17" a="1"/>
  <c r="N161" i="17" s="1"/>
  <c r="O97" i="17" a="1"/>
  <c r="O97" i="17" s="1"/>
  <c r="Q97" i="17" s="1"/>
  <c r="W97" i="17" s="1"/>
  <c r="O40" i="17" a="1"/>
  <c r="O40" i="17" s="1"/>
  <c r="O14" i="17" a="1"/>
  <c r="O14" i="17" s="1"/>
  <c r="O174" i="17" a="1"/>
  <c r="O174" i="17" s="1"/>
  <c r="O6" i="17" a="1"/>
  <c r="O6" i="17" s="1"/>
  <c r="Q6" i="17" s="1"/>
  <c r="W6" i="17" s="1"/>
  <c r="O166" i="17" a="1"/>
  <c r="O166" i="17" s="1"/>
  <c r="O123" i="17" a="1"/>
  <c r="O123" i="17" s="1"/>
  <c r="Q123" i="17" s="1"/>
  <c r="W123" i="17" s="1"/>
  <c r="O81" i="17" a="1"/>
  <c r="O81" i="17" s="1"/>
  <c r="Q81" i="17" s="1"/>
  <c r="W81" i="17" s="1"/>
  <c r="O151" i="17" a="1"/>
  <c r="O151" i="17" s="1"/>
  <c r="R22" i="17" a="1"/>
  <c r="R22" i="17" s="1"/>
  <c r="R172" i="17" a="1"/>
  <c r="R172" i="17" s="1"/>
  <c r="N193" i="17" a="1"/>
  <c r="N193" i="17" s="1"/>
  <c r="N171" i="17" a="1"/>
  <c r="N171" i="17" s="1"/>
  <c r="O162" i="17" a="1"/>
  <c r="O162" i="17" s="1"/>
  <c r="O41" i="17" a="1"/>
  <c r="O41" i="17" s="1"/>
  <c r="O24" i="17" a="1"/>
  <c r="O24" i="17" s="1"/>
  <c r="O16" i="17" a="1"/>
  <c r="O16" i="17" s="1"/>
  <c r="Q16" i="17" s="1"/>
  <c r="W16" i="17" s="1"/>
  <c r="O186" i="17" a="1"/>
  <c r="O186" i="17" s="1"/>
  <c r="O124" i="17" a="1"/>
  <c r="O124" i="17" s="1"/>
  <c r="Q124" i="17" s="1"/>
  <c r="W124" i="17" s="1"/>
  <c r="O28" i="17" a="1"/>
  <c r="O28" i="17" s="1"/>
  <c r="O198" i="17" a="1"/>
  <c r="O198" i="17" s="1"/>
  <c r="Q198" i="17" s="1"/>
  <c r="W198" i="17" s="1"/>
  <c r="O82" i="17" a="1"/>
  <c r="O82" i="17" s="1"/>
  <c r="O210" i="17" a="1"/>
  <c r="O210" i="17" s="1"/>
  <c r="R100" i="17" a="1"/>
  <c r="R100" i="17" s="1"/>
  <c r="R174" i="17" a="1"/>
  <c r="R174" i="17" s="1"/>
  <c r="R215" i="17" a="1"/>
  <c r="R215" i="17" s="1"/>
  <c r="N181" i="17" a="1"/>
  <c r="N181" i="17" s="1"/>
  <c r="O172" i="17" a="1"/>
  <c r="O172" i="17" s="1"/>
  <c r="O43" i="17" a="1"/>
  <c r="O43" i="17" s="1"/>
  <c r="Q43" i="17" s="1"/>
  <c r="W43" i="17" s="1"/>
  <c r="O44" i="17" a="1"/>
  <c r="O44" i="17" s="1"/>
  <c r="O184" i="17" a="1"/>
  <c r="O184" i="17" s="1"/>
  <c r="O111" i="17" a="1"/>
  <c r="O111" i="17" s="1"/>
  <c r="Q111" i="17" s="1"/>
  <c r="W111" i="17" s="1"/>
  <c r="O26" i="17" a="1"/>
  <c r="O26" i="17" s="1"/>
  <c r="Q26" i="17" s="1"/>
  <c r="W26" i="17" s="1"/>
  <c r="O206" i="17" a="1"/>
  <c r="O206" i="17" s="1"/>
  <c r="O125" i="17" a="1"/>
  <c r="O125" i="17" s="1"/>
  <c r="O208" i="17" a="1"/>
  <c r="O208" i="17" s="1"/>
  <c r="Q208" i="17" s="1"/>
  <c r="W208" i="17" s="1"/>
  <c r="O137" i="17" a="1"/>
  <c r="O137" i="17" s="1"/>
  <c r="Q137" i="17" s="1"/>
  <c r="W137" i="17" s="1"/>
  <c r="O83" i="17" a="1"/>
  <c r="O83" i="17" s="1"/>
  <c r="Q83" i="17" s="1"/>
  <c r="W83" i="17" s="1"/>
  <c r="O230" i="17" a="1"/>
  <c r="O230" i="17" s="1"/>
  <c r="R32" i="17" a="1"/>
  <c r="R32" i="17" s="1"/>
  <c r="R192" i="17" a="1"/>
  <c r="R192" i="17" s="1"/>
  <c r="R14" i="17" a="1"/>
  <c r="R14" i="17" s="1"/>
  <c r="R55" i="17" a="1"/>
  <c r="R55" i="17" s="1"/>
  <c r="R121" i="17" a="1"/>
  <c r="R121" i="17" s="1"/>
  <c r="R177" i="17" a="1"/>
  <c r="R177" i="17" s="1"/>
  <c r="R73" i="17" a="1"/>
  <c r="R73" i="17" s="1"/>
  <c r="R228" i="17" a="1"/>
  <c r="R228" i="17" s="1"/>
  <c r="R136" i="17" a="1"/>
  <c r="R136" i="17" s="1"/>
  <c r="R10" i="17" a="1"/>
  <c r="R10" i="17" s="1"/>
  <c r="R88" i="17" a="1"/>
  <c r="R88" i="17" s="1"/>
  <c r="S36" i="17" a="1"/>
  <c r="S36" i="17" s="1"/>
  <c r="S100" i="17" a="1"/>
  <c r="S100" i="17" s="1"/>
  <c r="S108" i="17" a="1"/>
  <c r="S108" i="17" s="1"/>
  <c r="S15" i="17" a="1"/>
  <c r="S15" i="17" s="1"/>
  <c r="S120" i="17" a="1"/>
  <c r="S120" i="17" s="1"/>
  <c r="S17" i="17" a="1"/>
  <c r="S17" i="17" s="1"/>
  <c r="S125" i="17" a="1"/>
  <c r="S125" i="17" s="1"/>
  <c r="S128" i="17" a="1"/>
  <c r="S128" i="17" s="1"/>
  <c r="S75" i="17" a="1"/>
  <c r="S75" i="17" s="1"/>
  <c r="S139" i="17" a="1"/>
  <c r="S139" i="17" s="1"/>
  <c r="S10" i="17" a="1"/>
  <c r="S10" i="17" s="1"/>
  <c r="S141" i="17" a="1"/>
  <c r="S141" i="17" s="1"/>
  <c r="S89" i="17" a="1"/>
  <c r="S89" i="17" s="1"/>
  <c r="S161" i="17" a="1"/>
  <c r="S161" i="17" s="1"/>
  <c r="T22" i="17" a="1"/>
  <c r="T22" i="17" s="1"/>
  <c r="T94" i="17" a="1"/>
  <c r="T94" i="17" s="1"/>
  <c r="T41" i="17" a="1"/>
  <c r="T41" i="17" s="1"/>
  <c r="T56" i="17" a="1"/>
  <c r="T56" i="17" s="1"/>
  <c r="T120" i="17" a="1"/>
  <c r="T120" i="17" s="1"/>
  <c r="T17" i="17" a="1"/>
  <c r="T17" i="17" s="1"/>
  <c r="T124" i="17" a="1"/>
  <c r="T124" i="17" s="1"/>
  <c r="T128" i="17" a="1"/>
  <c r="T128" i="17" s="1"/>
  <c r="T218" i="17" a="1"/>
  <c r="T218" i="17" s="1"/>
  <c r="T83" i="17" a="1"/>
  <c r="T83" i="17" s="1"/>
  <c r="T181" i="17" a="1"/>
  <c r="T181" i="17" s="1"/>
  <c r="U34" i="17" a="1"/>
  <c r="U34" i="17" s="1"/>
  <c r="U23" i="17" a="1"/>
  <c r="U23" i="17" s="1"/>
  <c r="U105" i="17" a="1"/>
  <c r="U105" i="17" s="1"/>
  <c r="U195" i="17" a="1"/>
  <c r="U195" i="17" s="1"/>
  <c r="U59" i="17" a="1"/>
  <c r="U59" i="17" s="1"/>
  <c r="U176" i="17" a="1"/>
  <c r="U176" i="17" s="1"/>
  <c r="U125" i="17" a="1"/>
  <c r="U125" i="17" s="1"/>
  <c r="N194" i="17" a="1"/>
  <c r="N194" i="17" s="1"/>
  <c r="N208" i="17" a="1"/>
  <c r="N208" i="17" s="1"/>
  <c r="N180" i="17" a="1"/>
  <c r="N180" i="17" s="1"/>
  <c r="N191" i="17" a="1"/>
  <c r="N191" i="17" s="1"/>
  <c r="O98" i="17" a="1"/>
  <c r="O98" i="17" s="1"/>
  <c r="Q98" i="17" s="1"/>
  <c r="W98" i="17" s="1"/>
  <c r="O112" i="17" a="1"/>
  <c r="O112" i="17" s="1"/>
  <c r="Q112" i="17" s="1"/>
  <c r="W112" i="17" s="1"/>
  <c r="O218" i="17" a="1"/>
  <c r="O218" i="17" s="1"/>
  <c r="O84" i="17" a="1"/>
  <c r="O84" i="17" s="1"/>
  <c r="Q84" i="17" s="1"/>
  <c r="W84" i="17" s="1"/>
  <c r="O171" i="17" a="1"/>
  <c r="O171" i="17" s="1"/>
  <c r="R212" i="17" a="1"/>
  <c r="R212" i="17" s="1"/>
  <c r="R101" i="17" a="1"/>
  <c r="R101" i="17" s="1"/>
  <c r="R44" i="17" a="1"/>
  <c r="R44" i="17" s="1"/>
  <c r="R194" i="17" a="1"/>
  <c r="R194" i="17" s="1"/>
  <c r="R110" i="17" a="1"/>
  <c r="R110" i="17" s="1"/>
  <c r="R63" i="17" a="1"/>
  <c r="R63" i="17" s="1"/>
  <c r="N55" i="17" a="1"/>
  <c r="N55" i="17" s="1"/>
  <c r="N29" i="17" a="1"/>
  <c r="N29" i="17" s="1"/>
  <c r="N201" i="17" a="1"/>
  <c r="N201" i="17" s="1"/>
  <c r="O182" i="17" a="1"/>
  <c r="O182" i="17" s="1"/>
  <c r="O99" i="17" a="1"/>
  <c r="O99" i="17" s="1"/>
  <c r="O45" i="17" a="1"/>
  <c r="O45" i="17" s="1"/>
  <c r="O204" i="17" a="1"/>
  <c r="O204" i="17" s="1"/>
  <c r="Q204" i="17" s="1"/>
  <c r="W204" i="17" s="1"/>
  <c r="O226" i="17" a="1"/>
  <c r="O226" i="17" s="1"/>
  <c r="O126" i="17" a="1"/>
  <c r="O126" i="17" s="1"/>
  <c r="O71" i="17" a="1"/>
  <c r="O71" i="17" s="1"/>
  <c r="Q71" i="17" s="1"/>
  <c r="W71" i="17" s="1"/>
  <c r="O159" i="17" a="1"/>
  <c r="O159" i="17" s="1"/>
  <c r="O11" i="17" a="1"/>
  <c r="O11" i="17" s="1"/>
  <c r="R34" i="17" a="1"/>
  <c r="R34" i="17" s="1"/>
  <c r="R222" i="17" a="1"/>
  <c r="R222" i="17" s="1"/>
  <c r="R46" i="17" a="1"/>
  <c r="R46" i="17" s="1"/>
  <c r="R16" i="17" a="1"/>
  <c r="R16" i="17" s="1"/>
  <c r="R64" i="17" a="1"/>
  <c r="R64" i="17" s="1"/>
  <c r="R197" i="17" a="1"/>
  <c r="R197" i="17" s="1"/>
  <c r="R238" i="17" a="1"/>
  <c r="R238" i="17" s="1"/>
  <c r="R30" i="17" a="1"/>
  <c r="R30" i="17" s="1"/>
  <c r="R180" i="17" a="1"/>
  <c r="R180" i="17" s="1"/>
  <c r="R89" i="17" a="1"/>
  <c r="R89" i="17" s="1"/>
  <c r="S92" i="17" a="1"/>
  <c r="S92" i="17" s="1"/>
  <c r="S3" i="17" a="1"/>
  <c r="S3" i="17" s="1"/>
  <c r="S102" i="17" a="1"/>
  <c r="S102" i="17" s="1"/>
  <c r="S14" i="17" a="1"/>
  <c r="S14" i="17" s="1"/>
  <c r="S109" i="17" a="1"/>
  <c r="S109" i="17" s="1"/>
  <c r="S155" i="17" a="1"/>
  <c r="S155" i="17" s="1"/>
  <c r="S121" i="17" a="1"/>
  <c r="S121" i="17" s="1"/>
  <c r="S27" i="17" a="1"/>
  <c r="S27" i="17" s="1"/>
  <c r="S126" i="17" a="1"/>
  <c r="S126" i="17" s="1"/>
  <c r="S18" i="17" a="1"/>
  <c r="S18" i="17" s="1"/>
  <c r="S76" i="17" a="1"/>
  <c r="S76" i="17" s="1"/>
  <c r="S159" i="17" a="1"/>
  <c r="S159" i="17" s="1"/>
  <c r="S30" i="17" a="1"/>
  <c r="S30" i="17" s="1"/>
  <c r="S142" i="17" a="1"/>
  <c r="S142" i="17" s="1"/>
  <c r="S220" i="17" a="1"/>
  <c r="S220" i="17" s="1"/>
  <c r="S171" i="17" a="1"/>
  <c r="S171" i="17" s="1"/>
  <c r="T32" i="17" a="1"/>
  <c r="T32" i="17" s="1"/>
  <c r="T95" i="17" a="1"/>
  <c r="T95" i="17" s="1"/>
  <c r="T222" i="17" a="1"/>
  <c r="T222" i="17" s="1"/>
  <c r="T173" i="17" a="1"/>
  <c r="T173" i="17" s="1"/>
  <c r="T110" i="17" a="1"/>
  <c r="T110" i="17" s="1"/>
  <c r="T57" i="17" a="1"/>
  <c r="T57" i="17" s="1"/>
  <c r="T27" i="17" a="1"/>
  <c r="T27" i="17" s="1"/>
  <c r="T126" i="17" a="1"/>
  <c r="T126" i="17" s="1"/>
  <c r="T129" i="17" a="1"/>
  <c r="T129" i="17" s="1"/>
  <c r="T228" i="17" a="1"/>
  <c r="T228" i="17" s="1"/>
  <c r="T134" i="17" a="1"/>
  <c r="T134" i="17" s="1"/>
  <c r="T209" i="17" a="1"/>
  <c r="T209" i="17" s="1"/>
  <c r="T85" i="17" a="1"/>
  <c r="T85" i="17" s="1"/>
  <c r="T210" i="17" a="1"/>
  <c r="T210" i="17" s="1"/>
  <c r="T201" i="17" a="1"/>
  <c r="T201" i="17" s="1"/>
  <c r="U35" i="17" a="1"/>
  <c r="U35" i="17" s="1"/>
  <c r="U162" i="17" a="1"/>
  <c r="U162" i="17" s="1"/>
  <c r="U38" i="17" a="1"/>
  <c r="U38" i="17" s="1"/>
  <c r="N195" i="17" a="1"/>
  <c r="N195" i="17" s="1"/>
  <c r="N200" i="17" a="1"/>
  <c r="N200" i="17" s="1"/>
  <c r="N211" i="17" a="1"/>
  <c r="N211" i="17" s="1"/>
  <c r="O192" i="17" a="1"/>
  <c r="O192" i="17" s="1"/>
  <c r="Q192" i="17" s="1"/>
  <c r="W192" i="17" s="1"/>
  <c r="O101" i="17" a="1"/>
  <c r="O101" i="17" s="1"/>
  <c r="O46" i="17" a="1"/>
  <c r="O46" i="17" s="1"/>
  <c r="Q46" i="17" s="1"/>
  <c r="W46" i="17" s="1"/>
  <c r="O214" i="17" a="1"/>
  <c r="O214" i="17" s="1"/>
  <c r="O113" i="17" a="1"/>
  <c r="O113" i="17" s="1"/>
  <c r="Q113" i="17" s="1"/>
  <c r="W113" i="17" s="1"/>
  <c r="O57" i="17" a="1"/>
  <c r="O57" i="17" s="1"/>
  <c r="Q57" i="17" s="1"/>
  <c r="W57" i="17" s="1"/>
  <c r="O236" i="17" a="1"/>
  <c r="O236" i="17" s="1"/>
  <c r="O72" i="17" a="1"/>
  <c r="O72" i="17" s="1"/>
  <c r="O228" i="17" a="1"/>
  <c r="O228" i="17" s="1"/>
  <c r="O169" i="17" a="1"/>
  <c r="O169" i="17" s="1"/>
  <c r="Q169" i="17" s="1"/>
  <c r="W169" i="17" s="1"/>
  <c r="O85" i="17" a="1"/>
  <c r="O85" i="17" s="1"/>
  <c r="Q85" i="17" s="1"/>
  <c r="W85" i="17" s="1"/>
  <c r="O31" i="17" a="1"/>
  <c r="O31" i="17" s="1"/>
  <c r="Q31" i="17" s="1"/>
  <c r="W31" i="17" s="1"/>
  <c r="O181" i="17" a="1"/>
  <c r="O181" i="17" s="1"/>
  <c r="R36" i="17" a="1"/>
  <c r="R36" i="17" s="1"/>
  <c r="R232" i="17" a="1"/>
  <c r="R232" i="17" s="1"/>
  <c r="R102" i="17" a="1"/>
  <c r="R102" i="17" s="1"/>
  <c r="R47" i="17" a="1"/>
  <c r="R47" i="17" s="1"/>
  <c r="R204" i="17" a="1"/>
  <c r="R204" i="17" s="1"/>
  <c r="R111" i="17" a="1"/>
  <c r="R111" i="17" s="1"/>
  <c r="R26" i="17" a="1"/>
  <c r="R26" i="17" s="1"/>
  <c r="R166" i="17" a="1"/>
  <c r="R166" i="17" s="1"/>
  <c r="R65" i="17" a="1"/>
  <c r="R65" i="17" s="1"/>
  <c r="R129" i="17" a="1"/>
  <c r="R129" i="17" s="1"/>
  <c r="R138" i="17" a="1"/>
  <c r="R138" i="17" s="1"/>
  <c r="R80" i="17" a="1"/>
  <c r="R80" i="17" s="1"/>
  <c r="R201" i="17" a="1"/>
  <c r="R201" i="17" s="1"/>
  <c r="S13" i="17" a="1"/>
  <c r="S13" i="17" s="1"/>
  <c r="S24" i="17" a="1"/>
  <c r="S24" i="17" s="1"/>
  <c r="S50" i="17" a="1"/>
  <c r="S50" i="17" s="1"/>
  <c r="S175" i="17" a="1"/>
  <c r="S175" i="17" s="1"/>
  <c r="S57" i="17" a="1"/>
  <c r="S57" i="17" s="1"/>
  <c r="S127" i="17" a="1"/>
  <c r="S127" i="17" s="1"/>
  <c r="S130" i="17" a="1"/>
  <c r="S130" i="17" s="1"/>
  <c r="S218" i="17" a="1"/>
  <c r="S218" i="17" s="1"/>
  <c r="S77" i="17" a="1"/>
  <c r="S77" i="17" s="1"/>
  <c r="S181" i="17" a="1"/>
  <c r="S181" i="17" s="1"/>
  <c r="T43" i="17" a="1"/>
  <c r="T43" i="17" s="1"/>
  <c r="T183" i="17" a="1"/>
  <c r="T183" i="17" s="1"/>
  <c r="T45" i="17" a="1"/>
  <c r="T45" i="17" s="1"/>
  <c r="T108" i="17" a="1"/>
  <c r="T108" i="17" s="1"/>
  <c r="T234" i="17" a="1"/>
  <c r="T234" i="17" s="1"/>
  <c r="T111" i="17" a="1"/>
  <c r="T111" i="17" s="1"/>
  <c r="T195" i="17" a="1"/>
  <c r="T195" i="17" s="1"/>
  <c r="T58" i="17" a="1"/>
  <c r="T58" i="17" s="1"/>
  <c r="T8" i="17" a="1"/>
  <c r="T8" i="17" s="1"/>
  <c r="T130" i="17" a="1"/>
  <c r="T130" i="17" s="1"/>
  <c r="T140" i="17" a="1"/>
  <c r="T140" i="17" s="1"/>
  <c r="T91" i="17" a="1"/>
  <c r="T91" i="17" s="1"/>
  <c r="T211" i="17" a="1"/>
  <c r="T211" i="17" s="1"/>
  <c r="U39" i="17" a="1"/>
  <c r="U39" i="17" s="1"/>
  <c r="U103" i="17" a="1"/>
  <c r="U103" i="17" s="1"/>
  <c r="U14" i="17" a="1"/>
  <c r="U14" i="17" s="1"/>
  <c r="O114" i="17" a="1"/>
  <c r="O114" i="17" s="1"/>
  <c r="Q114" i="17" s="1"/>
  <c r="W114" i="17" s="1"/>
  <c r="R103" i="17" a="1"/>
  <c r="R103" i="17" s="1"/>
  <c r="R186" i="17" a="1"/>
  <c r="R186" i="17" s="1"/>
  <c r="R167" i="17" a="1"/>
  <c r="R167" i="17" s="1"/>
  <c r="R132" i="17" a="1"/>
  <c r="R132" i="17" s="1"/>
  <c r="R134" i="17" a="1"/>
  <c r="R134" i="17" s="1"/>
  <c r="R84" i="17" a="1"/>
  <c r="R84" i="17" s="1"/>
  <c r="R11" i="17" a="1"/>
  <c r="R11" i="17" s="1"/>
  <c r="S172" i="17" a="1"/>
  <c r="S172" i="17" s="1"/>
  <c r="S103" i="17" a="1"/>
  <c r="S103" i="17" s="1"/>
  <c r="S224" i="17" a="1"/>
  <c r="S224" i="17" s="1"/>
  <c r="S60" i="17" a="1"/>
  <c r="S60" i="17" s="1"/>
  <c r="S226" i="17" a="1"/>
  <c r="S226" i="17" s="1"/>
  <c r="S157" i="17" a="1"/>
  <c r="S157" i="17" s="1"/>
  <c r="S69" i="17" a="1"/>
  <c r="S69" i="17" s="1"/>
  <c r="S178" i="17" a="1"/>
  <c r="S178" i="17" s="1"/>
  <c r="O58" i="17" a="1"/>
  <c r="O58" i="17" s="1"/>
  <c r="R153" i="17" a="1"/>
  <c r="R153" i="17" s="1"/>
  <c r="R187" i="17" a="1"/>
  <c r="R187" i="17" s="1"/>
  <c r="R135" i="17" a="1"/>
  <c r="R135" i="17" s="1"/>
  <c r="R85" i="17" a="1"/>
  <c r="R85" i="17" s="1"/>
  <c r="R231" i="17" a="1"/>
  <c r="R231" i="17" s="1"/>
  <c r="S153" i="17" a="1"/>
  <c r="S153" i="17" s="1"/>
  <c r="S48" i="17" a="1"/>
  <c r="S48" i="17" s="1"/>
  <c r="S185" i="17" a="1"/>
  <c r="S185" i="17" s="1"/>
  <c r="S61" i="17" a="1"/>
  <c r="S61" i="17" s="1"/>
  <c r="S167" i="17" a="1"/>
  <c r="S167" i="17" s="1"/>
  <c r="S85" i="17" a="1"/>
  <c r="S85" i="17" s="1"/>
  <c r="S210" i="17" a="1"/>
  <c r="S210" i="17" s="1"/>
  <c r="S221" i="17" a="1"/>
  <c r="S221" i="17" s="1"/>
  <c r="T92" i="17" a="1"/>
  <c r="T92" i="17" s="1"/>
  <c r="T202" i="17" a="1"/>
  <c r="T202" i="17" s="1"/>
  <c r="T213" i="17" a="1"/>
  <c r="T213" i="17" s="1"/>
  <c r="T49" i="17" a="1"/>
  <c r="T49" i="17" s="1"/>
  <c r="T204" i="17" a="1"/>
  <c r="T204" i="17" s="1"/>
  <c r="T225" i="17" a="1"/>
  <c r="T225" i="17" s="1"/>
  <c r="T117" i="17" a="1"/>
  <c r="T117" i="17" s="1"/>
  <c r="T236" i="17" a="1"/>
  <c r="T236" i="17" s="1"/>
  <c r="T125" i="17" a="1"/>
  <c r="T125" i="17" s="1"/>
  <c r="T28" i="17" a="1"/>
  <c r="T28" i="17" s="1"/>
  <c r="T75" i="17" a="1"/>
  <c r="T75" i="17" s="1"/>
  <c r="T189" i="17" a="1"/>
  <c r="T189" i="17" s="1"/>
  <c r="T141" i="17" a="1"/>
  <c r="T141" i="17" s="1"/>
  <c r="T11" i="17" a="1"/>
  <c r="T11" i="17" s="1"/>
  <c r="U32" i="17" a="1"/>
  <c r="U32" i="17" s="1"/>
  <c r="U172" i="17" a="1"/>
  <c r="U172" i="17" s="1"/>
  <c r="U183" i="17" a="1"/>
  <c r="U183" i="17" s="1"/>
  <c r="U47" i="17" a="1"/>
  <c r="U47" i="17" s="1"/>
  <c r="U194" i="17" a="1"/>
  <c r="U194" i="17" s="1"/>
  <c r="R223" i="17" a="1"/>
  <c r="R223" i="17" s="1"/>
  <c r="R206" i="17" a="1"/>
  <c r="R206" i="17" s="1"/>
  <c r="R217" i="17" a="1"/>
  <c r="R217" i="17" s="1"/>
  <c r="R133" i="17" a="1"/>
  <c r="R133" i="17" s="1"/>
  <c r="R137" i="17" a="1"/>
  <c r="R137" i="17" s="1"/>
  <c r="R140" i="17" a="1"/>
  <c r="R140" i="17" s="1"/>
  <c r="R87" i="17" a="1"/>
  <c r="R87" i="17" s="1"/>
  <c r="S2" i="17" a="1"/>
  <c r="S2" i="17" s="1"/>
  <c r="S192" i="17" a="1"/>
  <c r="S192" i="17" s="1"/>
  <c r="S104" i="17" a="1"/>
  <c r="S104" i="17" s="1"/>
  <c r="S5" i="17" a="1"/>
  <c r="S5" i="17" s="1"/>
  <c r="S116" i="17" a="1"/>
  <c r="S116" i="17" s="1"/>
  <c r="S7" i="17" a="1"/>
  <c r="S7" i="17" s="1"/>
  <c r="S177" i="17" a="1"/>
  <c r="S177" i="17" s="1"/>
  <c r="S70" i="17" a="1"/>
  <c r="S70" i="17" s="1"/>
  <c r="S198" i="17" a="1"/>
  <c r="S198" i="17" s="1"/>
  <c r="O157" i="17" a="1"/>
  <c r="O157" i="17" s="1"/>
  <c r="R4" i="17" a="1"/>
  <c r="R4" i="17" s="1"/>
  <c r="R236" i="17" a="1"/>
  <c r="R236" i="17" s="1"/>
  <c r="R139" i="17" a="1"/>
  <c r="R139" i="17" s="1"/>
  <c r="S12" i="17" a="1"/>
  <c r="S12" i="17" s="1"/>
  <c r="S202" i="17" a="1"/>
  <c r="S202" i="17" s="1"/>
  <c r="S163" i="17" a="1"/>
  <c r="S163" i="17" s="1"/>
  <c r="S25" i="17" a="1"/>
  <c r="S25" i="17" s="1"/>
  <c r="S195" i="17" a="1"/>
  <c r="S195" i="17" s="1"/>
  <c r="S187" i="17" a="1"/>
  <c r="S187" i="17" s="1"/>
  <c r="S208" i="17" a="1"/>
  <c r="S208" i="17" s="1"/>
  <c r="S134" i="17" a="1"/>
  <c r="S134" i="17" s="1"/>
  <c r="S219" i="17" a="1"/>
  <c r="S219" i="17" s="1"/>
  <c r="S240" i="17" a="1"/>
  <c r="S240" i="17" s="1"/>
  <c r="T93" i="17" a="1"/>
  <c r="T93" i="17" s="1"/>
  <c r="T232" i="17" a="1"/>
  <c r="T232" i="17" s="1"/>
  <c r="O73" i="17" a="1"/>
  <c r="O73" i="17" s="1"/>
  <c r="Q73" i="17" s="1"/>
  <c r="W73" i="17" s="1"/>
  <c r="R48" i="17" a="1"/>
  <c r="R48" i="17" s="1"/>
  <c r="R185" i="17" a="1"/>
  <c r="R185" i="17" s="1"/>
  <c r="R7" i="17" a="1"/>
  <c r="R7" i="17" s="1"/>
  <c r="R178" i="17" a="1"/>
  <c r="R178" i="17" s="1"/>
  <c r="R159" i="17" a="1"/>
  <c r="R159" i="17" s="1"/>
  <c r="R141" i="17" a="1"/>
  <c r="R141" i="17" s="1"/>
  <c r="S22" i="17" a="1"/>
  <c r="S22" i="17" s="1"/>
  <c r="S222" i="17" a="1"/>
  <c r="S222" i="17" s="1"/>
  <c r="S173" i="17" a="1"/>
  <c r="S173" i="17" s="1"/>
  <c r="S105" i="17" a="1"/>
  <c r="S105" i="17" s="1"/>
  <c r="S51" i="17" a="1"/>
  <c r="S51" i="17" s="1"/>
  <c r="S205" i="17" a="1"/>
  <c r="S205" i="17" s="1"/>
  <c r="S117" i="17" a="1"/>
  <c r="S117" i="17" s="1"/>
  <c r="S62" i="17" a="1"/>
  <c r="S62" i="17" s="1"/>
  <c r="S71" i="17" a="1"/>
  <c r="S71" i="17" s="1"/>
  <c r="O9" i="17" a="1"/>
  <c r="O9" i="17" s="1"/>
  <c r="Q9" i="17" s="1"/>
  <c r="W9" i="17" s="1"/>
  <c r="R195" i="17" a="1"/>
  <c r="R195" i="17" s="1"/>
  <c r="R208" i="17" a="1"/>
  <c r="R208" i="17" s="1"/>
  <c r="R189" i="17" a="1"/>
  <c r="R189" i="17" s="1"/>
  <c r="R142" i="17" a="1"/>
  <c r="R142" i="17" s="1"/>
  <c r="R91" i="17" a="1"/>
  <c r="R91" i="17" s="1"/>
  <c r="S32" i="17" a="1"/>
  <c r="S32" i="17" s="1"/>
  <c r="S23" i="17" a="1"/>
  <c r="S23" i="17" s="1"/>
  <c r="S106" i="17" a="1"/>
  <c r="S106" i="17" s="1"/>
  <c r="S52" i="17" a="1"/>
  <c r="S52" i="17" s="1"/>
  <c r="S63" i="17" a="1"/>
  <c r="S63" i="17" s="1"/>
  <c r="S197" i="17" a="1"/>
  <c r="S197" i="17" s="1"/>
  <c r="S228" i="17" a="1"/>
  <c r="S228" i="17" s="1"/>
  <c r="S135" i="17" a="1"/>
  <c r="S135" i="17" s="1"/>
  <c r="S143" i="17" a="1"/>
  <c r="S143" i="17" s="1"/>
  <c r="S11" i="17" a="1"/>
  <c r="S11" i="17" s="1"/>
  <c r="R8" i="17" a="1"/>
  <c r="R8" i="17" s="1"/>
  <c r="R218" i="17" a="1"/>
  <c r="R218" i="17" s="1"/>
  <c r="R199" i="17" a="1"/>
  <c r="R199" i="17" s="1"/>
  <c r="R147" i="17" a="1"/>
  <c r="R147" i="17" s="1"/>
  <c r="S183" i="17" a="1"/>
  <c r="S183" i="17" s="1"/>
  <c r="S107" i="17" a="1"/>
  <c r="S107" i="17" s="1"/>
  <c r="S53" i="17" a="1"/>
  <c r="S53" i="17" s="1"/>
  <c r="S215" i="17" a="1"/>
  <c r="S215" i="17" s="1"/>
  <c r="S119" i="17" a="1"/>
  <c r="S119" i="17" s="1"/>
  <c r="S73" i="17" a="1"/>
  <c r="S73" i="17" s="1"/>
  <c r="S144" i="17" a="1"/>
  <c r="S144" i="17" s="1"/>
  <c r="S21" i="17" a="1"/>
  <c r="S21" i="17" s="1"/>
  <c r="S149" i="17" a="1"/>
  <c r="S149" i="17" s="1"/>
  <c r="T12" i="17" a="1"/>
  <c r="T12" i="17" s="1"/>
  <c r="T96" i="17" a="1"/>
  <c r="T96" i="17" s="1"/>
  <c r="T13" i="17" a="1"/>
  <c r="T13" i="17" s="1"/>
  <c r="R106" i="17" a="1"/>
  <c r="R106" i="17" s="1"/>
  <c r="R56" i="17" a="1"/>
  <c r="R56" i="17" s="1"/>
  <c r="R62" i="17" a="1"/>
  <c r="R62" i="17" s="1"/>
  <c r="R18" i="17" a="1"/>
  <c r="R18" i="17" s="1"/>
  <c r="R144" i="17" a="1"/>
  <c r="R144" i="17" s="1"/>
  <c r="S34" i="17" a="1"/>
  <c r="S34" i="17" s="1"/>
  <c r="S225" i="17" a="1"/>
  <c r="S225" i="17" s="1"/>
  <c r="S64" i="17" a="1"/>
  <c r="S64" i="17" s="1"/>
  <c r="S207" i="17" a="1"/>
  <c r="S207" i="17" s="1"/>
  <c r="S129" i="17" a="1"/>
  <c r="S129" i="17" s="1"/>
  <c r="S238" i="17" a="1"/>
  <c r="S238" i="17" s="1"/>
  <c r="S136" i="17" a="1"/>
  <c r="S136" i="17" s="1"/>
  <c r="S20" i="17" a="1"/>
  <c r="S20" i="17" s="1"/>
  <c r="S145" i="17" a="1"/>
  <c r="S145" i="17" s="1"/>
  <c r="S31" i="17" a="1"/>
  <c r="S31" i="17" s="1"/>
  <c r="T97" i="17" a="1"/>
  <c r="T97" i="17" s="1"/>
  <c r="O86" i="17" a="1"/>
  <c r="O86" i="17" s="1"/>
  <c r="Q86" i="17" s="1"/>
  <c r="W86" i="17" s="1"/>
  <c r="R164" i="17" a="1"/>
  <c r="R164" i="17" s="1"/>
  <c r="R28" i="17" a="1"/>
  <c r="R28" i="17" s="1"/>
  <c r="R9" i="17" a="1"/>
  <c r="R9" i="17" s="1"/>
  <c r="R209" i="17" a="1"/>
  <c r="R209" i="17" s="1"/>
  <c r="R170" i="17" a="1"/>
  <c r="R170" i="17" s="1"/>
  <c r="R148" i="17" a="1"/>
  <c r="R148" i="17" s="1"/>
  <c r="S35" i="17" a="1"/>
  <c r="S35" i="17" s="1"/>
  <c r="S39" i="17" a="1"/>
  <c r="S39" i="17" s="1"/>
  <c r="S213" i="17" a="1"/>
  <c r="S213" i="17" s="1"/>
  <c r="S166" i="17" a="1"/>
  <c r="S166" i="17" s="1"/>
  <c r="S65" i="17" a="1"/>
  <c r="S65" i="17" s="1"/>
  <c r="S217" i="17" a="1"/>
  <c r="S217" i="17" s="1"/>
  <c r="S80" i="17" a="1"/>
  <c r="S80" i="17" s="1"/>
  <c r="S150" i="17" a="1"/>
  <c r="S150" i="17" s="1"/>
  <c r="T23" i="17" a="1"/>
  <c r="T23" i="17" s="1"/>
  <c r="T102" i="17" a="1"/>
  <c r="T102" i="17" s="1"/>
  <c r="T24" i="17" a="1"/>
  <c r="T24" i="17" s="1"/>
  <c r="T26" i="17" a="1"/>
  <c r="T26" i="17" s="1"/>
  <c r="T166" i="17" a="1"/>
  <c r="T166" i="17" s="1"/>
  <c r="T64" i="17" a="1"/>
  <c r="T64" i="17" s="1"/>
  <c r="T187" i="17" a="1"/>
  <c r="T187" i="17" s="1"/>
  <c r="T72" i="17" a="1"/>
  <c r="T72" i="17" s="1"/>
  <c r="T136" i="17" a="1"/>
  <c r="T136" i="17" s="1"/>
  <c r="T20" i="17" a="1"/>
  <c r="T20" i="17" s="1"/>
  <c r="T170" i="17" a="1"/>
  <c r="T170" i="17" s="1"/>
  <c r="T89" i="17" a="1"/>
  <c r="T89" i="17" s="1"/>
  <c r="T221" i="17" a="1"/>
  <c r="T221" i="17" s="1"/>
  <c r="U93" i="17" a="1"/>
  <c r="U93" i="17" s="1"/>
  <c r="U222" i="17" a="1"/>
  <c r="U222" i="17" s="1"/>
  <c r="U100" i="17" a="1"/>
  <c r="U100" i="17" s="1"/>
  <c r="U108" i="17" a="1"/>
  <c r="U108" i="17" s="1"/>
  <c r="O191" i="17" a="1"/>
  <c r="O191" i="17" s="1"/>
  <c r="Q191" i="17" s="1"/>
  <c r="W191" i="17" s="1"/>
  <c r="R214" i="17" a="1"/>
  <c r="R214" i="17" s="1"/>
  <c r="R19" i="17" a="1"/>
  <c r="R19" i="17" s="1"/>
  <c r="R219" i="17" a="1"/>
  <c r="R219" i="17" s="1"/>
  <c r="R190" i="17" a="1"/>
  <c r="R190" i="17" s="1"/>
  <c r="R149" i="17" a="1"/>
  <c r="R149" i="17" s="1"/>
  <c r="S37" i="17" a="1"/>
  <c r="S37" i="17" s="1"/>
  <c r="S223" i="17" a="1"/>
  <c r="S223" i="17" s="1"/>
  <c r="S6" i="17" a="1"/>
  <c r="S6" i="17" s="1"/>
  <c r="S176" i="17" a="1"/>
  <c r="S176" i="17" s="1"/>
  <c r="S227" i="17" a="1"/>
  <c r="S227" i="17" s="1"/>
  <c r="S131" i="17" a="1"/>
  <c r="S131" i="17" s="1"/>
  <c r="S9" i="17" a="1"/>
  <c r="S9" i="17" s="1"/>
  <c r="S138" i="17" a="1"/>
  <c r="S138" i="17" s="1"/>
  <c r="S86" i="17" a="1"/>
  <c r="S86" i="17" s="1"/>
  <c r="S151" i="17" a="1"/>
  <c r="S151" i="17" s="1"/>
  <c r="N210" i="17" a="1"/>
  <c r="N210" i="17" s="1"/>
  <c r="R224" i="17" a="1"/>
  <c r="R224" i="17" s="1"/>
  <c r="R60" i="17" a="1"/>
  <c r="R60" i="17" s="1"/>
  <c r="R123" i="17" a="1"/>
  <c r="R123" i="17" s="1"/>
  <c r="R69" i="17" a="1"/>
  <c r="R69" i="17" s="1"/>
  <c r="R29" i="17" a="1"/>
  <c r="R29" i="17" s="1"/>
  <c r="R229" i="17" a="1"/>
  <c r="R229" i="17" s="1"/>
  <c r="R151" i="17" a="1"/>
  <c r="R151" i="17" s="1"/>
  <c r="S40" i="17" a="1"/>
  <c r="S40" i="17" s="1"/>
  <c r="S174" i="17" a="1"/>
  <c r="S174" i="17" s="1"/>
  <c r="S55" i="17" a="1"/>
  <c r="S55" i="17" s="1"/>
  <c r="S16" i="17" a="1"/>
  <c r="S16" i="17" s="1"/>
  <c r="S186" i="17" a="1"/>
  <c r="S186" i="17" s="1"/>
  <c r="S132" i="17" a="1"/>
  <c r="S132" i="17" s="1"/>
  <c r="S19" i="17" a="1"/>
  <c r="S19" i="17" s="1"/>
  <c r="S81" i="17" a="1"/>
  <c r="S81" i="17" s="1"/>
  <c r="R5" i="17" a="1"/>
  <c r="R5" i="17" s="1"/>
  <c r="R124" i="17" a="1"/>
  <c r="R124" i="17" s="1"/>
  <c r="R210" i="17" a="1"/>
  <c r="R210" i="17" s="1"/>
  <c r="R161" i="17" a="1"/>
  <c r="R161" i="17" s="1"/>
  <c r="S95" i="17" a="1"/>
  <c r="S95" i="17" s="1"/>
  <c r="S41" i="17" a="1"/>
  <c r="S41" i="17" s="1"/>
  <c r="S4" i="17" a="1"/>
  <c r="S4" i="17" s="1"/>
  <c r="S110" i="17" a="1"/>
  <c r="S110" i="17" s="1"/>
  <c r="S26" i="17" a="1"/>
  <c r="S26" i="17" s="1"/>
  <c r="S67" i="17" a="1"/>
  <c r="S67" i="17" s="1"/>
  <c r="S8" i="17" a="1"/>
  <c r="S8" i="17" s="1"/>
  <c r="S133" i="17" a="1"/>
  <c r="S133" i="17" s="1"/>
  <c r="S170" i="17" a="1"/>
  <c r="S170" i="17" s="1"/>
  <c r="S87" i="17" a="1"/>
  <c r="S87" i="17" s="1"/>
  <c r="T162" i="17" a="1"/>
  <c r="T162" i="17" s="1"/>
  <c r="T153" i="17" a="1"/>
  <c r="T153" i="17" s="1"/>
  <c r="T46" i="17" a="1"/>
  <c r="T46" i="17" s="1"/>
  <c r="T174" i="17" a="1"/>
  <c r="T174" i="17" s="1"/>
  <c r="T51" i="17" a="1"/>
  <c r="T51" i="17" s="1"/>
  <c r="T165" i="17" a="1"/>
  <c r="T165" i="17" s="1"/>
  <c r="T186" i="17" a="1"/>
  <c r="T186" i="17" s="1"/>
  <c r="T207" i="17" a="1"/>
  <c r="T207" i="17" s="1"/>
  <c r="T9" i="17" a="1"/>
  <c r="T9" i="17" s="1"/>
  <c r="T139" i="17" a="1"/>
  <c r="T139" i="17" s="1"/>
  <c r="T80" i="17" a="1"/>
  <c r="T80" i="17" s="1"/>
  <c r="T190" i="17" a="1"/>
  <c r="T190" i="17" s="1"/>
  <c r="T146" i="17" a="1"/>
  <c r="T146" i="17" s="1"/>
  <c r="U95" i="17" a="1"/>
  <c r="U95" i="17" s="1"/>
  <c r="U3" i="17" a="1"/>
  <c r="U3" i="17" s="1"/>
  <c r="U24" i="17" a="1"/>
  <c r="U24" i="17" s="1"/>
  <c r="U25" i="17" a="1"/>
  <c r="U25" i="17" s="1"/>
  <c r="U114" i="17" a="1"/>
  <c r="U114" i="17" s="1"/>
  <c r="U26" i="17" a="1"/>
  <c r="U26" i="17" s="1"/>
  <c r="U121" i="17" a="1"/>
  <c r="U121" i="17" s="1"/>
  <c r="U123" i="17" a="1"/>
  <c r="U123" i="17" s="1"/>
  <c r="U227" i="17" a="1"/>
  <c r="U227" i="17" s="1"/>
  <c r="U128" i="17" a="1"/>
  <c r="U128" i="17" s="1"/>
  <c r="U198" i="17" a="1"/>
  <c r="U198" i="17" s="1"/>
  <c r="U189" i="17" a="1"/>
  <c r="U189" i="17" s="1"/>
  <c r="U82" i="17" a="1"/>
  <c r="U82" i="17" s="1"/>
  <c r="U149" i="17" a="1"/>
  <c r="U149" i="17" s="1"/>
  <c r="V93" i="17" a="1"/>
  <c r="V93" i="17" s="1"/>
  <c r="V212" i="17" a="1"/>
  <c r="V212" i="17" s="1"/>
  <c r="V42" i="17" a="1"/>
  <c r="V42" i="17" s="1"/>
  <c r="V183" i="17" a="1"/>
  <c r="V183" i="17" s="1"/>
  <c r="V45" i="17" a="1"/>
  <c r="V45" i="17" s="1"/>
  <c r="V164" i="17" a="1"/>
  <c r="V164" i="17" s="1"/>
  <c r="V51" i="17" a="1"/>
  <c r="V51" i="17" s="1"/>
  <c r="V117" i="17" a="1"/>
  <c r="V117" i="17" s="1"/>
  <c r="V226" i="17" a="1"/>
  <c r="V226" i="17" s="1"/>
  <c r="V122" i="17" a="1"/>
  <c r="V122" i="17" s="1"/>
  <c r="V197" i="17" a="1"/>
  <c r="V197" i="17" s="1"/>
  <c r="V70" i="17" a="1"/>
  <c r="V70" i="17" s="1"/>
  <c r="V168" i="17" a="1"/>
  <c r="V168" i="17" s="1"/>
  <c r="V138" i="17" a="1"/>
  <c r="V138" i="17" s="1"/>
  <c r="V20" i="17" a="1"/>
  <c r="V20" i="17" s="1"/>
  <c r="V143" i="17" a="1"/>
  <c r="V143" i="17" s="1"/>
  <c r="V11" i="17" a="1"/>
  <c r="V11" i="17" s="1"/>
  <c r="V231" i="17" a="1"/>
  <c r="V231" i="17" s="1"/>
  <c r="X34" i="17" a="1"/>
  <c r="X34" i="17" s="1"/>
  <c r="Y34" i="17" s="1"/>
  <c r="Q34" i="17" s="1"/>
  <c r="W34" i="17" s="1"/>
  <c r="X38" i="17" a="1"/>
  <c r="X38" i="17" s="1"/>
  <c r="Y38" i="17" s="1"/>
  <c r="R92" i="17" a="1"/>
  <c r="R92" i="17" s="1"/>
  <c r="R50" i="17" a="1"/>
  <c r="R50" i="17" s="1"/>
  <c r="R61" i="17" a="1"/>
  <c r="R61" i="17" s="1"/>
  <c r="R128" i="17" a="1"/>
  <c r="R128" i="17" s="1"/>
  <c r="R75" i="17" a="1"/>
  <c r="R75" i="17" s="1"/>
  <c r="R220" i="17" a="1"/>
  <c r="R220" i="17" s="1"/>
  <c r="R171" i="17" a="1"/>
  <c r="R171" i="17" s="1"/>
  <c r="S97" i="17" a="1"/>
  <c r="S97" i="17" s="1"/>
  <c r="S42" i="17" a="1"/>
  <c r="S42" i="17" s="1"/>
  <c r="S44" i="17" a="1"/>
  <c r="S44" i="17" s="1"/>
  <c r="S194" i="17" a="1"/>
  <c r="S194" i="17" s="1"/>
  <c r="S111" i="17" a="1"/>
  <c r="S111" i="17" s="1"/>
  <c r="S58" i="17" a="1"/>
  <c r="S58" i="17" s="1"/>
  <c r="S196" i="17" a="1"/>
  <c r="S196" i="17" s="1"/>
  <c r="S122" i="17" a="1"/>
  <c r="S122" i="17" s="1"/>
  <c r="S28" i="17" a="1"/>
  <c r="S28" i="17" s="1"/>
  <c r="S29" i="17" a="1"/>
  <c r="S29" i="17" s="1"/>
  <c r="O102" i="17" a="1"/>
  <c r="O102" i="17" s="1"/>
  <c r="Q102" i="17" s="1"/>
  <c r="W102" i="17" s="1"/>
  <c r="R3" i="17" a="1"/>
  <c r="R3" i="17" s="1"/>
  <c r="R51" i="17" a="1"/>
  <c r="R51" i="17" s="1"/>
  <c r="R118" i="17" a="1"/>
  <c r="R118" i="17" s="1"/>
  <c r="R126" i="17" a="1"/>
  <c r="R126" i="17" s="1"/>
  <c r="R130" i="17" a="1"/>
  <c r="R130" i="17" s="1"/>
  <c r="R77" i="17" a="1"/>
  <c r="R77" i="17" s="1"/>
  <c r="R20" i="17" a="1"/>
  <c r="R20" i="17" s="1"/>
  <c r="R230" i="17" a="1"/>
  <c r="R230" i="17" s="1"/>
  <c r="R181" i="17" a="1"/>
  <c r="R181" i="17" s="1"/>
  <c r="S98" i="17" a="1"/>
  <c r="S98" i="17" s="1"/>
  <c r="S204" i="17" a="1"/>
  <c r="S204" i="17" s="1"/>
  <c r="S113" i="17" a="1"/>
  <c r="S113" i="17" s="1"/>
  <c r="S124" i="17" a="1"/>
  <c r="S124" i="17" s="1"/>
  <c r="S74" i="17" a="1"/>
  <c r="S74" i="17" s="1"/>
  <c r="S179" i="17" a="1"/>
  <c r="S179" i="17" s="1"/>
  <c r="S83" i="17" a="1"/>
  <c r="S83" i="17" s="1"/>
  <c r="S88" i="17" a="1"/>
  <c r="S88" i="17" s="1"/>
  <c r="T182" i="17" a="1"/>
  <c r="T182" i="17" s="1"/>
  <c r="T40" i="17" a="1"/>
  <c r="T40" i="17" s="1"/>
  <c r="T47" i="17" a="1"/>
  <c r="T47" i="17" s="1"/>
  <c r="T184" i="17" a="1"/>
  <c r="T184" i="17" s="1"/>
  <c r="T185" i="17" a="1"/>
  <c r="T185" i="17" s="1"/>
  <c r="T60" i="17" a="1"/>
  <c r="T60" i="17" s="1"/>
  <c r="T196" i="17" a="1"/>
  <c r="T196" i="17" s="1"/>
  <c r="T67" i="17" a="1"/>
  <c r="T67" i="17" s="1"/>
  <c r="T227" i="17" a="1"/>
  <c r="T227" i="17" s="1"/>
  <c r="T132" i="17" a="1"/>
  <c r="T132" i="17" s="1"/>
  <c r="T82" i="17" a="1"/>
  <c r="T82" i="17" s="1"/>
  <c r="T220" i="17" a="1"/>
  <c r="T220" i="17" s="1"/>
  <c r="T147" i="17" a="1"/>
  <c r="T147" i="17" s="1"/>
  <c r="U96" i="17" a="1"/>
  <c r="U96" i="17" s="1"/>
  <c r="U44" i="17" a="1"/>
  <c r="U44" i="17" s="1"/>
  <c r="U50" i="17" a="1"/>
  <c r="U50" i="17" s="1"/>
  <c r="U56" i="17" a="1"/>
  <c r="U56" i="17" s="1"/>
  <c r="U124" i="17" a="1"/>
  <c r="U124" i="17" s="1"/>
  <c r="U8" i="17" a="1"/>
  <c r="U8" i="17" s="1"/>
  <c r="U218" i="17" a="1"/>
  <c r="U218" i="17" s="1"/>
  <c r="U209" i="17" a="1"/>
  <c r="U209" i="17" s="1"/>
  <c r="U83" i="17" a="1"/>
  <c r="U83" i="17" s="1"/>
  <c r="U87" i="17" a="1"/>
  <c r="U87" i="17" s="1"/>
  <c r="U150" i="17" a="1"/>
  <c r="U150" i="17" s="1"/>
  <c r="V2" i="17" a="1"/>
  <c r="V2" i="17" s="1"/>
  <c r="V94" i="17" a="1"/>
  <c r="V94" i="17" s="1"/>
  <c r="V43" i="17" a="1"/>
  <c r="V43" i="17" s="1"/>
  <c r="V203" i="17" a="1"/>
  <c r="V203" i="17" s="1"/>
  <c r="V46" i="17" a="1"/>
  <c r="V46" i="17" s="1"/>
  <c r="V174" i="17" a="1"/>
  <c r="V174" i="17" s="1"/>
  <c r="V52" i="17" a="1"/>
  <c r="V52" i="17" s="1"/>
  <c r="V6" i="17" a="1"/>
  <c r="V6" i="17" s="1"/>
  <c r="V119" i="17" a="1"/>
  <c r="V119" i="17" s="1"/>
  <c r="V7" i="17" a="1"/>
  <c r="V7" i="17" s="1"/>
  <c r="V123" i="17" a="1"/>
  <c r="V123" i="17" s="1"/>
  <c r="V71" i="17" a="1"/>
  <c r="V71" i="17" s="1"/>
  <c r="V178" i="17" a="1"/>
  <c r="V178" i="17" s="1"/>
  <c r="V75" i="17" a="1"/>
  <c r="V75" i="17" s="1"/>
  <c r="V159" i="17" a="1"/>
  <c r="V159" i="17" s="1"/>
  <c r="V30" i="17" a="1"/>
  <c r="V30" i="17" s="1"/>
  <c r="V144" i="17" a="1"/>
  <c r="V144" i="17" s="1"/>
  <c r="O47" i="17" a="1"/>
  <c r="O47" i="17" s="1"/>
  <c r="Q47" i="17" s="1"/>
  <c r="W47" i="17" s="1"/>
  <c r="R13" i="17" a="1"/>
  <c r="R13" i="17" s="1"/>
  <c r="R53" i="17" a="1"/>
  <c r="R53" i="17" s="1"/>
  <c r="R119" i="17" a="1"/>
  <c r="R119" i="17" s="1"/>
  <c r="R127" i="17" a="1"/>
  <c r="R127" i="17" s="1"/>
  <c r="R82" i="17" a="1"/>
  <c r="R82" i="17" s="1"/>
  <c r="R191" i="17" a="1"/>
  <c r="R191" i="17" s="1"/>
  <c r="S45" i="17" a="1"/>
  <c r="S45" i="17" s="1"/>
  <c r="S114" i="17" a="1"/>
  <c r="S114" i="17" s="1"/>
  <c r="S59" i="17" a="1"/>
  <c r="S59" i="17" s="1"/>
  <c r="S206" i="17" a="1"/>
  <c r="S206" i="17" s="1"/>
  <c r="S68" i="17" a="1"/>
  <c r="S68" i="17" s="1"/>
  <c r="S189" i="17" a="1"/>
  <c r="S189" i="17" s="1"/>
  <c r="S190" i="17" a="1"/>
  <c r="S190" i="17" s="1"/>
  <c r="S201" i="17" a="1"/>
  <c r="S201" i="17" s="1"/>
  <c r="T36" i="17" a="1"/>
  <c r="T36" i="17" s="1"/>
  <c r="T193" i="17" a="1"/>
  <c r="T193" i="17" s="1"/>
  <c r="T53" i="17" a="1"/>
  <c r="T53" i="17" s="1"/>
  <c r="T206" i="17" a="1"/>
  <c r="T206" i="17" s="1"/>
  <c r="T122" i="17" a="1"/>
  <c r="T122" i="17" s="1"/>
  <c r="T29" i="17" a="1"/>
  <c r="T29" i="17" s="1"/>
  <c r="T169" i="17" a="1"/>
  <c r="T169" i="17" s="1"/>
  <c r="T230" i="17" a="1"/>
  <c r="T230" i="17" s="1"/>
  <c r="T148" i="17" a="1"/>
  <c r="T148" i="17" s="1"/>
  <c r="U12" i="17" a="1"/>
  <c r="U12" i="17" s="1"/>
  <c r="U163" i="17" a="1"/>
  <c r="U163" i="17" s="1"/>
  <c r="U45" i="17" a="1"/>
  <c r="U45" i="17" s="1"/>
  <c r="U174" i="17" a="1"/>
  <c r="U174" i="17" s="1"/>
  <c r="U51" i="17" a="1"/>
  <c r="U51" i="17" s="1"/>
  <c r="U155" i="17" a="1"/>
  <c r="U155" i="17" s="1"/>
  <c r="U57" i="17" a="1"/>
  <c r="U57" i="17" s="1"/>
  <c r="U27" i="17" a="1"/>
  <c r="U27" i="17" s="1"/>
  <c r="U126" i="17" a="1"/>
  <c r="U126" i="17" s="1"/>
  <c r="U130" i="17" a="1"/>
  <c r="U130" i="17" s="1"/>
  <c r="U228" i="17" a="1"/>
  <c r="U228" i="17" s="1"/>
  <c r="U134" i="17" a="1"/>
  <c r="U134" i="17" s="1"/>
  <c r="U84" i="17" a="1"/>
  <c r="U84" i="17" s="1"/>
  <c r="U180" i="17" a="1"/>
  <c r="U180" i="17" s="1"/>
  <c r="U151" i="17" a="1"/>
  <c r="U151" i="17" s="1"/>
  <c r="V12" i="17" a="1"/>
  <c r="V12" i="17" s="1"/>
  <c r="V95" i="17" a="1"/>
  <c r="V95" i="17" s="1"/>
  <c r="V232" i="17" a="1"/>
  <c r="V232" i="17" s="1"/>
  <c r="V47" i="17" a="1"/>
  <c r="V47" i="17" s="1"/>
  <c r="V155" i="17" a="1"/>
  <c r="V155" i="17" s="1"/>
  <c r="V120" i="17" a="1"/>
  <c r="V120" i="17" s="1"/>
  <c r="V217" i="17" a="1"/>
  <c r="V217" i="17" s="1"/>
  <c r="V76" i="17" a="1"/>
  <c r="V76" i="17" s="1"/>
  <c r="V145" i="17" a="1"/>
  <c r="V145" i="17" s="1"/>
  <c r="V31" i="17" a="1"/>
  <c r="V31" i="17" s="1"/>
  <c r="V150" i="17" a="1"/>
  <c r="V150" i="17" s="1"/>
  <c r="X172" i="17" a="1"/>
  <c r="X172" i="17" s="1"/>
  <c r="Y172" i="17" s="1"/>
  <c r="Q172" i="17" s="1"/>
  <c r="W172" i="17" s="1"/>
  <c r="X40" i="17" a="1"/>
  <c r="X40" i="17" s="1"/>
  <c r="Y40" i="17" s="1"/>
  <c r="X153" i="17" a="1"/>
  <c r="X153" i="17" s="1"/>
  <c r="Y153" i="17" s="1"/>
  <c r="Q153" i="17" s="1"/>
  <c r="W153" i="17" s="1"/>
  <c r="X107" i="17" a="1"/>
  <c r="X107" i="17" s="1"/>
  <c r="Y107" i="17" s="1"/>
  <c r="Q107" i="17" s="1"/>
  <c r="W107" i="17" s="1"/>
  <c r="X55" i="17" a="1"/>
  <c r="X55" i="17" s="1"/>
  <c r="Y55" i="17" s="1"/>
  <c r="Q55" i="17" s="1"/>
  <c r="W55" i="17" s="1"/>
  <c r="X185" i="17" a="1"/>
  <c r="X185" i="17" s="1"/>
  <c r="Y185" i="17" s="1"/>
  <c r="Q185" i="17" s="1"/>
  <c r="W185" i="17" s="1"/>
  <c r="X27" i="17" a="1"/>
  <c r="X27" i="17" s="1"/>
  <c r="Y27" i="17" s="1"/>
  <c r="X126" i="17" a="1"/>
  <c r="X126" i="17" s="1"/>
  <c r="Y126" i="17" s="1"/>
  <c r="Q126" i="17" s="1"/>
  <c r="W126" i="17" s="1"/>
  <c r="X130" i="17" a="1"/>
  <c r="X130" i="17" s="1"/>
  <c r="Y130" i="17" s="1"/>
  <c r="O152" i="17" a="1"/>
  <c r="O152" i="17" s="1"/>
  <c r="N152" i="17" a="1"/>
  <c r="N152" i="17" s="1"/>
  <c r="R152" i="17" a="1"/>
  <c r="R152" i="17" s="1"/>
  <c r="U152" i="17" a="1"/>
  <c r="U152" i="17" s="1"/>
  <c r="X152" i="17" a="1"/>
  <c r="X152" i="17" s="1"/>
  <c r="Y152" i="17" s="1"/>
  <c r="Q152" i="17" s="1"/>
  <c r="W152" i="17" s="1"/>
  <c r="S152" i="17" a="1"/>
  <c r="S152" i="17" s="1"/>
  <c r="X89" i="17" a="1"/>
  <c r="X89" i="17" s="1"/>
  <c r="Y89" i="17" s="1"/>
  <c r="Q89" i="17" s="1"/>
  <c r="W89" i="17" s="1"/>
  <c r="X141" i="17" a="1"/>
  <c r="X141" i="17" s="1"/>
  <c r="Y141" i="17" s="1"/>
  <c r="Q141" i="17" s="1"/>
  <c r="W141" i="17" s="1"/>
  <c r="X168" i="17" a="1"/>
  <c r="X168" i="17" s="1"/>
  <c r="Y168" i="17" s="1"/>
  <c r="Q168" i="17" s="1"/>
  <c r="W168" i="17" s="1"/>
  <c r="X69" i="17" a="1"/>
  <c r="X69" i="17" s="1"/>
  <c r="Y69" i="17" s="1"/>
  <c r="Q69" i="17" s="1"/>
  <c r="W69" i="17" s="1"/>
  <c r="X167" i="17" a="1"/>
  <c r="X167" i="17" s="1"/>
  <c r="Y167" i="17" s="1"/>
  <c r="X59" i="17" a="1"/>
  <c r="X59" i="17" s="1"/>
  <c r="Y59" i="17" s="1"/>
  <c r="Q59" i="17" s="1"/>
  <c r="W59" i="17" s="1"/>
  <c r="X214" i="17" a="1"/>
  <c r="X214" i="17" s="1"/>
  <c r="Y214" i="17" s="1"/>
  <c r="Q214" i="17" s="1"/>
  <c r="W214" i="17" s="1"/>
  <c r="X105" i="17" a="1"/>
  <c r="X105" i="17" s="1"/>
  <c r="Y105" i="17" s="1"/>
  <c r="Q105" i="17" s="1"/>
  <c r="W105" i="17" s="1"/>
  <c r="X233" i="17" a="1"/>
  <c r="X233" i="17" s="1"/>
  <c r="Y233" i="17" s="1"/>
  <c r="Q233" i="17" s="1"/>
  <c r="W233" i="17" s="1"/>
  <c r="X101" i="17" a="1"/>
  <c r="X101" i="17" s="1"/>
  <c r="Y101" i="17" s="1"/>
  <c r="Q101" i="17" s="1"/>
  <c r="W101" i="17" s="1"/>
  <c r="X3" i="17" a="1"/>
  <c r="X3" i="17" s="1"/>
  <c r="Y3" i="17" s="1"/>
  <c r="Q3" i="17" s="1"/>
  <c r="W3" i="17" s="1"/>
  <c r="X94" i="17" a="1"/>
  <c r="X94" i="17" s="1"/>
  <c r="Y94" i="17" s="1"/>
  <c r="Q94" i="17" s="1"/>
  <c r="W94" i="17" s="1"/>
  <c r="V151" i="17" a="1"/>
  <c r="V151" i="17" s="1"/>
  <c r="V21" i="17" a="1"/>
  <c r="V21" i="17" s="1"/>
  <c r="V140" i="17" a="1"/>
  <c r="V140" i="17" s="1"/>
  <c r="V79" i="17" a="1"/>
  <c r="V79" i="17" s="1"/>
  <c r="V188" i="17" a="1"/>
  <c r="V188" i="17" s="1"/>
  <c r="V68" i="17" a="1"/>
  <c r="V68" i="17" s="1"/>
  <c r="V167" i="17" a="1"/>
  <c r="V167" i="17" s="1"/>
  <c r="V63" i="17" a="1"/>
  <c r="V63" i="17" s="1"/>
  <c r="V121" i="17" a="1"/>
  <c r="V121" i="17" s="1"/>
  <c r="V224" i="17" a="1"/>
  <c r="V224" i="17" s="1"/>
  <c r="V104" i="17" a="1"/>
  <c r="V104" i="17" s="1"/>
  <c r="V193" i="17" a="1"/>
  <c r="V193" i="17" s="1"/>
  <c r="V162" i="17" a="1"/>
  <c r="V162" i="17" s="1"/>
  <c r="V33" i="17" a="1"/>
  <c r="V33" i="17" s="1"/>
  <c r="U161" i="17" a="1"/>
  <c r="U161" i="17" s="1"/>
  <c r="U21" i="17" a="1"/>
  <c r="U21" i="17" s="1"/>
  <c r="U143" i="17" a="1"/>
  <c r="U143" i="17" s="1"/>
  <c r="U204" i="17" a="1"/>
  <c r="U204" i="17" s="1"/>
  <c r="U4" i="17" a="1"/>
  <c r="U4" i="17" s="1"/>
  <c r="U43" i="17" a="1"/>
  <c r="U43" i="17" s="1"/>
  <c r="U94" i="17" a="1"/>
  <c r="U94" i="17" s="1"/>
  <c r="T171" i="17" a="1"/>
  <c r="T171" i="17" s="1"/>
  <c r="T200" i="17" a="1"/>
  <c r="T200" i="17" s="1"/>
  <c r="T70" i="17" a="1"/>
  <c r="T70" i="17" s="1"/>
  <c r="T121" i="17" a="1"/>
  <c r="T121" i="17" s="1"/>
  <c r="T50" i="17" a="1"/>
  <c r="T50" i="17" s="1"/>
  <c r="T105" i="17" a="1"/>
  <c r="T105" i="17" s="1"/>
  <c r="T103" i="17" a="1"/>
  <c r="T103" i="17" s="1"/>
  <c r="T212" i="17" a="1"/>
  <c r="T212" i="17" s="1"/>
  <c r="S231" i="17" a="1"/>
  <c r="S231" i="17" s="1"/>
  <c r="S180" i="17" a="1"/>
  <c r="S180" i="17" s="1"/>
  <c r="R157" i="17" a="1"/>
  <c r="R157" i="17" s="1"/>
  <c r="Q132" i="17"/>
  <c r="W132" i="17" s="1"/>
  <c r="Q25" i="17"/>
  <c r="W25" i="17" s="1"/>
  <c r="Q241" i="17"/>
  <c r="W241" i="17" s="1"/>
  <c r="Q142" i="17"/>
  <c r="W142" i="17" s="1"/>
  <c r="Q82" i="17"/>
  <c r="W82" i="17" s="1"/>
  <c r="Q221" i="17"/>
  <c r="W221" i="17" s="1"/>
  <c r="Q45" i="17"/>
  <c r="W45" i="17" s="1"/>
  <c r="Q67" i="17"/>
  <c r="W67" i="17" s="1"/>
  <c r="Q39" i="17"/>
  <c r="W39" i="17" s="1"/>
  <c r="Q12" i="17"/>
  <c r="W12" i="17" s="1"/>
  <c r="Q224" i="17"/>
  <c r="W224" i="17" s="1"/>
  <c r="Q75" i="17"/>
  <c r="W75" i="17" s="1"/>
  <c r="Q106" i="17"/>
  <c r="W106" i="17" s="1"/>
  <c r="Q70" i="17"/>
  <c r="W70" i="17" s="1"/>
  <c r="Q186" i="17"/>
  <c r="W186" i="17" s="1"/>
  <c r="Q4" i="17"/>
  <c r="W4" i="17" s="1"/>
  <c r="N156" i="17" a="1"/>
  <c r="N156" i="17" s="1"/>
  <c r="O156" i="17" a="1"/>
  <c r="O156" i="17" s="1"/>
  <c r="R156" i="17" a="1"/>
  <c r="R156" i="17" s="1"/>
  <c r="T156" i="17" a="1"/>
  <c r="T156" i="17" s="1"/>
  <c r="S156" i="17" a="1"/>
  <c r="S156" i="17" s="1"/>
  <c r="U156" i="17" a="1"/>
  <c r="U156" i="17" s="1"/>
  <c r="X156" i="17" a="1"/>
  <c r="X156" i="17" s="1"/>
  <c r="Y156" i="17" s="1"/>
  <c r="X171" i="17" a="1"/>
  <c r="X171" i="17" s="1"/>
  <c r="Y171" i="17" s="1"/>
  <c r="Q171" i="17" s="1"/>
  <c r="W171" i="17" s="1"/>
  <c r="X210" i="17" a="1"/>
  <c r="X210" i="17" s="1"/>
  <c r="Y210" i="17" s="1"/>
  <c r="Q210" i="17" s="1"/>
  <c r="W210" i="17" s="1"/>
  <c r="X138" i="17" a="1"/>
  <c r="X138" i="17" s="1"/>
  <c r="Y138" i="17" s="1"/>
  <c r="Q138" i="17" s="1"/>
  <c r="W138" i="17" s="1"/>
  <c r="X88" i="17" a="1"/>
  <c r="X88" i="17" s="1"/>
  <c r="Y88" i="17" s="1"/>
  <c r="Q88" i="17" s="1"/>
  <c r="W88" i="17" s="1"/>
  <c r="X200" i="17" a="1"/>
  <c r="X200" i="17" s="1"/>
  <c r="Y200" i="17" s="1"/>
  <c r="X239" i="17" a="1"/>
  <c r="X239" i="17" s="1"/>
  <c r="Y239" i="17" s="1"/>
  <c r="Q239" i="17" s="1"/>
  <c r="W239" i="17" s="1"/>
  <c r="X29" i="17" a="1"/>
  <c r="X29" i="17" s="1"/>
  <c r="Y29" i="17" s="1"/>
  <c r="Q29" i="17" s="1"/>
  <c r="W29" i="17" s="1"/>
  <c r="X158" i="17" a="1"/>
  <c r="X158" i="17" s="1"/>
  <c r="Y158" i="17" s="1"/>
  <c r="Q158" i="17" s="1"/>
  <c r="W158" i="17" s="1"/>
  <c r="X68" i="17" a="1"/>
  <c r="X68" i="17" s="1"/>
  <c r="Y68" i="17" s="1"/>
  <c r="Q68" i="17" s="1"/>
  <c r="W68" i="17" s="1"/>
  <c r="X157" i="17" a="1"/>
  <c r="X157" i="17" s="1"/>
  <c r="Y157" i="17" s="1"/>
  <c r="Q157" i="17" s="1"/>
  <c r="W157" i="17" s="1"/>
  <c r="X63" i="17" a="1"/>
  <c r="X63" i="17" s="1"/>
  <c r="Y63" i="17" s="1"/>
  <c r="Q63" i="17" s="1"/>
  <c r="W63" i="17" s="1"/>
  <c r="X176" i="17" a="1"/>
  <c r="X176" i="17" s="1"/>
  <c r="Y176" i="17" s="1"/>
  <c r="Q176" i="17" s="1"/>
  <c r="W176" i="17" s="1"/>
  <c r="X58" i="17" a="1"/>
  <c r="X58" i="17" s="1"/>
  <c r="Y58" i="17" s="1"/>
  <c r="X54" i="17" a="1"/>
  <c r="X54" i="17" s="1"/>
  <c r="Y54" i="17" s="1"/>
  <c r="Q54" i="17" s="1"/>
  <c r="W54" i="17" s="1"/>
  <c r="X100" i="17" a="1"/>
  <c r="X100" i="17" s="1"/>
  <c r="Y100" i="17" s="1"/>
  <c r="Q100" i="17" s="1"/>
  <c r="W100" i="17" s="1"/>
  <c r="V149" i="17" a="1"/>
  <c r="V149" i="17" s="1"/>
  <c r="V240" i="17" a="1"/>
  <c r="V240" i="17" s="1"/>
  <c r="V85" i="17" a="1"/>
  <c r="V85" i="17" s="1"/>
  <c r="V219" i="17" a="1"/>
  <c r="V219" i="17" s="1"/>
  <c r="V78" i="17" a="1"/>
  <c r="V78" i="17" s="1"/>
  <c r="V28" i="17" a="1"/>
  <c r="V28" i="17" s="1"/>
  <c r="V157" i="17" a="1"/>
  <c r="V157" i="17" s="1"/>
  <c r="V62" i="17" a="1"/>
  <c r="V62" i="17" s="1"/>
  <c r="V225" i="17" a="1"/>
  <c r="V225" i="17" s="1"/>
  <c r="V111" i="17" a="1"/>
  <c r="V111" i="17" s="1"/>
  <c r="V214" i="17" a="1"/>
  <c r="V214" i="17" s="1"/>
  <c r="V49" i="17" a="1"/>
  <c r="V49" i="17" s="1"/>
  <c r="V173" i="17" a="1"/>
  <c r="V173" i="17" s="1"/>
  <c r="V40" i="17" a="1"/>
  <c r="V40" i="17" s="1"/>
  <c r="V32" i="17" a="1"/>
  <c r="V32" i="17" s="1"/>
  <c r="U142" i="17" a="1"/>
  <c r="U142" i="17" s="1"/>
  <c r="U239" i="17" a="1"/>
  <c r="U239" i="17" s="1"/>
  <c r="U135" i="17" a="1"/>
  <c r="U135" i="17" s="1"/>
  <c r="U188" i="17" a="1"/>
  <c r="U188" i="17" s="1"/>
  <c r="U71" i="17" a="1"/>
  <c r="U71" i="17" s="1"/>
  <c r="U177" i="17" a="1"/>
  <c r="U177" i="17" s="1"/>
  <c r="U63" i="17" a="1"/>
  <c r="U63" i="17" s="1"/>
  <c r="U235" i="17" a="1"/>
  <c r="U235" i="17" s="1"/>
  <c r="U55" i="17" a="1"/>
  <c r="U55" i="17" s="1"/>
  <c r="U42" i="17" a="1"/>
  <c r="U42" i="17" s="1"/>
  <c r="T161" i="17" a="1"/>
  <c r="T161" i="17" s="1"/>
  <c r="T229" i="17" a="1"/>
  <c r="T229" i="17" s="1"/>
  <c r="T19" i="17" a="1"/>
  <c r="T19" i="17" s="1"/>
  <c r="T123" i="17" a="1"/>
  <c r="T123" i="17" s="1"/>
  <c r="T215" i="17" a="1"/>
  <c r="T215" i="17" s="1"/>
  <c r="T25" i="17" a="1"/>
  <c r="T25" i="17" s="1"/>
  <c r="T104" i="17" a="1"/>
  <c r="T104" i="17" s="1"/>
  <c r="S211" i="17" a="1"/>
  <c r="S211" i="17" s="1"/>
  <c r="S168" i="17" a="1"/>
  <c r="S168" i="17" s="1"/>
  <c r="R176" i="17" a="1"/>
  <c r="R176" i="17" s="1"/>
  <c r="Q162" i="17"/>
  <c r="W162" i="17" s="1"/>
  <c r="Q218" i="17"/>
  <c r="W218" i="17" s="1"/>
  <c r="Q122" i="17"/>
  <c r="W122" i="17" s="1"/>
  <c r="Q166" i="17"/>
  <c r="W166" i="17" s="1"/>
  <c r="U120" i="17" a="1"/>
  <c r="U120" i="17" s="1"/>
  <c r="U184" i="17" a="1"/>
  <c r="U184" i="17" s="1"/>
  <c r="U223" i="17" a="1"/>
  <c r="U223" i="17" s="1"/>
  <c r="U41" i="17" a="1"/>
  <c r="U41" i="17" s="1"/>
  <c r="T151" i="17" a="1"/>
  <c r="T151" i="17" s="1"/>
  <c r="T180" i="17" a="1"/>
  <c r="T180" i="17" s="1"/>
  <c r="T219" i="17" a="1"/>
  <c r="T219" i="17" s="1"/>
  <c r="T69" i="17" a="1"/>
  <c r="T69" i="17" s="1"/>
  <c r="T119" i="17" a="1"/>
  <c r="T119" i="17" s="1"/>
  <c r="T205" i="17" a="1"/>
  <c r="T205" i="17" s="1"/>
  <c r="T15" i="17" a="1"/>
  <c r="T15" i="17" s="1"/>
  <c r="T192" i="17" a="1"/>
  <c r="T192" i="17" s="1"/>
  <c r="R54" i="17" a="1"/>
  <c r="R54" i="17" s="1"/>
  <c r="Q17" i="17"/>
  <c r="W17" i="17" s="1"/>
  <c r="Q24" i="17"/>
  <c r="W24" i="17" s="1"/>
  <c r="Q35" i="17"/>
  <c r="W35" i="17" s="1"/>
  <c r="Q143" i="17"/>
  <c r="W143" i="17" s="1"/>
  <c r="Q14" i="17"/>
  <c r="W14" i="17" s="1"/>
  <c r="Q201" i="17"/>
  <c r="W201" i="17" s="1"/>
  <c r="Q78" i="17"/>
  <c r="W78" i="17" s="1"/>
  <c r="Q211" i="17"/>
  <c r="W211" i="17" s="1"/>
  <c r="Q146" i="17"/>
  <c r="W146" i="17" s="1"/>
  <c r="Q72" i="17"/>
  <c r="W72" i="17" s="1"/>
  <c r="Q187" i="17"/>
  <c r="W187" i="17" s="1"/>
  <c r="Q215" i="17"/>
  <c r="W215" i="17" s="1"/>
  <c r="Q159" i="17"/>
  <c r="W159" i="17" s="1"/>
  <c r="Q76" i="17"/>
  <c r="W76" i="17" s="1"/>
  <c r="Q103" i="17"/>
  <c r="W103" i="17" s="1"/>
  <c r="Q10" i="17"/>
  <c r="W10" i="17" s="1"/>
  <c r="Q19" i="17"/>
  <c r="W19" i="17" s="1"/>
  <c r="Q28" i="17"/>
  <c r="W28" i="17" s="1"/>
  <c r="Q99" i="17"/>
  <c r="W99" i="17" s="1"/>
  <c r="X151" i="17" a="1"/>
  <c r="X151" i="17" s="1"/>
  <c r="Y151" i="17" s="1"/>
  <c r="Q151" i="17" s="1"/>
  <c r="W151" i="17" s="1"/>
  <c r="X87" i="17" a="1"/>
  <c r="X87" i="17" s="1"/>
  <c r="Y87" i="17" s="1"/>
  <c r="X229" i="17" a="1"/>
  <c r="X229" i="17" s="1"/>
  <c r="Y229" i="17" s="1"/>
  <c r="Q229" i="17" s="1"/>
  <c r="W229" i="17" s="1"/>
  <c r="X136" i="17" a="1"/>
  <c r="X136" i="17" s="1"/>
  <c r="Y136" i="17" s="1"/>
  <c r="Q136" i="17" s="1"/>
  <c r="W136" i="17" s="1"/>
  <c r="X133" i="17" a="1"/>
  <c r="X133" i="17" s="1"/>
  <c r="Y133" i="17" s="1"/>
  <c r="Q133" i="17" s="1"/>
  <c r="W133" i="17" s="1"/>
  <c r="X127" i="17" a="1"/>
  <c r="X127" i="17" s="1"/>
  <c r="Y127" i="17" s="1"/>
  <c r="Q127" i="17" s="1"/>
  <c r="W127" i="17" s="1"/>
  <c r="X56" i="17" a="1"/>
  <c r="X56" i="17" s="1"/>
  <c r="Y56" i="17" s="1"/>
  <c r="Q56" i="17" s="1"/>
  <c r="W56" i="17" s="1"/>
  <c r="X194" i="17" a="1"/>
  <c r="X194" i="17" s="1"/>
  <c r="Y194" i="17" s="1"/>
  <c r="Q194" i="17" s="1"/>
  <c r="W194" i="17" s="1"/>
  <c r="X49" i="17" a="1"/>
  <c r="X49" i="17" s="1"/>
  <c r="Y49" i="17" s="1"/>
  <c r="X222" i="17" a="1"/>
  <c r="X222" i="17" s="1"/>
  <c r="Y222" i="17" s="1"/>
  <c r="Q222" i="17" s="1"/>
  <c r="W222" i="17" s="1"/>
  <c r="V241" i="17" a="1"/>
  <c r="V241" i="17" s="1"/>
  <c r="V147" i="17" a="1"/>
  <c r="V147" i="17" s="1"/>
  <c r="V199" i="17" a="1"/>
  <c r="V199" i="17" s="1"/>
  <c r="V77" i="17" a="1"/>
  <c r="V77" i="17" s="1"/>
  <c r="V133" i="17" a="1"/>
  <c r="V133" i="17" s="1"/>
  <c r="V18" i="17" a="1"/>
  <c r="V18" i="17" s="1"/>
  <c r="V116" i="17" a="1"/>
  <c r="V116" i="17" s="1"/>
  <c r="V215" i="17" a="1"/>
  <c r="V215" i="17" s="1"/>
  <c r="V194" i="17" a="1"/>
  <c r="V194" i="17" s="1"/>
  <c r="V39" i="17" a="1"/>
  <c r="V39" i="17" s="1"/>
  <c r="V97" i="17" a="1"/>
  <c r="V97" i="17" s="1"/>
  <c r="U141" i="17" a="1"/>
  <c r="U141" i="17" s="1"/>
  <c r="U229" i="17" a="1"/>
  <c r="U229" i="17" s="1"/>
  <c r="U78" i="17" a="1"/>
  <c r="U78" i="17" s="1"/>
  <c r="U178" i="17" a="1"/>
  <c r="U178" i="17" s="1"/>
  <c r="U69" i="17" a="1"/>
  <c r="U69" i="17" s="1"/>
  <c r="U157" i="17" a="1"/>
  <c r="U157" i="17" s="1"/>
  <c r="U17" i="17" a="1"/>
  <c r="U17" i="17" s="1"/>
  <c r="U119" i="17" a="1"/>
  <c r="U119" i="17" s="1"/>
  <c r="U225" i="17" a="1"/>
  <c r="U225" i="17" s="1"/>
  <c r="U53" i="17" a="1"/>
  <c r="U53" i="17" s="1"/>
  <c r="U164" i="17" a="1"/>
  <c r="U164" i="17" s="1"/>
  <c r="U213" i="17" a="1"/>
  <c r="U213" i="17" s="1"/>
  <c r="U40" i="17" a="1"/>
  <c r="U40" i="17" s="1"/>
  <c r="U92" i="17" a="1"/>
  <c r="U92" i="17" s="1"/>
  <c r="T150" i="17" a="1"/>
  <c r="T150" i="17" s="1"/>
  <c r="T160" i="17" a="1"/>
  <c r="T160" i="17" s="1"/>
  <c r="T199" i="17" a="1"/>
  <c r="T199" i="17" s="1"/>
  <c r="T238" i="17" a="1"/>
  <c r="T238" i="17" s="1"/>
  <c r="T68" i="17" a="1"/>
  <c r="T68" i="17" s="1"/>
  <c r="T175" i="17" a="1"/>
  <c r="T175" i="17" s="1"/>
  <c r="T5" i="17" a="1"/>
  <c r="T5" i="17" s="1"/>
  <c r="T48" i="17" a="1"/>
  <c r="T48" i="17" s="1"/>
  <c r="T101" i="17" a="1"/>
  <c r="T101" i="17" s="1"/>
  <c r="T172" i="17" a="1"/>
  <c r="T172" i="17" s="1"/>
  <c r="S191" i="17" a="1"/>
  <c r="S191" i="17" s="1"/>
  <c r="S140" i="17" a="1"/>
  <c r="S140" i="17" s="1"/>
  <c r="Q184" i="17"/>
  <c r="W184" i="17" s="1"/>
  <c r="Q212" i="17"/>
  <c r="W212" i="17" s="1"/>
  <c r="U219" i="17" a="1"/>
  <c r="U219" i="17" s="1"/>
  <c r="U77" i="17" a="1"/>
  <c r="U77" i="17" s="1"/>
  <c r="U68" i="17" a="1"/>
  <c r="U68" i="17" s="1"/>
  <c r="U7" i="17" a="1"/>
  <c r="U7" i="17" s="1"/>
  <c r="U118" i="17" a="1"/>
  <c r="U118" i="17" s="1"/>
  <c r="U154" i="17" a="1"/>
  <c r="U154" i="17" s="1"/>
  <c r="U13" i="17" a="1"/>
  <c r="U13" i="17" s="1"/>
  <c r="U37" i="17" a="1"/>
  <c r="U37" i="17" s="1"/>
  <c r="T149" i="17" a="1"/>
  <c r="T149" i="17" s="1"/>
  <c r="T208" i="17" a="1"/>
  <c r="T208" i="17" s="1"/>
  <c r="T65" i="17" a="1"/>
  <c r="T65" i="17" s="1"/>
  <c r="T118" i="17" a="1"/>
  <c r="T118" i="17" s="1"/>
  <c r="S216" i="17" a="1"/>
  <c r="S216" i="17" s="1"/>
  <c r="Q209" i="17"/>
  <c r="W209" i="17" s="1"/>
  <c r="Q125" i="17"/>
  <c r="W125" i="17" s="1"/>
  <c r="Q202" i="17"/>
  <c r="W202" i="17" s="1"/>
  <c r="U215" i="17" a="1"/>
  <c r="U215" i="17" s="1"/>
  <c r="U52" i="17" a="1"/>
  <c r="U52" i="17" s="1"/>
  <c r="U109" i="17" a="1"/>
  <c r="U109" i="17" s="1"/>
  <c r="U203" i="17" a="1"/>
  <c r="U203" i="17" s="1"/>
  <c r="U36" i="17" a="1"/>
  <c r="U36" i="17" s="1"/>
  <c r="T145" i="17" a="1"/>
  <c r="T145" i="17" s="1"/>
  <c r="T179" i="17" a="1"/>
  <c r="T179" i="17" s="1"/>
  <c r="T198" i="17" a="1"/>
  <c r="T198" i="17" s="1"/>
  <c r="T155" i="17" a="1"/>
  <c r="T155" i="17" s="1"/>
  <c r="T224" i="17" a="1"/>
  <c r="T224" i="17" s="1"/>
  <c r="T100" i="17" a="1"/>
  <c r="T100" i="17" s="1"/>
  <c r="T152" i="17" a="1"/>
  <c r="T152" i="17" s="1"/>
  <c r="S84" i="17" a="1"/>
  <c r="S84" i="17" s="1"/>
  <c r="Q155" i="17"/>
  <c r="W155" i="17" s="1"/>
  <c r="Q174" i="17"/>
  <c r="W174" i="17" s="1"/>
  <c r="Q37" i="17"/>
  <c r="W37" i="17" s="1"/>
  <c r="Q190" i="17"/>
  <c r="W190" i="17" s="1"/>
  <c r="Q188" i="17"/>
  <c r="W188" i="17" s="1"/>
  <c r="Q64" i="17"/>
  <c r="W64" i="17" s="1"/>
  <c r="Q44" i="17"/>
  <c r="W44" i="17" s="1"/>
  <c r="Q96" i="17"/>
  <c r="W96" i="17" s="1"/>
  <c r="Q36" i="17"/>
  <c r="W36" i="17" s="1"/>
  <c r="V23" i="17" a="1"/>
  <c r="V23" i="17" s="1"/>
  <c r="U231" i="17" a="1"/>
  <c r="U231" i="17" s="1"/>
  <c r="U146" i="17" a="1"/>
  <c r="U146" i="17" s="1"/>
  <c r="U220" i="17" a="1"/>
  <c r="U220" i="17" s="1"/>
  <c r="U85" i="17" a="1"/>
  <c r="U85" i="17" s="1"/>
  <c r="U76" i="17" a="1"/>
  <c r="U76" i="17" s="1"/>
  <c r="U158" i="17" a="1"/>
  <c r="U158" i="17" s="1"/>
  <c r="U28" i="17" a="1"/>
  <c r="U28" i="17" s="1"/>
  <c r="U226" i="17" a="1"/>
  <c r="U226" i="17" s="1"/>
  <c r="U205" i="17" a="1"/>
  <c r="U205" i="17" s="1"/>
  <c r="U107" i="17" a="1"/>
  <c r="U107" i="17" s="1"/>
  <c r="U193" i="17" a="1"/>
  <c r="U193" i="17" s="1"/>
  <c r="U232" i="17" a="1"/>
  <c r="U232" i="17" s="1"/>
  <c r="T144" i="17" a="1"/>
  <c r="T144" i="17" s="1"/>
  <c r="T159" i="17" a="1"/>
  <c r="T159" i="17" s="1"/>
  <c r="T18" i="17" a="1"/>
  <c r="T18" i="17" s="1"/>
  <c r="T63" i="17" a="1"/>
  <c r="T63" i="17" s="1"/>
  <c r="T116" i="17" a="1"/>
  <c r="T116" i="17" s="1"/>
  <c r="T115" i="17" a="1"/>
  <c r="T115" i="17" s="1"/>
  <c r="T214" i="17" a="1"/>
  <c r="T214" i="17" s="1"/>
  <c r="T44" i="17" a="1"/>
  <c r="T44" i="17" s="1"/>
  <c r="S148" i="17" a="1"/>
  <c r="S148" i="17" s="1"/>
  <c r="S82" i="17" a="1"/>
  <c r="S82" i="17" s="1"/>
  <c r="S115" i="17" a="1"/>
  <c r="S115" i="17" s="1"/>
  <c r="O234" i="17" a="1"/>
  <c r="O234" i="17" s="1"/>
  <c r="Q234" i="17" s="1"/>
  <c r="W234" i="17" s="1"/>
  <c r="U33" i="17" a="1"/>
  <c r="U33" i="17" s="1"/>
  <c r="T90" i="17" a="1"/>
  <c r="T90" i="17" s="1"/>
  <c r="T143" i="17" a="1"/>
  <c r="T143" i="17" s="1"/>
  <c r="T138" i="17" a="1"/>
  <c r="T138" i="17" s="1"/>
  <c r="T188" i="17" a="1"/>
  <c r="T188" i="17" s="1"/>
  <c r="T217" i="17" a="1"/>
  <c r="T217" i="17" s="1"/>
  <c r="T62" i="17" a="1"/>
  <c r="T62" i="17" s="1"/>
  <c r="T61" i="17" a="1"/>
  <c r="T61" i="17" s="1"/>
  <c r="T114" i="17" a="1"/>
  <c r="T114" i="17" s="1"/>
  <c r="T14" i="17" a="1"/>
  <c r="T14" i="17" s="1"/>
  <c r="T99" i="17" a="1"/>
  <c r="T99" i="17" s="1"/>
  <c r="S147" i="17" a="1"/>
  <c r="S147" i="17" s="1"/>
  <c r="S214" i="17" a="1"/>
  <c r="S214" i="17" s="1"/>
  <c r="Q195" i="17"/>
  <c r="W195" i="17" s="1"/>
  <c r="Q182" i="17"/>
  <c r="W182" i="17" s="1"/>
  <c r="T88" i="17" a="1"/>
  <c r="T88" i="17" s="1"/>
  <c r="T142" i="17" a="1"/>
  <c r="T142" i="17" s="1"/>
  <c r="T137" i="17" a="1"/>
  <c r="T137" i="17" s="1"/>
  <c r="T178" i="17" a="1"/>
  <c r="T178" i="17" s="1"/>
  <c r="T197" i="17" a="1"/>
  <c r="T197" i="17" s="1"/>
  <c r="T59" i="17" a="1"/>
  <c r="T59" i="17" s="1"/>
  <c r="T194" i="17" a="1"/>
  <c r="T194" i="17" s="1"/>
  <c r="T4" i="17" a="1"/>
  <c r="T4" i="17" s="1"/>
  <c r="T98" i="17" a="1"/>
  <c r="T98" i="17" s="1"/>
  <c r="S146" i="17" a="1"/>
  <c r="S146" i="17" s="1"/>
  <c r="S209" i="17" a="1"/>
  <c r="S209" i="17" s="1"/>
  <c r="S46" i="17" a="1"/>
  <c r="S46" i="17" s="1"/>
  <c r="U15" i="17" a="1"/>
  <c r="U15" i="17" s="1"/>
  <c r="U104" i="17" a="1"/>
  <c r="U104" i="17" s="1"/>
  <c r="U153" i="17" a="1"/>
  <c r="U153" i="17" s="1"/>
  <c r="U192" i="17" a="1"/>
  <c r="U192" i="17" s="1"/>
  <c r="T87" i="17" a="1"/>
  <c r="T87" i="17" s="1"/>
  <c r="T168" i="17" a="1"/>
  <c r="T168" i="17" s="1"/>
  <c r="T7" i="17" a="1"/>
  <c r="T7" i="17" s="1"/>
  <c r="T113" i="17" a="1"/>
  <c r="T113" i="17" s="1"/>
  <c r="T42" i="17" a="1"/>
  <c r="T42" i="17" s="1"/>
  <c r="T37" i="17" a="1"/>
  <c r="T37" i="17" s="1"/>
  <c r="S91" i="17" a="1"/>
  <c r="S91" i="17" s="1"/>
  <c r="S199" i="17" a="1"/>
  <c r="S199" i="17" s="1"/>
  <c r="S101" i="17" a="1"/>
  <c r="S101" i="17" s="1"/>
  <c r="Q189" i="17"/>
  <c r="W189" i="17" s="1"/>
  <c r="Q236" i="17"/>
  <c r="W236" i="17" s="1"/>
  <c r="Q41" i="17"/>
  <c r="W41" i="17" s="1"/>
  <c r="Q197" i="17"/>
  <c r="W197" i="17" s="1"/>
  <c r="U60" i="17" a="1"/>
  <c r="U60" i="17" s="1"/>
  <c r="U115" i="17" a="1"/>
  <c r="U115" i="17" s="1"/>
  <c r="U5" i="17" a="1"/>
  <c r="U5" i="17" s="1"/>
  <c r="U49" i="17" a="1"/>
  <c r="U49" i="17" s="1"/>
  <c r="U102" i="17" a="1"/>
  <c r="U102" i="17" s="1"/>
  <c r="U2" i="17" a="1"/>
  <c r="U2" i="17" s="1"/>
  <c r="T86" i="17" a="1"/>
  <c r="T86" i="17" s="1"/>
  <c r="T84" i="17" a="1"/>
  <c r="T84" i="17" s="1"/>
  <c r="T135" i="17" a="1"/>
  <c r="T135" i="17" s="1"/>
  <c r="T158" i="17" a="1"/>
  <c r="T158" i="17" s="1"/>
  <c r="T164" i="17" a="1"/>
  <c r="T164" i="17" s="1"/>
  <c r="T233" i="17" a="1"/>
  <c r="T233" i="17" s="1"/>
  <c r="T39" i="17" a="1"/>
  <c r="T39" i="17" s="1"/>
  <c r="S162" i="17" a="1"/>
  <c r="S162" i="17" s="1"/>
  <c r="Q74" i="17"/>
  <c r="W74" i="17" s="1"/>
  <c r="Q238" i="17"/>
  <c r="W238" i="17" s="1"/>
  <c r="Q11" i="17"/>
  <c r="W11" i="17" s="1"/>
  <c r="U182" i="17" a="1"/>
  <c r="U182" i="17" s="1"/>
  <c r="T241" i="17" a="1"/>
  <c r="T241" i="17" s="1"/>
  <c r="T31" i="17" a="1"/>
  <c r="T31" i="17" s="1"/>
  <c r="T81" i="17" a="1"/>
  <c r="T81" i="17" s="1"/>
  <c r="T79" i="17" a="1"/>
  <c r="T79" i="17" s="1"/>
  <c r="T133" i="17" a="1"/>
  <c r="T133" i="17" s="1"/>
  <c r="T177" i="17" a="1"/>
  <c r="T177" i="17" s="1"/>
  <c r="T226" i="17" a="1"/>
  <c r="T226" i="17" s="1"/>
  <c r="T112" i="17" a="1"/>
  <c r="T112" i="17" s="1"/>
  <c r="T38" i="17" a="1"/>
  <c r="T38" i="17" s="1"/>
  <c r="T35" i="17" a="1"/>
  <c r="T35" i="17" s="1"/>
  <c r="S169" i="17" a="1"/>
  <c r="S169" i="17" s="1"/>
  <c r="R211" i="17" a="1"/>
  <c r="R211" i="17" s="1"/>
  <c r="Q129" i="17"/>
  <c r="W129" i="17" s="1"/>
  <c r="Q115" i="17"/>
  <c r="W115" i="17" s="1"/>
  <c r="Q216" i="17"/>
  <c r="W216" i="17" s="1"/>
  <c r="Q53" i="17"/>
  <c r="W53" i="17" s="1"/>
  <c r="U234" i="17" a="1"/>
  <c r="U234" i="17" s="1"/>
  <c r="U46" i="17" a="1"/>
  <c r="U46" i="17" s="1"/>
  <c r="T231" i="17" a="1"/>
  <c r="T231" i="17" s="1"/>
  <c r="T78" i="17" a="1"/>
  <c r="T78" i="17" s="1"/>
  <c r="T131" i="17" a="1"/>
  <c r="T131" i="17" s="1"/>
  <c r="T167" i="17" a="1"/>
  <c r="T167" i="17" s="1"/>
  <c r="T216" i="17" a="1"/>
  <c r="T216" i="17" s="1"/>
  <c r="T16" i="17" a="1"/>
  <c r="T16" i="17" s="1"/>
  <c r="T55" i="17" a="1"/>
  <c r="T55" i="17" s="1"/>
  <c r="T109" i="17" a="1"/>
  <c r="T109" i="17" s="1"/>
  <c r="T223" i="17" a="1"/>
  <c r="T223" i="17" s="1"/>
  <c r="T34" i="17" a="1"/>
  <c r="T34" i="17" s="1"/>
  <c r="R240" i="17" a="1"/>
  <c r="R240" i="17" s="1"/>
  <c r="Q228" i="17"/>
  <c r="W228" i="17" s="1"/>
  <c r="Q128" i="17"/>
  <c r="W128" i="17" s="1"/>
  <c r="Q226" i="17"/>
  <c r="W226" i="17" s="1"/>
  <c r="Q225" i="17"/>
  <c r="W225" i="17" s="1"/>
  <c r="Q230" i="17"/>
  <c r="W230" i="17" s="1"/>
  <c r="Q20" i="17"/>
  <c r="W20" i="17" s="1"/>
  <c r="Q206" i="17"/>
  <c r="W206" i="17" s="1"/>
  <c r="Q23" i="17"/>
  <c r="W23" i="17" s="1"/>
  <c r="V15" i="17" a="1"/>
  <c r="V15" i="17" s="1"/>
  <c r="V107" i="17" a="1"/>
  <c r="V107" i="17" s="1"/>
  <c r="V223" i="17" a="1"/>
  <c r="V223" i="17" s="1"/>
  <c r="V182" i="17" a="1"/>
  <c r="V182" i="17" s="1"/>
  <c r="V35" i="17" a="1"/>
  <c r="V35" i="17" s="1"/>
  <c r="U181" i="17" a="1"/>
  <c r="U181" i="17" s="1"/>
  <c r="U88" i="17" a="1"/>
  <c r="U88" i="17" s="1"/>
  <c r="U20" i="17" a="1"/>
  <c r="U20" i="17" s="1"/>
  <c r="U9" i="17" a="1"/>
  <c r="U9" i="17" s="1"/>
  <c r="U73" i="17" a="1"/>
  <c r="U73" i="17" s="1"/>
  <c r="U207" i="17" a="1"/>
  <c r="U207" i="17" s="1"/>
  <c r="U186" i="17" a="1"/>
  <c r="U186" i="17" s="1"/>
  <c r="U111" i="17" a="1"/>
  <c r="U111" i="17" s="1"/>
  <c r="U99" i="17" a="1"/>
  <c r="U99" i="17" s="1"/>
  <c r="T21" i="17" a="1"/>
  <c r="T21" i="17" s="1"/>
  <c r="T30" i="17" a="1"/>
  <c r="T30" i="17" s="1"/>
  <c r="T77" i="17" a="1"/>
  <c r="T77" i="17" s="1"/>
  <c r="T73" i="17" a="1"/>
  <c r="T73" i="17" s="1"/>
  <c r="T6" i="17" a="1"/>
  <c r="T6" i="17" s="1"/>
  <c r="T54" i="17" a="1"/>
  <c r="T54" i="17" s="1"/>
  <c r="T107" i="17" a="1"/>
  <c r="T107" i="17" s="1"/>
  <c r="T203" i="17" a="1"/>
  <c r="T203" i="17" s="1"/>
  <c r="T33" i="17" a="1"/>
  <c r="T33" i="17" s="1"/>
  <c r="S230" i="17" a="1"/>
  <c r="S230" i="17" s="1"/>
  <c r="S79" i="17" a="1"/>
  <c r="S79" i="17" s="1"/>
  <c r="Q220" i="17"/>
  <c r="W220" i="17" s="1"/>
  <c r="Q240" i="17"/>
  <c r="W240" i="17" s="1"/>
  <c r="Q61" i="17"/>
  <c r="W61" i="17" s="1"/>
  <c r="Q181" i="17"/>
  <c r="W181" i="17" s="1"/>
  <c r="U16" i="17" a="1"/>
  <c r="U16" i="17" s="1"/>
  <c r="U224" i="17" a="1"/>
  <c r="U224" i="17" s="1"/>
  <c r="U97" i="17" a="1"/>
  <c r="U97" i="17" s="1"/>
  <c r="T191" i="17" a="1"/>
  <c r="T191" i="17" s="1"/>
  <c r="T10" i="17" a="1"/>
  <c r="T10" i="17" s="1"/>
  <c r="T76" i="17" a="1"/>
  <c r="T76" i="17" s="1"/>
  <c r="T157" i="17" a="1"/>
  <c r="T157" i="17" s="1"/>
  <c r="T52" i="17" a="1"/>
  <c r="T52" i="17" s="1"/>
  <c r="T106" i="17" a="1"/>
  <c r="T106" i="17" s="1"/>
  <c r="T3" i="17" a="1"/>
  <c r="T3" i="17" s="1"/>
  <c r="T2" i="17" a="1"/>
  <c r="T2" i="17" s="1"/>
  <c r="S200" i="17" a="1"/>
  <c r="S200" i="17" s="1"/>
  <c r="S78" i="17" a="1"/>
  <c r="S78" i="17" s="1"/>
  <c r="R78" i="17" a="1"/>
  <c r="R78" i="17" s="1"/>
  <c r="N182" i="17" a="1"/>
  <c r="N182" i="17" s="1"/>
  <c r="N35" i="17" a="1"/>
  <c r="N35" i="17" s="1"/>
  <c r="N33" i="17" a="1"/>
  <c r="N33" i="17" s="1"/>
  <c r="N95" i="17" a="1"/>
  <c r="N95" i="17" s="1"/>
  <c r="N32" i="17" a="1"/>
  <c r="N32" i="17" s="1"/>
  <c r="N22" i="17" a="1"/>
  <c r="N22" i="17" s="1"/>
  <c r="N12" i="17" a="1"/>
  <c r="N12" i="17" s="1"/>
  <c r="N162" i="17" a="1"/>
  <c r="N162" i="17" s="1"/>
  <c r="N34" i="17" a="1"/>
  <c r="N34" i="17" s="1"/>
  <c r="Q27" i="17" l="1"/>
  <c r="W27" i="17" s="1"/>
  <c r="Q156" i="17"/>
  <c r="W156" i="17" s="1"/>
  <c r="Q237" i="17"/>
  <c r="W237" i="17" s="1"/>
  <c r="Q167" i="17"/>
  <c r="W167" i="17" s="1"/>
  <c r="Q87" i="17"/>
  <c r="W87" i="17" s="1"/>
  <c r="Q40" i="17"/>
  <c r="W40" i="17" s="1"/>
  <c r="Q38" i="17"/>
  <c r="W38" i="17" s="1"/>
  <c r="Q58" i="17"/>
  <c r="W58" i="17" s="1"/>
  <c r="Q49" i="17"/>
  <c r="W49" i="17" s="1"/>
  <c r="Q200" i="17"/>
  <c r="W200" i="17" s="1"/>
  <c r="Q130" i="17"/>
  <c r="W130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rossetti\OneDrive - University of Arkansas\mydocuments\teaching\courses\simulation courses\agent based simulation\agv data\p7-15new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rossetti\OneDrive - University of Arkansas\mydocuments\teaching\courses\simulation courses\agent based simulation\agv data\p7-15new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rossetti\OneDrive - University of Arkansas\mydocuments\teaching\courses\simulation courses\agent based simulation\agv data\p7-15new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rossetti\OneDrive - University of Arkansas\mydocuments\teaching\courses\simulation courses\agent based simulation\agv data\p7-15new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rossetti\OneDrive - University of Arkansas\mydocuments\teaching\courses\simulation courses\agent based simulation\agv data\p7-15new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rossetti\OneDrive - University of Arkansas\mydocuments\teaching\courses\simulation courses\agent based simulation\agv data\p7-15new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<sst xmlns="http://schemas.openxmlformats.org/spreadsheetml/2006/main" count="3698" uniqueCount="132">
  <si>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</si>
  <si>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</si>
  <si>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</si>
  <si>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</si>
  <si>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</si>
  <si>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</si>
  <si>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</si>
  <si>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</si>
  <si>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</si>
  <si>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</si>
  <si>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</si>
  <si>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</si>
  <si>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</si>
  <si>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</si>
  <si>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</si>
  <si>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</si>
  <si>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</si>
  <si>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</si>
  <si>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</si>
  <si>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</si>
  <si>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</si>
  <si>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</si>
  <si>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</si>
  <si>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</si>
  <si>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</si>
  <si>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</si>
  <si>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</si>
  <si>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</si>
  <si>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</si>
  <si>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</si>
  <si>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</si>
  <si>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</si>
  <si>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</si>
  <si>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</si>
  <si>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</si>
  <si>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</si>
  <si>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</si>
  <si>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</si>
  <si>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</si>
  <si>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</si>
  <si>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</si>
  <si>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</si>
  <si>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</si>
  <si>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</si>
  <si>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</si>
  <si>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</si>
  <si>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</si>
  <si>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</si>
  <si>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</si>
  <si>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</si>
  <si>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</si>
  <si>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</si>
  <si>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</si>
  <si>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</si>
  <si>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</si>
  <si>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</si>
  <si>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</si>
  <si>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</si>
  <si>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</si>
  <si>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</si>
  <si>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</si>
  <si>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</si>
  <si>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</si>
  <si>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</si>
  <si>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</si>
  <si>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</si>
  <si>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</si>
  <si>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</si>
  <si>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C:\Users\rossetti\OneDrive - University of Arkansas\MyDocuments\Teaching\Courses\Simulation Courses\Agent Based Simulation\AGV Data\P7-15New.p</t>
  </si>
  <si>
    <t>2026-08-31 10:13:27</t>
  </si>
  <si>
    <t>Enter Request AGV.Queue</t>
  </si>
  <si>
    <t>Waiting Time</t>
  </si>
  <si>
    <t>Queue</t>
  </si>
  <si>
    <t>NewPaintQ</t>
  </si>
  <si>
    <t>NewPaintReqQ</t>
  </si>
  <si>
    <t>NewPart</t>
  </si>
  <si>
    <t>NVA Time</t>
  </si>
  <si>
    <t>Entity</t>
  </si>
  <si>
    <t>Other Time</t>
  </si>
  <si>
    <t>Total Time</t>
  </si>
  <si>
    <t>Transfer Time</t>
  </si>
  <si>
    <t>VA Time</t>
  </si>
  <si>
    <t>Wait Time</t>
  </si>
  <si>
    <t>OldPart</t>
  </si>
  <si>
    <t>PackQ</t>
  </si>
  <si>
    <t>PackReqQ</t>
  </si>
  <si>
    <t>PaintQ</t>
  </si>
  <si>
    <t>PaintReqQ</t>
  </si>
  <si>
    <t>PartType1SysTime</t>
  </si>
  <si>
    <t>None</t>
  </si>
  <si>
    <t>User Specified</t>
  </si>
  <si>
    <t>PartType2SysTime</t>
  </si>
  <si>
    <t>SystemTimeTally</t>
  </si>
  <si>
    <t>Interval</t>
  </si>
  <si>
    <t>WorkStationQ</t>
  </si>
  <si>
    <t>WorkStationReqQ</t>
  </si>
  <si>
    <t>AGV</t>
  </si>
  <si>
    <t>Number Busy</t>
  </si>
  <si>
    <t>Transporter</t>
  </si>
  <si>
    <t>Number Scheduled</t>
  </si>
  <si>
    <t>Utilization</t>
  </si>
  <si>
    <t>Number Waiting</t>
  </si>
  <si>
    <t>Entity 1</t>
  </si>
  <si>
    <t>WIP</t>
  </si>
  <si>
    <t>NEWPAINTER</t>
  </si>
  <si>
    <t>Instantaneous Utilization</t>
  </si>
  <si>
    <t>Resource</t>
  </si>
  <si>
    <t>PACKER</t>
  </si>
  <si>
    <t>PAINTER</t>
  </si>
  <si>
    <t>WORKER</t>
  </si>
  <si>
    <t>vNumWaitingRequests</t>
  </si>
  <si>
    <t>Variable</t>
  </si>
  <si>
    <t>Entity 1.NumberIn</t>
  </si>
  <si>
    <t>Number In</t>
  </si>
  <si>
    <t>Entity 1.NumberOut</t>
  </si>
  <si>
    <t>Number Out</t>
  </si>
  <si>
    <t>NEWPAINTER.NumberSeized</t>
  </si>
  <si>
    <t>Total Number Seized</t>
  </si>
  <si>
    <t>NEWPAINTER.ScheduledUtilization</t>
  </si>
  <si>
    <t>Scheduled Utilization</t>
  </si>
  <si>
    <t>NewPart.NumberIn</t>
  </si>
  <si>
    <t>NewPart.NumberOut</t>
  </si>
  <si>
    <t>OldPart.NumberIn</t>
  </si>
  <si>
    <t>OldPart.NumberOut</t>
  </si>
  <si>
    <t>PACKER.NumberSeized</t>
  </si>
  <si>
    <t>PACKER.ScheduledUtilization</t>
  </si>
  <si>
    <t>PAINTER.NumberSeized</t>
  </si>
  <si>
    <t>PAINTER.ScheduledUtilization</t>
  </si>
  <si>
    <t>System.NumberOut</t>
  </si>
  <si>
    <t>System</t>
  </si>
  <si>
    <t>WORKER.NumberSeized</t>
  </si>
  <si>
    <t>WORKER.ScheduledUtilization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</si>
</sst>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numFmt numFmtId="166" formatCode="[=300000000000000000000]&quot;Correlated&quot;;;"/>
    </dxf>
    <dxf>
      <numFmt numFmtId="165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5" formatCode="[=200000000000000000000]&quot;Insufficient&quot;;;"/>
    </dxf>
    <dxf>
      <numFmt numFmtId="166" formatCode="[=300000000000000000000]&quot;Correlated&quot;;;"/>
    </dxf>
    <dxf>
      <numFmt numFmtId="167" formatCode="[=1]&quot;Yes&quot;;;"/>
    </dxf>
    <dxf>
      <numFmt numFmtId="167" formatCode="[=1]&quot;Yes&quot;;;"/>
    </dxf>
    <dxf>
      <numFmt numFmtId="168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7" formatCode="[=1]&quot;Yes&quot;;;"/>
      <border>
        <left/>
        <right/>
        <top/>
        <bottom/>
      </border>
    </dxf>
    <dxf>
      <numFmt numFmtId="168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5" formatCode="[=200000000000000000000]&quot;Insufficient&quot;;;"/>
    </dxf>
    <dxf>
      <numFmt numFmtId="165" formatCode="[=200000000000000000000]&quot;Insufficient&quot;;;"/>
    </dxf>
    <dxf>
      <numFmt numFmtId="169" formatCode="[=0]&quot;Days&quot;;;"/>
    </dxf>
    <dxf>
      <numFmt numFmtId="170" formatCode="[=1]&quot;Hours&quot;;;"/>
    </dxf>
    <dxf>
      <numFmt numFmtId="171" formatCode="[=2]&quot;Minutes&quot;;;"/>
    </dxf>
    <dxf>
      <numFmt numFmtId="172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uel Rossetti" refreshedDate="46265.426191319442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uel Rossetti" refreshedDate="46265.426191435188" createdVersion="7" refreshedVersion="8" minRefreshableVersion="3" recordCount="24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0"/>
    </cacheField>
    <cacheField name="Name" numFmtId="0">
      <sharedItems containsBlank="1" count="113">
        <s v="Enter Request AGV.Queue"/>
        <s v="NewPaintQ"/>
        <s v="NewPaintReqQ"/>
        <s v="NewPart"/>
        <s v="OldPart"/>
        <s v="PackQ"/>
        <s v="PackReqQ"/>
        <s v="PaintQ"/>
        <s v="PaintReqQ"/>
        <s v="PartType1SysTime"/>
        <s v="PartType2SysTime"/>
        <s v="SystemTimeTally"/>
        <s v="WorkStationQ"/>
        <s v="WorkStationReqQ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3">
        <s v="Waiting Time"/>
        <s v="NVA Time"/>
        <s v="Other Time"/>
        <s v="Total Time"/>
        <s v="Transfer Time"/>
        <s v="VA Time"/>
        <s v="Wait Time"/>
        <s v="None"/>
        <s v="Interval"/>
        <m u="1"/>
        <s v="Total Time Per Entity" u="1"/>
        <s v="VA Time Per Entity" u="1"/>
        <s v="Wait Time Per Entity" u="1"/>
      </sharedItems>
    </cacheField>
    <cacheField name="Source" numFmtId="0">
      <sharedItems containsBlank="1" count="5">
        <s v="Queue"/>
        <s v="Entity"/>
        <s v="User Specified"/>
        <m u="1"/>
        <s v="Process" u="1"/>
      </sharedItems>
    </cacheField>
    <cacheField name="Average" numFmtId="0">
      <sharedItems containsSemiMixedTypes="0" containsString="0" containsNumber="1" minValue="0" maxValue="228.600057561574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minValue="0" maxValue="111.52647618972701"/>
    </cacheField>
    <cacheField name="Maximum" numFmtId="0">
      <sharedItems containsSemiMixedTypes="0" containsString="0" containsNumber="1" minValue="0" maxValue="845.65217638315505"/>
    </cacheField>
    <cacheField name="NumberObservations" numFmtId="0">
      <sharedItems containsSemiMixedTypes="0" containsString="0" containsNumber="1" containsInteger="1" minValue="5736" maxValue="39510"/>
    </cacheField>
    <cacheField name="GroupByKey" numFmtId="0">
      <sharedItems/>
    </cacheField>
    <cacheField name="RepsRequested" numFmtId="0">
      <sharedItems containsSemiMixedTypes="0" containsString="0" containsNumber="1" containsInteger="1" minValue="10" maxValue="10"/>
    </cacheField>
    <cacheField name="AverageOfAverage" numFmtId="0">
      <sharedItems containsSemiMixedTypes="0" containsString="0" containsNumber="1" minValue="0" maxValue="221.72862363811799"/>
    </cacheField>
    <cacheField name="StDevOfAverage" numFmtId="0">
      <sharedItems containsSemiMixedTypes="0" containsString="0" containsNumber="1" minValue="0" maxValue="4.0577244205184302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2.9027211867436722"/>
    </cacheField>
    <cacheField name="MinimumAverage" numFmtId="0">
      <sharedItems containsSemiMixedTypes="0" containsString="0" containsNumber="1" minValue="0" maxValue="215.11579089224901"/>
    </cacheField>
    <cacheField name="MaximumAverage" numFmtId="0">
      <sharedItems containsSemiMixedTypes="0" containsString="0" containsNumber="1" minValue="0" maxValue="228.600057561574"/>
    </cacheField>
    <cacheField name="OverallMinimum" numFmtId="0">
      <sharedItems containsSemiMixedTypes="0" containsString="0" containsNumber="1" minValue="0" maxValue="103.587534622755"/>
    </cacheField>
    <cacheField name="OverallMaximum" numFmtId="0">
      <sharedItems containsSemiMixedTypes="0" containsString="0" containsNumber="1" minValue="0" maxValue="845.65217638315505"/>
    </cacheField>
    <cacheField name="AverageNumberObservations" numFmtId="0">
      <sharedItems containsSemiMixedTypes="0" containsString="0" containsNumber="1" minValue="5892.9" maxValue="39114.6"/>
    </cacheField>
    <cacheField name="SummaryHalfWidth" numFmtId="0">
      <sharedItems containsSemiMixedTypes="0" containsString="0" containsNumber="1" minValue="0" maxValue="2.9027211867436722"/>
    </cacheField>
    <cacheField name="RepsWithStatObserved" numFmtId="0">
      <sharedItems containsSemiMixedTypes="0" containsString="0" containsNumber="1" containsInteger="1" minValue="10" maxValue="1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uel Rossetti" refreshedDate="46265.426191666666" createdVersion="7" refreshedVersion="8" minRefreshableVersion="3" recordCount="150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0"/>
    </cacheField>
    <cacheField name="Name" numFmtId="0">
      <sharedItems containsBlank="1" count="91">
        <s v="Entity 1.NumberIn"/>
        <s v="Entity 1.NumberOut"/>
        <s v="NEWPAINTER.NumberSeized"/>
        <s v="NEWPAINTER.ScheduledUtilization"/>
        <s v="NewPart.NumberIn"/>
        <s v="NewPart.NumberOut"/>
        <s v="OldPart.NumberIn"/>
        <s v="OldPart.NumberOut"/>
        <s v="PACKER.NumberSeized"/>
        <s v="PACKER.ScheduledUtilization"/>
        <s v="PAINTER.NumberSeized"/>
        <s v="PAINTER.ScheduledUtilization"/>
        <s v="System.NumberOut"/>
        <s v="WORKER.NumberSeized"/>
        <s v="WORKER.ScheduledUtilization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51150896826018899" maxValue="56611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0" maxValue="10"/>
    </cacheField>
    <cacheField name="Average" numFmtId="0">
      <sharedItems containsSemiMixedTypes="0" containsString="0" containsNumber="1" minValue="0.52518723279433455" maxValue="56062.7"/>
    </cacheField>
    <cacheField name="StandardDeviation" numFmtId="0">
      <sharedItems containsSemiMixedTypes="0" containsString="0" containsNumber="1" minValue="4.5196387022068685E-3" maxValue="281.95036994320668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3.2331547581159752E-3" maxValue="201.69514427985661"/>
    </cacheField>
    <cacheField name="Minimum" numFmtId="0">
      <sharedItems containsSemiMixedTypes="0" containsString="0" containsNumber="1" minValue="0.51150896826018899" maxValue="55662"/>
    </cacheField>
    <cacheField name="Maximum" numFmtId="0">
      <sharedItems containsSemiMixedTypes="0" containsString="0" containsNumber="1" minValue="0.54003281556404203" maxValue="566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uel Rossetti" refreshedDate="46265.426191666666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uel Rossetti" refreshedDate="46265.42619189815" createdVersion="7" refreshedVersion="8" minRefreshableVersion="3" recordCount="28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0"/>
    </cacheField>
    <cacheField name="Name" numFmtId="0">
      <sharedItems containsBlank="1" count="141">
        <s v="AGV"/>
        <s v="Enter Request AGV.Queue"/>
        <s v="Entity 1"/>
        <s v="NEWPAINTER"/>
        <s v="NewPaintQ"/>
        <s v="NewPaintReqQ"/>
        <s v="NewPart"/>
        <s v="OldPart"/>
        <s v="PACKER"/>
        <s v="PAINTER"/>
        <s v="PackQ"/>
        <s v="PackReqQ"/>
        <s v="PaintQ"/>
        <s v="PaintReqQ"/>
        <s v="WORKER"/>
        <s v="WorkStationQ"/>
        <s v="WorkStationReqQ"/>
        <s v="vNumWaitingRequests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Resource 1" u="1"/>
      </sharedItems>
    </cacheField>
    <cacheField name="Type" numFmtId="0">
      <sharedItems containsBlank="1" count="9">
        <s v="Number Busy"/>
        <s v="Number Scheduled"/>
        <s v="Utilization"/>
        <s v="Number Waiting"/>
        <s v="WIP"/>
        <s v="Instantaneous Utilization"/>
        <s v="Variable"/>
        <m u="1"/>
        <s v="Levels" u="1"/>
      </sharedItems>
    </cacheField>
    <cacheField name="Source" numFmtId="0">
      <sharedItems containsBlank="1" count="6">
        <s v="Transporter"/>
        <s v="Queue"/>
        <s v="Entity"/>
        <s v="Resource"/>
        <s v="User Specified"/>
        <m u="1"/>
      </sharedItems>
    </cacheField>
    <cacheField name="Average" numFmtId="0">
      <sharedItems containsSemiMixedTypes="0" containsString="0" containsNumber="1" minValue="0" maxValue="5.1212851674768203"/>
    </cacheField>
    <cacheField name="BatchMeansHalfWidth" numFmtId="0">
      <sharedItems containsSemiMixedTypes="0" containsString="0" containsNumber="1" minValue="3.6066396962137299E-4" maxValue="3E+20"/>
    </cacheField>
    <cacheField name="Minimum" numFmtId="0">
      <sharedItems containsSemiMixedTypes="0" containsString="0" containsNumber="1" containsInteger="1" minValue="0" maxValue="3"/>
    </cacheField>
    <cacheField name="Maximum" numFmtId="0">
      <sharedItems containsSemiMixedTypes="0" containsString="0" containsNumber="1" containsInteger="1" minValue="1" maxValue="28"/>
    </cacheField>
    <cacheField name="LastRecordedValue" numFmtId="0">
      <sharedItems containsSemiMixedTypes="0" containsString="0" containsNumber="1" minValue="0" maxValue="9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0" maxValue="10"/>
    </cacheField>
    <cacheField name="AverageOfAverage" numFmtId="0">
      <sharedItems containsSemiMixedTypes="0" containsString="0" containsNumber="1" minValue="0" maxValue="4.9513834264802963"/>
    </cacheField>
    <cacheField name="StDevOfAverage" numFmtId="0">
      <sharedItems containsSemiMixedTypes="0" containsString="0" containsNumber="1" minValue="0" maxValue="0.10244397191297382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7.3284002783010616E-2"/>
    </cacheField>
    <cacheField name="MinimumAverage" numFmtId="0">
      <sharedItems containsSemiMixedTypes="0" containsString="0" containsNumber="1" minValue="0" maxValue="4.82855853416822"/>
    </cacheField>
    <cacheField name="MaximumAverage" numFmtId="0">
      <sharedItems containsSemiMixedTypes="0" containsString="0" containsNumber="1" minValue="0" maxValue="5.1212851674768203"/>
    </cacheField>
    <cacheField name="SummaryHalfWidth" numFmtId="0">
      <sharedItems containsSemiMixedTypes="0" containsString="0" containsNumber="1" minValue="0" maxValue="7.3284002783010616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0">
  <r>
    <x v="0"/>
    <s v="2026-08-31 10:13:27"/>
    <n v="1"/>
    <x v="0"/>
    <x v="0"/>
    <x v="0"/>
    <n v="0.850369924877317"/>
    <n v="6.4355710471902597E-2"/>
    <n v="0"/>
    <n v="31.983031302690499"/>
    <n v="19448"/>
    <s v="Unnamed ProjectEnter Request AGV.QueueWaiting TimeQueue"/>
    <n v="10"/>
    <n v="0.87003020736678138"/>
    <n v="2.8005942703720147E-2"/>
    <n v="0.95"/>
    <n v="2.0034244521324955E-2"/>
    <n v="0.83826171429315199"/>
    <n v="0.93377738042775704"/>
    <n v="0"/>
    <n v="33.778883781342302"/>
    <n v="19615.599999999999"/>
    <n v="2.0034244521324955E-2"/>
    <n v="10"/>
    <n v="1"/>
  </r>
  <r>
    <x v="0"/>
    <s v="2026-08-31 10:13:27"/>
    <n v="2"/>
    <x v="0"/>
    <x v="0"/>
    <x v="0"/>
    <n v="0.89328295982763295"/>
    <n v="4.9468855972127003E-2"/>
    <n v="0"/>
    <n v="33.778883781342302"/>
    <n v="19625"/>
    <s v="Unnamed ProjectEnter Request AGV.QueueWaiting TimeQueue"/>
    <n v="10"/>
    <n v="0.87003020736678138"/>
    <n v="2.8005942703720147E-2"/>
    <n v="0.95"/>
    <n v="2.0034244521324955E-2"/>
    <n v="0.83826171429315199"/>
    <n v="0.93377738042775704"/>
    <n v="0"/>
    <n v="33.778883781342302"/>
    <n v="19615.599999999999"/>
    <n v="2.0034244521324955E-2"/>
    <n v="10"/>
    <n v="1"/>
  </r>
  <r>
    <x v="0"/>
    <s v="2026-08-31 10:13:27"/>
    <n v="3"/>
    <x v="0"/>
    <x v="0"/>
    <x v="0"/>
    <n v="0.86223121377624301"/>
    <n v="5.3119910068428297E-2"/>
    <n v="0"/>
    <n v="33.059568108292297"/>
    <n v="19410"/>
    <s v="Unnamed ProjectEnter Request AGV.QueueWaiting TimeQueue"/>
    <n v="10"/>
    <n v="0.87003020736678138"/>
    <n v="2.8005942703720147E-2"/>
    <n v="0.95"/>
    <n v="2.0034244521324955E-2"/>
    <n v="0.83826171429315199"/>
    <n v="0.93377738042775704"/>
    <n v="0"/>
    <n v="33.778883781342302"/>
    <n v="19615.599999999999"/>
    <n v="2.0034244521324955E-2"/>
    <n v="10"/>
    <n v="1"/>
  </r>
  <r>
    <x v="0"/>
    <s v="2026-08-31 10:13:27"/>
    <n v="4"/>
    <x v="0"/>
    <x v="0"/>
    <x v="0"/>
    <n v="0.93377738042775704"/>
    <n v="6.7954064091491295E-2"/>
    <n v="0"/>
    <n v="30.334625135583298"/>
    <n v="19914"/>
    <s v="Unnamed ProjectEnter Request AGV.QueueWaiting TimeQueue"/>
    <n v="10"/>
    <n v="0.87003020736678138"/>
    <n v="2.8005942703720147E-2"/>
    <n v="0.95"/>
    <n v="2.0034244521324955E-2"/>
    <n v="0.83826171429315199"/>
    <n v="0.93377738042775704"/>
    <n v="0"/>
    <n v="33.778883781342302"/>
    <n v="19615.599999999999"/>
    <n v="2.0034244521324955E-2"/>
    <n v="10"/>
    <n v="1"/>
  </r>
  <r>
    <x v="0"/>
    <s v="2026-08-31 10:13:27"/>
    <n v="5"/>
    <x v="0"/>
    <x v="0"/>
    <x v="0"/>
    <n v="0.85718875362290603"/>
    <n v="5.1703934605946203E-2"/>
    <n v="0"/>
    <n v="23.3562550560018"/>
    <n v="19496"/>
    <s v="Unnamed ProjectEnter Request AGV.QueueWaiting TimeQueue"/>
    <n v="10"/>
    <n v="0.87003020736678138"/>
    <n v="2.8005942703720147E-2"/>
    <n v="0.95"/>
    <n v="2.0034244521324955E-2"/>
    <n v="0.83826171429315199"/>
    <n v="0.93377738042775704"/>
    <n v="0"/>
    <n v="33.778883781342302"/>
    <n v="19615.599999999999"/>
    <n v="2.0034244521324955E-2"/>
    <n v="10"/>
    <n v="1"/>
  </r>
  <r>
    <x v="0"/>
    <s v="2026-08-31 10:13:27"/>
    <n v="6"/>
    <x v="0"/>
    <x v="0"/>
    <x v="0"/>
    <n v="0.87314191155849497"/>
    <n v="6.3752315428236506E-2"/>
    <n v="0"/>
    <n v="29.734376076143199"/>
    <n v="19859"/>
    <s v="Unnamed ProjectEnter Request AGV.QueueWaiting TimeQueue"/>
    <n v="10"/>
    <n v="0.87003020736678138"/>
    <n v="2.8005942703720147E-2"/>
    <n v="0.95"/>
    <n v="2.0034244521324955E-2"/>
    <n v="0.83826171429315199"/>
    <n v="0.93377738042775704"/>
    <n v="0"/>
    <n v="33.778883781342302"/>
    <n v="19615.599999999999"/>
    <n v="2.0034244521324955E-2"/>
    <n v="10"/>
    <n v="1"/>
  </r>
  <r>
    <x v="0"/>
    <s v="2026-08-31 10:13:27"/>
    <n v="7"/>
    <x v="0"/>
    <x v="0"/>
    <x v="0"/>
    <n v="0.85346707895947804"/>
    <n v="6.2556637077499797E-2"/>
    <n v="0"/>
    <n v="30.7774595439842"/>
    <n v="19567"/>
    <s v="Unnamed ProjectEnter Request AGV.QueueWaiting TimeQueue"/>
    <n v="10"/>
    <n v="0.87003020736678138"/>
    <n v="2.8005942703720147E-2"/>
    <n v="0.95"/>
    <n v="2.0034244521324955E-2"/>
    <n v="0.83826171429315199"/>
    <n v="0.93377738042775704"/>
    <n v="0"/>
    <n v="33.778883781342302"/>
    <n v="19615.599999999999"/>
    <n v="2.0034244521324955E-2"/>
    <n v="10"/>
    <n v="1"/>
  </r>
  <r>
    <x v="0"/>
    <s v="2026-08-31 10:13:27"/>
    <n v="8"/>
    <x v="0"/>
    <x v="0"/>
    <x v="0"/>
    <n v="0.88584347904404004"/>
    <n v="6.1051724579068802E-2"/>
    <n v="0"/>
    <n v="29.371288022550299"/>
    <n v="19692"/>
    <s v="Unnamed ProjectEnter Request AGV.QueueWaiting TimeQueue"/>
    <n v="10"/>
    <n v="0.87003020736678138"/>
    <n v="2.8005942703720147E-2"/>
    <n v="0.95"/>
    <n v="2.0034244521324955E-2"/>
    <n v="0.83826171429315199"/>
    <n v="0.93377738042775704"/>
    <n v="0"/>
    <n v="33.778883781342302"/>
    <n v="19615.599999999999"/>
    <n v="2.0034244521324955E-2"/>
    <n v="10"/>
    <n v="1"/>
  </r>
  <r>
    <x v="0"/>
    <s v="2026-08-31 10:13:27"/>
    <n v="9"/>
    <x v="0"/>
    <x v="0"/>
    <x v="0"/>
    <n v="0.85273765728079298"/>
    <n v="6.4115782221657494E-2"/>
    <n v="0"/>
    <n v="29.2648525185068"/>
    <n v="19611"/>
    <s v="Unnamed ProjectEnter Request AGV.QueueWaiting TimeQueue"/>
    <n v="10"/>
    <n v="0.87003020736678138"/>
    <n v="2.8005942703720147E-2"/>
    <n v="0.95"/>
    <n v="2.0034244521324955E-2"/>
    <n v="0.83826171429315199"/>
    <n v="0.93377738042775704"/>
    <n v="0"/>
    <n v="33.778883781342302"/>
    <n v="19615.599999999999"/>
    <n v="2.0034244521324955E-2"/>
    <n v="10"/>
    <n v="1"/>
  </r>
  <r>
    <x v="0"/>
    <s v="2026-08-31 10:13:27"/>
    <n v="10"/>
    <x v="0"/>
    <x v="0"/>
    <x v="0"/>
    <n v="0.83826171429315199"/>
    <n v="5.7349746629996499E-2"/>
    <n v="0"/>
    <n v="33.546391302923404"/>
    <n v="19534"/>
    <s v="Unnamed ProjectEnter Request AGV.QueueWaiting TimeQueue"/>
    <n v="10"/>
    <n v="0.87003020736678138"/>
    <n v="2.8005942703720147E-2"/>
    <n v="0.95"/>
    <n v="2.0034244521324955E-2"/>
    <n v="0.83826171429315199"/>
    <n v="0.93377738042775704"/>
    <n v="0"/>
    <n v="33.778883781342302"/>
    <n v="19615.599999999999"/>
    <n v="2.0034244521324955E-2"/>
    <n v="10"/>
    <n v="1"/>
  </r>
  <r>
    <x v="0"/>
    <s v="2026-08-31 10:13:27"/>
    <n v="1"/>
    <x v="1"/>
    <x v="0"/>
    <x v="0"/>
    <n v="19.531746348514101"/>
    <n v="2.3768656012307501"/>
    <n v="0"/>
    <n v="263.704336768948"/>
    <n v="5952"/>
    <s v="Unnamed ProjectNewPaintQWaiting TimeQueue"/>
    <n v="10"/>
    <n v="17.877754419533279"/>
    <n v="1.2344822011681438"/>
    <n v="0.95"/>
    <n v="0.88309536790349896"/>
    <n v="16.315543542422098"/>
    <n v="19.8058924736855"/>
    <n v="0"/>
    <n v="311.52316658588802"/>
    <n v="5893"/>
    <n v="0.88309536790349896"/>
    <n v="10"/>
    <n v="1"/>
  </r>
  <r>
    <x v="0"/>
    <s v="2026-08-31 10:13:27"/>
    <n v="2"/>
    <x v="1"/>
    <x v="0"/>
    <x v="0"/>
    <n v="17.233895350300099"/>
    <n v="1.51099166343952"/>
    <n v="0"/>
    <n v="229.59007375431199"/>
    <n v="5898"/>
    <s v="Unnamed ProjectNewPaintQWaiting TimeQueue"/>
    <n v="10"/>
    <n v="17.877754419533279"/>
    <n v="1.2344822011681438"/>
    <n v="0.95"/>
    <n v="0.88309536790349896"/>
    <n v="16.315543542422098"/>
    <n v="19.8058924736855"/>
    <n v="0"/>
    <n v="311.52316658588802"/>
    <n v="5893"/>
    <n v="0.88309536790349896"/>
    <n v="10"/>
    <n v="1"/>
  </r>
  <r>
    <x v="0"/>
    <s v="2026-08-31 10:13:27"/>
    <n v="3"/>
    <x v="1"/>
    <x v="0"/>
    <x v="0"/>
    <n v="16.315543542422098"/>
    <n v="1.3818024659347701"/>
    <n v="0"/>
    <n v="219.98196430622201"/>
    <n v="5736"/>
    <s v="Unnamed ProjectNewPaintQWaiting TimeQueue"/>
    <n v="10"/>
    <n v="17.877754419533279"/>
    <n v="1.2344822011681438"/>
    <n v="0.95"/>
    <n v="0.88309536790349896"/>
    <n v="16.315543542422098"/>
    <n v="19.8058924736855"/>
    <n v="0"/>
    <n v="311.52316658588802"/>
    <n v="5893"/>
    <n v="0.88309536790349896"/>
    <n v="10"/>
    <n v="1"/>
  </r>
  <r>
    <x v="0"/>
    <s v="2026-08-31 10:13:27"/>
    <n v="4"/>
    <x v="1"/>
    <x v="0"/>
    <x v="0"/>
    <n v="19.8058924736855"/>
    <n v="1.6491647273425001"/>
    <n v="0"/>
    <n v="311.52316658588802"/>
    <n v="6053"/>
    <s v="Unnamed ProjectNewPaintQWaiting TimeQueue"/>
    <n v="10"/>
    <n v="17.877754419533279"/>
    <n v="1.2344822011681438"/>
    <n v="0.95"/>
    <n v="0.88309536790349896"/>
    <n v="16.315543542422098"/>
    <n v="19.8058924736855"/>
    <n v="0"/>
    <n v="311.52316658588802"/>
    <n v="5893"/>
    <n v="0.88309536790349896"/>
    <n v="10"/>
    <n v="1"/>
  </r>
  <r>
    <x v="0"/>
    <s v="2026-08-31 10:13:27"/>
    <n v="5"/>
    <x v="1"/>
    <x v="0"/>
    <x v="0"/>
    <n v="17.553747567346601"/>
    <n v="1.9205691370918101"/>
    <n v="0"/>
    <n v="231.99173846928201"/>
    <n v="5819"/>
    <s v="Unnamed ProjectNewPaintQWaiting TimeQueue"/>
    <n v="10"/>
    <n v="17.877754419533279"/>
    <n v="1.2344822011681438"/>
    <n v="0.95"/>
    <n v="0.88309536790349896"/>
    <n v="16.315543542422098"/>
    <n v="19.8058924736855"/>
    <n v="0"/>
    <n v="311.52316658588802"/>
    <n v="5893"/>
    <n v="0.88309536790349896"/>
    <n v="10"/>
    <n v="1"/>
  </r>
  <r>
    <x v="0"/>
    <s v="2026-08-31 10:13:27"/>
    <n v="6"/>
    <x v="1"/>
    <x v="0"/>
    <x v="0"/>
    <n v="19.0386998594077"/>
    <n v="2.1103267682523001"/>
    <n v="0"/>
    <n v="215.48634607112001"/>
    <n v="5986"/>
    <s v="Unnamed ProjectNewPaintQWaiting TimeQueue"/>
    <n v="10"/>
    <n v="17.877754419533279"/>
    <n v="1.2344822011681438"/>
    <n v="0.95"/>
    <n v="0.88309536790349896"/>
    <n v="16.315543542422098"/>
    <n v="19.8058924736855"/>
    <n v="0"/>
    <n v="311.52316658588802"/>
    <n v="5893"/>
    <n v="0.88309536790349896"/>
    <n v="10"/>
    <n v="1"/>
  </r>
  <r>
    <x v="0"/>
    <s v="2026-08-31 10:13:27"/>
    <n v="7"/>
    <x v="1"/>
    <x v="0"/>
    <x v="0"/>
    <n v="18.064821159948998"/>
    <n v="1.8473736660540101"/>
    <n v="0"/>
    <n v="196.54961675696501"/>
    <n v="5935"/>
    <s v="Unnamed ProjectNewPaintQWaiting TimeQueue"/>
    <n v="10"/>
    <n v="17.877754419533279"/>
    <n v="1.2344822011681438"/>
    <n v="0.95"/>
    <n v="0.88309536790349896"/>
    <n v="16.315543542422098"/>
    <n v="19.8058924736855"/>
    <n v="0"/>
    <n v="311.52316658588802"/>
    <n v="5893"/>
    <n v="0.88309536790349896"/>
    <n v="10"/>
    <n v="1"/>
  </r>
  <r>
    <x v="0"/>
    <s v="2026-08-31 10:13:27"/>
    <n v="8"/>
    <x v="1"/>
    <x v="0"/>
    <x v="0"/>
    <n v="17.785882361689101"/>
    <n v="1.63434190709476"/>
    <n v="0"/>
    <n v="215.133233923349"/>
    <n v="5882"/>
    <s v="Unnamed ProjectNewPaintQWaiting TimeQueue"/>
    <n v="10"/>
    <n v="17.877754419533279"/>
    <n v="1.2344822011681438"/>
    <n v="0.95"/>
    <n v="0.88309536790349896"/>
    <n v="16.315543542422098"/>
    <n v="19.8058924736855"/>
    <n v="0"/>
    <n v="311.52316658588802"/>
    <n v="5893"/>
    <n v="0.88309536790349896"/>
    <n v="10"/>
    <n v="1"/>
  </r>
  <r>
    <x v="0"/>
    <s v="2026-08-31 10:13:27"/>
    <n v="9"/>
    <x v="1"/>
    <x v="0"/>
    <x v="0"/>
    <n v="16.372256004456599"/>
    <n v="1.91363805360164"/>
    <n v="0"/>
    <n v="194.72322206030401"/>
    <n v="5843"/>
    <s v="Unnamed ProjectNewPaintQWaiting TimeQueue"/>
    <n v="10"/>
    <n v="17.877754419533279"/>
    <n v="1.2344822011681438"/>
    <n v="0.95"/>
    <n v="0.88309536790349896"/>
    <n v="16.315543542422098"/>
    <n v="19.8058924736855"/>
    <n v="0"/>
    <n v="311.52316658588802"/>
    <n v="5893"/>
    <n v="0.88309536790349896"/>
    <n v="10"/>
    <n v="1"/>
  </r>
  <r>
    <x v="0"/>
    <s v="2026-08-31 10:13:27"/>
    <n v="10"/>
    <x v="1"/>
    <x v="0"/>
    <x v="0"/>
    <n v="17.075059527562001"/>
    <n v="2.0154456744066298"/>
    <n v="0"/>
    <n v="222.45641474824501"/>
    <n v="5826"/>
    <s v="Unnamed ProjectNewPaintQWaiting TimeQueue"/>
    <n v="10"/>
    <n v="17.877754419533279"/>
    <n v="1.2344822011681438"/>
    <n v="0.95"/>
    <n v="0.88309536790349896"/>
    <n v="16.315543542422098"/>
    <n v="19.8058924736855"/>
    <n v="0"/>
    <n v="311.52316658588802"/>
    <n v="5893"/>
    <n v="0.88309536790349896"/>
    <n v="10"/>
    <n v="1"/>
  </r>
  <r>
    <x v="0"/>
    <s v="2026-08-31 10:13:27"/>
    <n v="1"/>
    <x v="2"/>
    <x v="0"/>
    <x v="0"/>
    <n v="0.470066993766175"/>
    <n v="3.63709130244367E-2"/>
    <n v="0"/>
    <n v="13.949209548533"/>
    <n v="5953"/>
    <s v="Unnamed ProjectNewPaintReqQWaiting TimeQueue"/>
    <n v="10"/>
    <n v="0.44287276234793865"/>
    <n v="1.529951245592906E-2"/>
    <n v="0.95"/>
    <n v="1.0944611893333057E-2"/>
    <n v="0.416512393402451"/>
    <n v="0.470066993766175"/>
    <n v="0"/>
    <n v="16.886307490174701"/>
    <n v="5892.9"/>
    <n v="1.0944611893333057E-2"/>
    <n v="10"/>
    <n v="1"/>
  </r>
  <r>
    <x v="0"/>
    <s v="2026-08-31 10:13:27"/>
    <n v="2"/>
    <x v="2"/>
    <x v="0"/>
    <x v="0"/>
    <n v="0.44547219490527501"/>
    <n v="2.9698166001810002E-2"/>
    <n v="0"/>
    <n v="12.7299937624484"/>
    <n v="5897"/>
    <s v="Unnamed ProjectNewPaintReqQWaiting TimeQueue"/>
    <n v="10"/>
    <n v="0.44287276234793865"/>
    <n v="1.529951245592906E-2"/>
    <n v="0.95"/>
    <n v="1.0944611893333057E-2"/>
    <n v="0.416512393402451"/>
    <n v="0.470066993766175"/>
    <n v="0"/>
    <n v="16.886307490174701"/>
    <n v="5892.9"/>
    <n v="1.0944611893333057E-2"/>
    <n v="10"/>
    <n v="1"/>
  </r>
  <r>
    <x v="0"/>
    <s v="2026-08-31 10:13:27"/>
    <n v="3"/>
    <x v="2"/>
    <x v="0"/>
    <x v="0"/>
    <n v="0.416512393402451"/>
    <n v="4.2745865207470701E-2"/>
    <n v="0"/>
    <n v="13.997804674028901"/>
    <n v="5736"/>
    <s v="Unnamed ProjectNewPaintReqQWaiting TimeQueue"/>
    <n v="10"/>
    <n v="0.44287276234793865"/>
    <n v="1.529951245592906E-2"/>
    <n v="0.95"/>
    <n v="1.0944611893333057E-2"/>
    <n v="0.416512393402451"/>
    <n v="0.470066993766175"/>
    <n v="0"/>
    <n v="16.886307490174701"/>
    <n v="5892.9"/>
    <n v="1.0944611893333057E-2"/>
    <n v="10"/>
    <n v="1"/>
  </r>
  <r>
    <x v="0"/>
    <s v="2026-08-31 10:13:27"/>
    <n v="4"/>
    <x v="2"/>
    <x v="0"/>
    <x v="0"/>
    <n v="0.44496860582999598"/>
    <n v="3.9113414506200199E-2"/>
    <n v="0"/>
    <n v="12.5686949208612"/>
    <n v="6053"/>
    <s v="Unnamed ProjectNewPaintReqQWaiting TimeQueue"/>
    <n v="10"/>
    <n v="0.44287276234793865"/>
    <n v="1.529951245592906E-2"/>
    <n v="0.95"/>
    <n v="1.0944611893333057E-2"/>
    <n v="0.416512393402451"/>
    <n v="0.470066993766175"/>
    <n v="0"/>
    <n v="16.886307490174701"/>
    <n v="5892.9"/>
    <n v="1.0944611893333057E-2"/>
    <n v="10"/>
    <n v="1"/>
  </r>
  <r>
    <x v="0"/>
    <s v="2026-08-31 10:13:27"/>
    <n v="5"/>
    <x v="2"/>
    <x v="0"/>
    <x v="0"/>
    <n v="0.44018061818030702"/>
    <n v="3.0441999623682599E-2"/>
    <n v="0"/>
    <n v="16.401872125308699"/>
    <n v="5820"/>
    <s v="Unnamed ProjectNewPaintReqQWaiting TimeQueue"/>
    <n v="10"/>
    <n v="0.44287276234793865"/>
    <n v="1.529951245592906E-2"/>
    <n v="0.95"/>
    <n v="1.0944611893333057E-2"/>
    <n v="0.416512393402451"/>
    <n v="0.470066993766175"/>
    <n v="0"/>
    <n v="16.886307490174701"/>
    <n v="5892.9"/>
    <n v="1.0944611893333057E-2"/>
    <n v="10"/>
    <n v="1"/>
  </r>
  <r>
    <x v="0"/>
    <s v="2026-08-31 10:13:27"/>
    <n v="6"/>
    <x v="2"/>
    <x v="0"/>
    <x v="0"/>
    <n v="0.45089274371911198"/>
    <n v="3.3984065404940103E-2"/>
    <n v="0"/>
    <n v="14.765432678948899"/>
    <n v="5986"/>
    <s v="Unnamed ProjectNewPaintReqQWaiting TimeQueue"/>
    <n v="10"/>
    <n v="0.44287276234793865"/>
    <n v="1.529951245592906E-2"/>
    <n v="0.95"/>
    <n v="1.0944611893333057E-2"/>
    <n v="0.416512393402451"/>
    <n v="0.470066993766175"/>
    <n v="0"/>
    <n v="16.886307490174701"/>
    <n v="5892.9"/>
    <n v="1.0944611893333057E-2"/>
    <n v="10"/>
    <n v="1"/>
  </r>
  <r>
    <x v="0"/>
    <s v="2026-08-31 10:13:27"/>
    <n v="7"/>
    <x v="2"/>
    <x v="0"/>
    <x v="0"/>
    <n v="0.42328995045693701"/>
    <n v="3.4909075634838402E-2"/>
    <n v="0"/>
    <n v="14.945413573936101"/>
    <n v="5934"/>
    <s v="Unnamed ProjectNewPaintReqQWaiting TimeQueue"/>
    <n v="10"/>
    <n v="0.44287276234793865"/>
    <n v="1.529951245592906E-2"/>
    <n v="0.95"/>
    <n v="1.0944611893333057E-2"/>
    <n v="0.416512393402451"/>
    <n v="0.470066993766175"/>
    <n v="0"/>
    <n v="16.886307490174701"/>
    <n v="5892.9"/>
    <n v="1.0944611893333057E-2"/>
    <n v="10"/>
    <n v="1"/>
  </r>
  <r>
    <x v="0"/>
    <s v="2026-08-31 10:13:27"/>
    <n v="8"/>
    <x v="2"/>
    <x v="0"/>
    <x v="0"/>
    <n v="0.43632440771525599"/>
    <n v="3.7045093740127398E-2"/>
    <n v="0"/>
    <n v="11.3637302178249"/>
    <n v="5882"/>
    <s v="Unnamed ProjectNewPaintReqQWaiting TimeQueue"/>
    <n v="10"/>
    <n v="0.44287276234793865"/>
    <n v="1.529951245592906E-2"/>
    <n v="0.95"/>
    <n v="1.0944611893333057E-2"/>
    <n v="0.416512393402451"/>
    <n v="0.470066993766175"/>
    <n v="0"/>
    <n v="16.886307490174701"/>
    <n v="5892.9"/>
    <n v="1.0944611893333057E-2"/>
    <n v="10"/>
    <n v="1"/>
  </r>
  <r>
    <x v="0"/>
    <s v="2026-08-31 10:13:27"/>
    <n v="9"/>
    <x v="2"/>
    <x v="0"/>
    <x v="0"/>
    <n v="0.45533402533937301"/>
    <n v="2.6089241268033501E-2"/>
    <n v="0"/>
    <n v="15.7044103004737"/>
    <n v="5843"/>
    <s v="Unnamed ProjectNewPaintReqQWaiting TimeQueue"/>
    <n v="10"/>
    <n v="0.44287276234793865"/>
    <n v="1.529951245592906E-2"/>
    <n v="0.95"/>
    <n v="1.0944611893333057E-2"/>
    <n v="0.416512393402451"/>
    <n v="0.470066993766175"/>
    <n v="0"/>
    <n v="16.886307490174701"/>
    <n v="5892.9"/>
    <n v="1.0944611893333057E-2"/>
    <n v="10"/>
    <n v="1"/>
  </r>
  <r>
    <x v="0"/>
    <s v="2026-08-31 10:13:27"/>
    <n v="10"/>
    <x v="2"/>
    <x v="0"/>
    <x v="0"/>
    <n v="0.44568569016450399"/>
    <n v="3.2102471562732E-2"/>
    <n v="0"/>
    <n v="16.886307490174701"/>
    <n v="5825"/>
    <s v="Unnamed ProjectNewPaintReqQWaiting TimeQueue"/>
    <n v="10"/>
    <n v="0.44287276234793865"/>
    <n v="1.529951245592906E-2"/>
    <n v="0.95"/>
    <n v="1.0944611893333057E-2"/>
    <n v="0.416512393402451"/>
    <n v="0.470066993766175"/>
    <n v="0"/>
    <n v="16.886307490174701"/>
    <n v="5892.9"/>
    <n v="1.0944611893333057E-2"/>
    <n v="10"/>
    <n v="1"/>
  </r>
  <r>
    <x v="0"/>
    <s v="2026-08-31 10:13:27"/>
    <n v="1"/>
    <x v="3"/>
    <x v="1"/>
    <x v="1"/>
    <n v="0"/>
    <n v="0"/>
    <n v="0"/>
    <n v="0"/>
    <n v="17074"/>
    <s v="Unnamed ProjectNewPartNVA TimeEntity"/>
    <n v="10"/>
    <n v="0"/>
    <n v="0"/>
    <n v="0.95"/>
    <n v="0"/>
    <n v="0"/>
    <n v="0"/>
    <n v="0"/>
    <n v="0"/>
    <n v="16948.099999999999"/>
    <n v="0"/>
    <n v="10"/>
    <n v="1"/>
  </r>
  <r>
    <x v="0"/>
    <s v="2026-08-31 10:13:27"/>
    <n v="1"/>
    <x v="3"/>
    <x v="2"/>
    <x v="1"/>
    <n v="36.091942542111198"/>
    <n v="0.56772366419610998"/>
    <n v="0"/>
    <n v="135.94019767560499"/>
    <n v="17074"/>
    <s v="Unnamed ProjectNewPartOther TimeEntity"/>
    <n v="10"/>
    <n v="35.934414689251412"/>
    <n v="0.26771685495243369"/>
    <n v="0.95"/>
    <n v="0.19151310103497018"/>
    <n v="35.585131921280997"/>
    <n v="36.412431328094101"/>
    <n v="0"/>
    <n v="139.43951735453399"/>
    <n v="16948.099999999999"/>
    <n v="0.19151310103497018"/>
    <n v="10"/>
    <n v="1"/>
  </r>
  <r>
    <x v="0"/>
    <s v="2026-08-31 10:13:27"/>
    <n v="1"/>
    <x v="3"/>
    <x v="3"/>
    <x v="1"/>
    <n v="83.626386392305605"/>
    <n v="3.49807557613327"/>
    <n v="2.7999999993480702"/>
    <n v="617.61406575056003"/>
    <n v="17074"/>
    <s v="Unnamed ProjectNewPartTotal TimeEntity"/>
    <n v="10"/>
    <n v="82.733209003874819"/>
    <n v="1.6900397531056797"/>
    <n v="0.95"/>
    <n v="1.208981608749105"/>
    <n v="79.888714563311297"/>
    <n v="85.472032926843298"/>
    <n v="2.7999999993480702"/>
    <n v="845.65217638315505"/>
    <n v="16948.099999999999"/>
    <n v="1.208981608749105"/>
    <n v="10"/>
    <n v="1"/>
  </r>
  <r>
    <x v="0"/>
    <s v="2026-08-31 10:13:27"/>
    <n v="1"/>
    <x v="3"/>
    <x v="4"/>
    <x v="1"/>
    <n v="14.796260321484301"/>
    <n v="0.185645099912499"/>
    <n v="2.7999999993480702"/>
    <n v="157.78476579158499"/>
    <n v="17074"/>
    <s v="Unnamed ProjectNewPartTransfer TimeEntity"/>
    <n v="10"/>
    <n v="14.7745214286692"/>
    <n v="7.7759386666993585E-2"/>
    <n v="0.95"/>
    <n v="5.5625714256277083E-2"/>
    <n v="14.6618730503506"/>
    <n v="14.8939029254873"/>
    <n v="2.7999999993480702"/>
    <n v="238.155938771786"/>
    <n v="16948.099999999999"/>
    <n v="5.5625714256277083E-2"/>
    <n v="10"/>
    <n v="1"/>
  </r>
  <r>
    <x v="0"/>
    <s v="2026-08-31 10:13:27"/>
    <n v="1"/>
    <x v="3"/>
    <x v="5"/>
    <x v="1"/>
    <n v="2.7897387841161998"/>
    <n v="4.2172884003933098E-2"/>
    <n v="0"/>
    <n v="8"/>
    <n v="17074"/>
    <s v="Unnamed ProjectNewPartVA TimeEntity"/>
    <n v="10"/>
    <n v="2.7815747315743584"/>
    <n v="1.9879202576934346E-2"/>
    <n v="0.95"/>
    <n v="1.4220724848599816E-2"/>
    <n v="2.7543620985390902"/>
    <n v="2.8163573963120401"/>
    <n v="0"/>
    <n v="8.0000000000145501"/>
    <n v="16948.099999999999"/>
    <n v="1.4220724848599816E-2"/>
    <n v="10"/>
    <n v="1"/>
  </r>
  <r>
    <x v="0"/>
    <s v="2026-08-31 10:13:27"/>
    <n v="1"/>
    <x v="3"/>
    <x v="6"/>
    <x v="1"/>
    <n v="29.948444744594099"/>
    <n v="3.0254326927403001"/>
    <n v="0"/>
    <n v="473.78637840098202"/>
    <n v="17074"/>
    <s v="Unnamed ProjectNewPartWait TimeEntity"/>
    <n v="10"/>
    <n v="29.242698154379905"/>
    <n v="1.5503795036667449"/>
    <n v="0.95"/>
    <n v="1.1090746848233775"/>
    <n v="26.632812348859499"/>
    <n v="31.8400605329516"/>
    <n v="0"/>
    <n v="707.09586624841904"/>
    <n v="16948.099999999999"/>
    <n v="1.1090746848233775"/>
    <n v="10"/>
    <n v="1"/>
  </r>
  <r>
    <x v="0"/>
    <s v="2026-08-31 10:13:27"/>
    <n v="2"/>
    <x v="3"/>
    <x v="1"/>
    <x v="1"/>
    <n v="0"/>
    <n v="0"/>
    <n v="0"/>
    <n v="0"/>
    <n v="17011"/>
    <s v="Unnamed ProjectNewPartNVA TimeEntity"/>
    <n v="10"/>
    <n v="0"/>
    <n v="0"/>
    <n v="0.95"/>
    <n v="0"/>
    <n v="0"/>
    <n v="0"/>
    <n v="0"/>
    <n v="0"/>
    <n v="16948.099999999999"/>
    <n v="0"/>
    <n v="10"/>
    <n v="1"/>
  </r>
  <r>
    <x v="0"/>
    <s v="2026-08-31 10:13:27"/>
    <n v="2"/>
    <x v="3"/>
    <x v="2"/>
    <x v="1"/>
    <n v="35.810892299419997"/>
    <n v="0.51763417685317703"/>
    <n v="0"/>
    <n v="134.23049248720099"/>
    <n v="17011"/>
    <s v="Unnamed ProjectNewPartOther TimeEntity"/>
    <n v="10"/>
    <n v="35.934414689251412"/>
    <n v="0.26771685495243369"/>
    <n v="0.95"/>
    <n v="0.19151310103497018"/>
    <n v="35.585131921280997"/>
    <n v="36.412431328094101"/>
    <n v="0"/>
    <n v="139.43951735453399"/>
    <n v="16948.099999999999"/>
    <n v="0.19151310103497018"/>
    <n v="10"/>
    <n v="1"/>
  </r>
  <r>
    <x v="0"/>
    <s v="2026-08-31 10:13:27"/>
    <n v="2"/>
    <x v="3"/>
    <x v="3"/>
    <x v="1"/>
    <n v="82.554626907033395"/>
    <n v="3.1894552837711299"/>
    <n v="2.7999999993480702"/>
    <n v="614.500025696085"/>
    <n v="17011"/>
    <s v="Unnamed ProjectNewPartTotal TimeEntity"/>
    <n v="10"/>
    <n v="82.733209003874819"/>
    <n v="1.6900397531056797"/>
    <n v="0.95"/>
    <n v="1.208981608749105"/>
    <n v="79.888714563311297"/>
    <n v="85.472032926843298"/>
    <n v="2.7999999993480702"/>
    <n v="845.65217638315505"/>
    <n v="16948.099999999999"/>
    <n v="1.208981608749105"/>
    <n v="10"/>
    <n v="1"/>
  </r>
  <r>
    <x v="0"/>
    <s v="2026-08-31 10:13:27"/>
    <n v="2"/>
    <x v="3"/>
    <x v="4"/>
    <x v="1"/>
    <n v="14.7342861267487"/>
    <n v="0.18227972944301599"/>
    <n v="2.7999999993480702"/>
    <n v="148.79151303565601"/>
    <n v="17011"/>
    <s v="Unnamed ProjectNewPartTransfer TimeEntity"/>
    <n v="10"/>
    <n v="14.7745214286692"/>
    <n v="7.7759386666993585E-2"/>
    <n v="0.95"/>
    <n v="5.5625714256277083E-2"/>
    <n v="14.6618730503506"/>
    <n v="14.8939029254873"/>
    <n v="2.7999999993480702"/>
    <n v="238.155938771786"/>
    <n v="16948.099999999999"/>
    <n v="5.5625714256277083E-2"/>
    <n v="10"/>
    <n v="1"/>
  </r>
  <r>
    <x v="0"/>
    <s v="2026-08-31 10:13:27"/>
    <n v="2"/>
    <x v="3"/>
    <x v="5"/>
    <x v="1"/>
    <n v="2.77279407442244"/>
    <n v="4.0052483546094003E-2"/>
    <n v="0"/>
    <n v="8"/>
    <n v="17011"/>
    <s v="Unnamed ProjectNewPartVA TimeEntity"/>
    <n v="10"/>
    <n v="2.7815747315743584"/>
    <n v="1.9879202576934346E-2"/>
    <n v="0.95"/>
    <n v="1.4220724848599816E-2"/>
    <n v="2.7543620985390902"/>
    <n v="2.8163573963120401"/>
    <n v="0"/>
    <n v="8.0000000000145501"/>
    <n v="16948.099999999999"/>
    <n v="1.4220724848599816E-2"/>
    <n v="10"/>
    <n v="1"/>
  </r>
  <r>
    <x v="0"/>
    <s v="2026-08-31 10:13:27"/>
    <n v="2"/>
    <x v="3"/>
    <x v="6"/>
    <x v="1"/>
    <n v="29.236654406442501"/>
    <n v="2.7639154139605502"/>
    <n v="0"/>
    <n v="473.24142279215403"/>
    <n v="17011"/>
    <s v="Unnamed ProjectNewPartWait TimeEntity"/>
    <n v="10"/>
    <n v="29.242698154379905"/>
    <n v="1.5503795036667449"/>
    <n v="0.95"/>
    <n v="1.1090746848233775"/>
    <n v="26.632812348859499"/>
    <n v="31.8400605329516"/>
    <n v="0"/>
    <n v="707.09586624841904"/>
    <n v="16948.099999999999"/>
    <n v="1.1090746848233775"/>
    <n v="10"/>
    <n v="1"/>
  </r>
  <r>
    <x v="0"/>
    <s v="2026-08-31 10:13:27"/>
    <n v="3"/>
    <x v="3"/>
    <x v="1"/>
    <x v="1"/>
    <n v="0"/>
    <n v="0"/>
    <n v="0"/>
    <n v="0"/>
    <n v="16656"/>
    <s v="Unnamed ProjectNewPartNVA TimeEntity"/>
    <n v="10"/>
    <n v="0"/>
    <n v="0"/>
    <n v="0.95"/>
    <n v="0"/>
    <n v="0"/>
    <n v="0"/>
    <n v="0"/>
    <n v="0"/>
    <n v="16948.099999999999"/>
    <n v="0"/>
    <n v="10"/>
    <n v="1"/>
  </r>
  <r>
    <x v="0"/>
    <s v="2026-08-31 10:13:27"/>
    <n v="3"/>
    <x v="3"/>
    <x v="2"/>
    <x v="1"/>
    <n v="35.606956061298497"/>
    <n v="0.47692271517310802"/>
    <n v="0"/>
    <n v="135.694917163171"/>
    <n v="16656"/>
    <s v="Unnamed ProjectNewPartOther TimeEntity"/>
    <n v="10"/>
    <n v="35.934414689251412"/>
    <n v="0.26771685495243369"/>
    <n v="0.95"/>
    <n v="0.19151310103497018"/>
    <n v="35.585131921280997"/>
    <n v="36.412431328094101"/>
    <n v="0"/>
    <n v="139.43951735453399"/>
    <n v="16948.099999999999"/>
    <n v="0.19151310103497018"/>
    <n v="10"/>
    <n v="1"/>
  </r>
  <r>
    <x v="0"/>
    <s v="2026-08-31 10:13:27"/>
    <n v="3"/>
    <x v="3"/>
    <x v="3"/>
    <x v="1"/>
    <n v="79.888714563311297"/>
    <n v="2.0033661328882402"/>
    <n v="2.7999999993480702"/>
    <n v="660.65861487732002"/>
    <n v="16656"/>
    <s v="Unnamed ProjectNewPartTotal TimeEntity"/>
    <n v="10"/>
    <n v="82.733209003874819"/>
    <n v="1.6900397531056797"/>
    <n v="0.95"/>
    <n v="1.208981608749105"/>
    <n v="79.888714563311297"/>
    <n v="85.472032926843298"/>
    <n v="2.7999999993480702"/>
    <n v="845.65217638315505"/>
    <n v="16948.099999999999"/>
    <n v="1.208981608749105"/>
    <n v="10"/>
    <n v="1"/>
  </r>
  <r>
    <x v="0"/>
    <s v="2026-08-31 10:13:27"/>
    <n v="3"/>
    <x v="3"/>
    <x v="4"/>
    <x v="1"/>
    <n v="14.8939029254873"/>
    <n v="0.156499856646312"/>
    <n v="2.7999999993480702"/>
    <n v="184.04954556631901"/>
    <n v="16656"/>
    <s v="Unnamed ProjectNewPartTransfer TimeEntity"/>
    <n v="10"/>
    <n v="14.7745214286692"/>
    <n v="7.7759386666993585E-2"/>
    <n v="0.95"/>
    <n v="5.5625714256277083E-2"/>
    <n v="14.6618730503506"/>
    <n v="14.8939029254873"/>
    <n v="2.7999999993480702"/>
    <n v="238.155938771786"/>
    <n v="16948.099999999999"/>
    <n v="5.5625714256277083E-2"/>
    <n v="10"/>
    <n v="1"/>
  </r>
  <r>
    <x v="0"/>
    <s v="2026-08-31 10:13:27"/>
    <n v="3"/>
    <x v="3"/>
    <x v="5"/>
    <x v="1"/>
    <n v="2.75504322766571"/>
    <n v="3.53704913623092E-2"/>
    <n v="0"/>
    <n v="8"/>
    <n v="16656"/>
    <s v="Unnamed ProjectNewPartVA TimeEntity"/>
    <n v="10"/>
    <n v="2.7815747315743584"/>
    <n v="1.9879202576934346E-2"/>
    <n v="0.95"/>
    <n v="1.4220724848599816E-2"/>
    <n v="2.7543620985390902"/>
    <n v="2.8163573963120401"/>
    <n v="0"/>
    <n v="8.0000000000145501"/>
    <n v="16948.099999999999"/>
    <n v="1.4220724848599816E-2"/>
    <n v="10"/>
    <n v="1"/>
  </r>
  <r>
    <x v="0"/>
    <s v="2026-08-31 10:13:27"/>
    <n v="3"/>
    <x v="3"/>
    <x v="6"/>
    <x v="1"/>
    <n v="26.632812348859499"/>
    <n v="1.6596016487601799"/>
    <n v="0"/>
    <n v="498.81957094778801"/>
    <n v="16656"/>
    <s v="Unnamed ProjectNewPartWait TimeEntity"/>
    <n v="10"/>
    <n v="29.242698154379905"/>
    <n v="1.5503795036667449"/>
    <n v="0.95"/>
    <n v="1.1090746848233775"/>
    <n v="26.632812348859499"/>
    <n v="31.8400605329516"/>
    <n v="0"/>
    <n v="707.09586624841904"/>
    <n v="16948.099999999999"/>
    <n v="1.1090746848233775"/>
    <n v="10"/>
    <n v="1"/>
  </r>
  <r>
    <x v="0"/>
    <s v="2026-08-31 10:13:27"/>
    <n v="4"/>
    <x v="3"/>
    <x v="1"/>
    <x v="1"/>
    <n v="0"/>
    <n v="0"/>
    <n v="0"/>
    <n v="0"/>
    <n v="17191"/>
    <s v="Unnamed ProjectNewPartNVA TimeEntity"/>
    <n v="10"/>
    <n v="0"/>
    <n v="0"/>
    <n v="0.95"/>
    <n v="0"/>
    <n v="0"/>
    <n v="0"/>
    <n v="0"/>
    <n v="0"/>
    <n v="16948.099999999999"/>
    <n v="0"/>
    <n v="10"/>
    <n v="1"/>
  </r>
  <r>
    <x v="0"/>
    <s v="2026-08-31 10:13:27"/>
    <n v="4"/>
    <x v="3"/>
    <x v="2"/>
    <x v="1"/>
    <n v="36.412431328094101"/>
    <n v="0.47324879830436301"/>
    <n v="0"/>
    <n v="134.069214271032"/>
    <n v="17191"/>
    <s v="Unnamed ProjectNewPartOther TimeEntity"/>
    <n v="10"/>
    <n v="35.934414689251412"/>
    <n v="0.26771685495243369"/>
    <n v="0.95"/>
    <n v="0.19151310103497018"/>
    <n v="35.585131921280997"/>
    <n v="36.412431328094101"/>
    <n v="0"/>
    <n v="139.43951735453399"/>
    <n v="16948.099999999999"/>
    <n v="0.19151310103497018"/>
    <n v="10"/>
    <n v="1"/>
  </r>
  <r>
    <x v="0"/>
    <s v="2026-08-31 10:13:27"/>
    <n v="4"/>
    <x v="3"/>
    <x v="3"/>
    <x v="1"/>
    <n v="85.178465670332201"/>
    <n v="2.8284931788115699"/>
    <n v="2.7999999993480702"/>
    <n v="622.06068711943203"/>
    <n v="17191"/>
    <s v="Unnamed ProjectNewPartTotal TimeEntity"/>
    <n v="10"/>
    <n v="82.733209003874819"/>
    <n v="1.6900397531056797"/>
    <n v="0.95"/>
    <n v="1.208981608749105"/>
    <n v="79.888714563311297"/>
    <n v="85.472032926843298"/>
    <n v="2.7999999993480702"/>
    <n v="845.65217638315505"/>
    <n v="16948.099999999999"/>
    <n v="1.208981608749105"/>
    <n v="10"/>
    <n v="1"/>
  </r>
  <r>
    <x v="0"/>
    <s v="2026-08-31 10:13:27"/>
    <n v="4"/>
    <x v="3"/>
    <x v="4"/>
    <x v="1"/>
    <n v="14.6684666930911"/>
    <n v="0.18027028121672101"/>
    <n v="2.7999999993480702"/>
    <n v="115.552974494785"/>
    <n v="17191"/>
    <s v="Unnamed ProjectNewPartTransfer TimeEntity"/>
    <n v="10"/>
    <n v="14.7745214286692"/>
    <n v="7.7759386666993585E-2"/>
    <n v="0.95"/>
    <n v="5.5625714256277083E-2"/>
    <n v="14.6618730503506"/>
    <n v="14.8939029254873"/>
    <n v="2.7999999993480702"/>
    <n v="238.155938771786"/>
    <n v="16948.099999999999"/>
    <n v="5.5625714256277083E-2"/>
    <n v="10"/>
    <n v="1"/>
  </r>
  <r>
    <x v="0"/>
    <s v="2026-08-31 10:13:27"/>
    <n v="4"/>
    <x v="3"/>
    <x v="5"/>
    <x v="1"/>
    <n v="2.8163573963120401"/>
    <n v="3.6494239009581098E-2"/>
    <n v="0"/>
    <n v="8"/>
    <n v="17191"/>
    <s v="Unnamed ProjectNewPartVA TimeEntity"/>
    <n v="10"/>
    <n v="2.7815747315743584"/>
    <n v="1.9879202576934346E-2"/>
    <n v="0.95"/>
    <n v="1.4220724848599816E-2"/>
    <n v="2.7543620985390902"/>
    <n v="2.8163573963120401"/>
    <n v="0"/>
    <n v="8.0000000000145501"/>
    <n v="16948.099999999999"/>
    <n v="1.4220724848599816E-2"/>
    <n v="10"/>
    <n v="1"/>
  </r>
  <r>
    <x v="0"/>
    <s v="2026-08-31 10:13:27"/>
    <n v="4"/>
    <x v="3"/>
    <x v="6"/>
    <x v="1"/>
    <n v="31.281210252834899"/>
    <n v="2.4511727589708801"/>
    <n v="0"/>
    <n v="474.30914963589697"/>
    <n v="17191"/>
    <s v="Unnamed ProjectNewPartWait TimeEntity"/>
    <n v="10"/>
    <n v="29.242698154379905"/>
    <n v="1.5503795036667449"/>
    <n v="0.95"/>
    <n v="1.1090746848233775"/>
    <n v="26.632812348859499"/>
    <n v="31.8400605329516"/>
    <n v="0"/>
    <n v="707.09586624841904"/>
    <n v="16948.099999999999"/>
    <n v="1.1090746848233775"/>
    <n v="10"/>
    <n v="1"/>
  </r>
  <r>
    <x v="0"/>
    <s v="2026-08-31 10:13:27"/>
    <n v="5"/>
    <x v="3"/>
    <x v="1"/>
    <x v="1"/>
    <n v="0"/>
    <n v="0"/>
    <n v="0"/>
    <n v="0"/>
    <n v="16907"/>
    <s v="Unnamed ProjectNewPartNVA TimeEntity"/>
    <n v="10"/>
    <n v="0"/>
    <n v="0"/>
    <n v="0.95"/>
    <n v="0"/>
    <n v="0"/>
    <n v="0"/>
    <n v="0"/>
    <n v="0"/>
    <n v="16948.099999999999"/>
    <n v="0"/>
    <n v="10"/>
    <n v="1"/>
  </r>
  <r>
    <x v="0"/>
    <s v="2026-08-31 10:13:27"/>
    <n v="5"/>
    <x v="3"/>
    <x v="2"/>
    <x v="1"/>
    <n v="35.585131921280997"/>
    <n v="0.541036756210031"/>
    <n v="0"/>
    <n v="133.04813400494501"/>
    <n v="16907"/>
    <s v="Unnamed ProjectNewPartOther TimeEntity"/>
    <n v="10"/>
    <n v="35.934414689251412"/>
    <n v="0.26771685495243369"/>
    <n v="0.95"/>
    <n v="0.19151310103497018"/>
    <n v="35.585131921280997"/>
    <n v="36.412431328094101"/>
    <n v="0"/>
    <n v="139.43951735453399"/>
    <n v="16948.099999999999"/>
    <n v="0.19151310103497018"/>
    <n v="10"/>
    <n v="1"/>
  </r>
  <r>
    <x v="0"/>
    <s v="2026-08-31 10:13:27"/>
    <n v="5"/>
    <x v="3"/>
    <x v="3"/>
    <x v="1"/>
    <n v="82.899943217491099"/>
    <n v="4.9172578488933896"/>
    <n v="2.7999999993480702"/>
    <n v="845.65217638315505"/>
    <n v="16907"/>
    <s v="Unnamed ProjectNewPartTotal TimeEntity"/>
    <n v="10"/>
    <n v="82.733209003874819"/>
    <n v="1.6900397531056797"/>
    <n v="0.95"/>
    <n v="1.208981608749105"/>
    <n v="79.888714563311297"/>
    <n v="85.472032926843298"/>
    <n v="2.7999999993480702"/>
    <n v="845.65217638315505"/>
    <n v="16948.099999999999"/>
    <n v="1.208981608749105"/>
    <n v="10"/>
    <n v="1"/>
  </r>
  <r>
    <x v="0"/>
    <s v="2026-08-31 10:13:27"/>
    <n v="5"/>
    <x v="3"/>
    <x v="4"/>
    <x v="1"/>
    <n v="14.7878135869397"/>
    <n v="0.157500796681046"/>
    <n v="2.7999999993480702"/>
    <n v="166.64927061839299"/>
    <n v="16907"/>
    <s v="Unnamed ProjectNewPartTransfer TimeEntity"/>
    <n v="10"/>
    <n v="14.7745214286692"/>
    <n v="7.7759386666993585E-2"/>
    <n v="0.95"/>
    <n v="5.5625714256277083E-2"/>
    <n v="14.6618730503506"/>
    <n v="14.8939029254873"/>
    <n v="2.7999999993480702"/>
    <n v="238.155938771786"/>
    <n v="16948.099999999999"/>
    <n v="5.5625714256277083E-2"/>
    <n v="10"/>
    <n v="1"/>
  </r>
  <r>
    <x v="0"/>
    <s v="2026-08-31 10:13:27"/>
    <n v="5"/>
    <x v="3"/>
    <x v="5"/>
    <x v="1"/>
    <n v="2.7543620985390902"/>
    <n v="4.2291626644137603E-2"/>
    <n v="0"/>
    <n v="8"/>
    <n v="16907"/>
    <s v="Unnamed ProjectNewPartVA TimeEntity"/>
    <n v="10"/>
    <n v="2.7815747315743584"/>
    <n v="1.9879202576934346E-2"/>
    <n v="0.95"/>
    <n v="1.4220724848599816E-2"/>
    <n v="2.7543620985390902"/>
    <n v="2.8163573963120401"/>
    <n v="0"/>
    <n v="8.0000000000145501"/>
    <n v="16948.099999999999"/>
    <n v="1.4220724848599816E-2"/>
    <n v="10"/>
    <n v="1"/>
  </r>
  <r>
    <x v="0"/>
    <s v="2026-08-31 10:13:27"/>
    <n v="5"/>
    <x v="3"/>
    <x v="6"/>
    <x v="1"/>
    <n v="29.772635610730902"/>
    <n v="4.5766498170161301"/>
    <n v="0"/>
    <n v="707.09586624841904"/>
    <n v="16907"/>
    <s v="Unnamed ProjectNewPartWait TimeEntity"/>
    <n v="10"/>
    <n v="29.242698154379905"/>
    <n v="1.5503795036667449"/>
    <n v="0.95"/>
    <n v="1.1090746848233775"/>
    <n v="26.632812348859499"/>
    <n v="31.8400605329516"/>
    <n v="0"/>
    <n v="707.09586624841904"/>
    <n v="16948.099999999999"/>
    <n v="1.1090746848233775"/>
    <n v="10"/>
    <n v="1"/>
  </r>
  <r>
    <x v="0"/>
    <s v="2026-08-31 10:13:27"/>
    <n v="6"/>
    <x v="3"/>
    <x v="1"/>
    <x v="1"/>
    <n v="0"/>
    <n v="0"/>
    <n v="0"/>
    <n v="0"/>
    <n v="17101"/>
    <s v="Unnamed ProjectNewPartNVA TimeEntity"/>
    <n v="10"/>
    <n v="0"/>
    <n v="0"/>
    <n v="0.95"/>
    <n v="0"/>
    <n v="0"/>
    <n v="0"/>
    <n v="0"/>
    <n v="0"/>
    <n v="16948.099999999999"/>
    <n v="0"/>
    <n v="10"/>
    <n v="1"/>
  </r>
  <r>
    <x v="0"/>
    <s v="2026-08-31 10:13:27"/>
    <n v="6"/>
    <x v="3"/>
    <x v="2"/>
    <x v="1"/>
    <n v="36.169795267756697"/>
    <n v="0.44821940642726799"/>
    <n v="0"/>
    <n v="134.39344515930901"/>
    <n v="17101"/>
    <s v="Unnamed ProjectNewPartOther TimeEntity"/>
    <n v="10"/>
    <n v="35.934414689251412"/>
    <n v="0.26771685495243369"/>
    <n v="0.95"/>
    <n v="0.19151310103497018"/>
    <n v="35.585131921280997"/>
    <n v="36.412431328094101"/>
    <n v="0"/>
    <n v="139.43951735453399"/>
    <n v="16948.099999999999"/>
    <n v="0.19151310103497018"/>
    <n v="10"/>
    <n v="1"/>
  </r>
  <r>
    <x v="0"/>
    <s v="2026-08-31 10:13:27"/>
    <n v="6"/>
    <x v="3"/>
    <x v="3"/>
    <x v="1"/>
    <n v="85.472032926843298"/>
    <n v="3.2756248613116901"/>
    <n v="2.7999999993480702"/>
    <n v="724.16217129986001"/>
    <n v="17101"/>
    <s v="Unnamed ProjectNewPartTotal TimeEntity"/>
    <n v="10"/>
    <n v="82.733209003874819"/>
    <n v="1.6900397531056797"/>
    <n v="0.95"/>
    <n v="1.208981608749105"/>
    <n v="79.888714563311297"/>
    <n v="85.472032926843298"/>
    <n v="2.7999999993480702"/>
    <n v="845.65217638315505"/>
    <n v="16948.099999999999"/>
    <n v="1.208981608749105"/>
    <n v="10"/>
    <n v="1"/>
  </r>
  <r>
    <x v="0"/>
    <s v="2026-08-31 10:13:27"/>
    <n v="6"/>
    <x v="3"/>
    <x v="4"/>
    <x v="1"/>
    <n v="14.6618730503506"/>
    <n v="0.16043253266340801"/>
    <n v="2.7999999993480702"/>
    <n v="129.55527617747401"/>
    <n v="17101"/>
    <s v="Unnamed ProjectNewPartTransfer TimeEntity"/>
    <n v="10"/>
    <n v="14.7745214286692"/>
    <n v="7.7759386666993585E-2"/>
    <n v="0.95"/>
    <n v="5.5625714256277083E-2"/>
    <n v="14.6618730503506"/>
    <n v="14.8939029254873"/>
    <n v="2.7999999993480702"/>
    <n v="238.155938771786"/>
    <n v="16948.099999999999"/>
    <n v="5.5625714256277083E-2"/>
    <n v="10"/>
    <n v="1"/>
  </r>
  <r>
    <x v="0"/>
    <s v="2026-08-31 10:13:27"/>
    <n v="6"/>
    <x v="3"/>
    <x v="5"/>
    <x v="1"/>
    <n v="2.8003040757850099"/>
    <n v="3.4728260314930398E-2"/>
    <n v="0"/>
    <n v="8.0000000000145501"/>
    <n v="17101"/>
    <s v="Unnamed ProjectNewPartVA TimeEntity"/>
    <n v="10"/>
    <n v="2.7815747315743584"/>
    <n v="1.9879202576934346E-2"/>
    <n v="0.95"/>
    <n v="1.4220724848599816E-2"/>
    <n v="2.7543620985390902"/>
    <n v="2.8163573963120401"/>
    <n v="0"/>
    <n v="8.0000000000145501"/>
    <n v="16948.099999999999"/>
    <n v="1.4220724848599816E-2"/>
    <n v="10"/>
    <n v="1"/>
  </r>
  <r>
    <x v="0"/>
    <s v="2026-08-31 10:13:27"/>
    <n v="6"/>
    <x v="3"/>
    <x v="6"/>
    <x v="1"/>
    <n v="31.8400605329516"/>
    <n v="2.9901003064142802"/>
    <n v="0"/>
    <n v="575.10310436639702"/>
    <n v="17101"/>
    <s v="Unnamed ProjectNewPartWait TimeEntity"/>
    <n v="10"/>
    <n v="29.242698154379905"/>
    <n v="1.5503795036667449"/>
    <n v="0.95"/>
    <n v="1.1090746848233775"/>
    <n v="26.632812348859499"/>
    <n v="31.8400605329516"/>
    <n v="0"/>
    <n v="707.09586624841904"/>
    <n v="16948.099999999999"/>
    <n v="1.1090746848233775"/>
    <n v="10"/>
    <n v="1"/>
  </r>
  <r>
    <x v="0"/>
    <s v="2026-08-31 10:13:27"/>
    <n v="7"/>
    <x v="3"/>
    <x v="1"/>
    <x v="1"/>
    <n v="0"/>
    <n v="0"/>
    <n v="0"/>
    <n v="0"/>
    <n v="17131"/>
    <s v="Unnamed ProjectNewPartNVA TimeEntity"/>
    <n v="10"/>
    <n v="0"/>
    <n v="0"/>
    <n v="0.95"/>
    <n v="0"/>
    <n v="0"/>
    <n v="0"/>
    <n v="0"/>
    <n v="0"/>
    <n v="16948.099999999999"/>
    <n v="0"/>
    <n v="10"/>
    <n v="1"/>
  </r>
  <r>
    <x v="0"/>
    <s v="2026-08-31 10:13:27"/>
    <n v="7"/>
    <x v="3"/>
    <x v="2"/>
    <x v="1"/>
    <n v="35.744872869697197"/>
    <n v="0.47718435532223202"/>
    <n v="0"/>
    <n v="138.72601066809099"/>
    <n v="17131"/>
    <s v="Unnamed ProjectNewPartOther TimeEntity"/>
    <n v="10"/>
    <n v="35.934414689251412"/>
    <n v="0.26771685495243369"/>
    <n v="0.95"/>
    <n v="0.19151310103497018"/>
    <n v="35.585131921280997"/>
    <n v="36.412431328094101"/>
    <n v="0"/>
    <n v="139.43951735453399"/>
    <n v="16948.099999999999"/>
    <n v="0.19151310103497018"/>
    <n v="10"/>
    <n v="1"/>
  </r>
  <r>
    <x v="0"/>
    <s v="2026-08-31 10:13:27"/>
    <n v="7"/>
    <x v="3"/>
    <x v="3"/>
    <x v="1"/>
    <n v="81.586170891836005"/>
    <n v="2.9001388277613098"/>
    <n v="2.7999999993480702"/>
    <n v="817.73990990815196"/>
    <n v="17131"/>
    <s v="Unnamed ProjectNewPartTotal TimeEntity"/>
    <n v="10"/>
    <n v="82.733209003874819"/>
    <n v="1.6900397531056797"/>
    <n v="0.95"/>
    <n v="1.208981608749105"/>
    <n v="79.888714563311297"/>
    <n v="85.472032926843298"/>
    <n v="2.7999999993480702"/>
    <n v="845.65217638315505"/>
    <n v="16948.099999999999"/>
    <n v="1.208981608749105"/>
    <n v="10"/>
    <n v="1"/>
  </r>
  <r>
    <x v="0"/>
    <s v="2026-08-31 10:13:27"/>
    <n v="7"/>
    <x v="3"/>
    <x v="4"/>
    <x v="1"/>
    <n v="14.7731790170455"/>
    <n v="0.181745938056951"/>
    <n v="2.7999999993480702"/>
    <n v="106.05116134957601"/>
    <n v="17131"/>
    <s v="Unnamed ProjectNewPartTransfer TimeEntity"/>
    <n v="10"/>
    <n v="14.7745214286692"/>
    <n v="7.7759386666993585E-2"/>
    <n v="0.95"/>
    <n v="5.5625714256277083E-2"/>
    <n v="14.6618730503506"/>
    <n v="14.8939029254873"/>
    <n v="2.7999999993480702"/>
    <n v="238.155938771786"/>
    <n v="16948.099999999999"/>
    <n v="5.5625714256277083E-2"/>
    <n v="10"/>
    <n v="1"/>
  </r>
  <r>
    <x v="0"/>
    <s v="2026-08-31 10:13:27"/>
    <n v="7"/>
    <x v="3"/>
    <x v="5"/>
    <x v="1"/>
    <n v="2.7711166890432599"/>
    <n v="3.6649695485378497E-2"/>
    <n v="0"/>
    <n v="8"/>
    <n v="17131"/>
    <s v="Unnamed ProjectNewPartVA TimeEntity"/>
    <n v="10"/>
    <n v="2.7815747315743584"/>
    <n v="1.9879202576934346E-2"/>
    <n v="0.95"/>
    <n v="1.4220724848599816E-2"/>
    <n v="2.7543620985390902"/>
    <n v="2.8163573963120401"/>
    <n v="0"/>
    <n v="8.0000000000145501"/>
    <n v="16948.099999999999"/>
    <n v="1.4220724848599816E-2"/>
    <n v="10"/>
    <n v="1"/>
  </r>
  <r>
    <x v="0"/>
    <s v="2026-08-31 10:13:27"/>
    <n v="7"/>
    <x v="3"/>
    <x v="6"/>
    <x v="1"/>
    <n v="28.297002316050399"/>
    <n v="2.59455526363497"/>
    <n v="0"/>
    <n v="664.06479787867295"/>
    <n v="17131"/>
    <s v="Unnamed ProjectNewPartWait TimeEntity"/>
    <n v="10"/>
    <n v="29.242698154379905"/>
    <n v="1.5503795036667449"/>
    <n v="0.95"/>
    <n v="1.1090746848233775"/>
    <n v="26.632812348859499"/>
    <n v="31.8400605329516"/>
    <n v="0"/>
    <n v="707.09586624841904"/>
    <n v="16948.099999999999"/>
    <n v="1.1090746848233775"/>
    <n v="10"/>
    <n v="1"/>
  </r>
  <r>
    <x v="0"/>
    <s v="2026-08-31 10:13:27"/>
    <n v="8"/>
    <x v="3"/>
    <x v="1"/>
    <x v="1"/>
    <n v="0"/>
    <n v="0"/>
    <n v="0"/>
    <n v="0"/>
    <n v="16909"/>
    <s v="Unnamed ProjectNewPartNVA TimeEntity"/>
    <n v="10"/>
    <n v="0"/>
    <n v="0"/>
    <n v="0.95"/>
    <n v="0"/>
    <n v="0"/>
    <n v="0"/>
    <n v="0"/>
    <n v="0"/>
    <n v="16948.099999999999"/>
    <n v="0"/>
    <n v="10"/>
    <n v="1"/>
  </r>
  <r>
    <x v="0"/>
    <s v="2026-08-31 10:13:27"/>
    <n v="8"/>
    <x v="3"/>
    <x v="2"/>
    <x v="1"/>
    <n v="35.974749186311797"/>
    <n v="0.60972586347972202"/>
    <n v="0"/>
    <n v="139.43951735453399"/>
    <n v="16909"/>
    <s v="Unnamed ProjectNewPartOther TimeEntity"/>
    <n v="10"/>
    <n v="35.934414689251412"/>
    <n v="0.26771685495243369"/>
    <n v="0.95"/>
    <n v="0.19151310103497018"/>
    <n v="35.585131921280997"/>
    <n v="36.412431328094101"/>
    <n v="0"/>
    <n v="139.43951735453399"/>
    <n v="16948.099999999999"/>
    <n v="0.19151310103497018"/>
    <n v="10"/>
    <n v="1"/>
  </r>
  <r>
    <x v="0"/>
    <s v="2026-08-31 10:13:27"/>
    <n v="8"/>
    <x v="3"/>
    <x v="3"/>
    <x v="1"/>
    <n v="82.482794126766706"/>
    <n v="2.6344269110518401"/>
    <n v="2.7999999993480702"/>
    <n v="639.12123771314498"/>
    <n v="16909"/>
    <s v="Unnamed ProjectNewPartTotal TimeEntity"/>
    <n v="10"/>
    <n v="82.733209003874819"/>
    <n v="1.6900397531056797"/>
    <n v="0.95"/>
    <n v="1.208981608749105"/>
    <n v="79.888714563311297"/>
    <n v="85.472032926843298"/>
    <n v="2.7999999993480702"/>
    <n v="845.65217638315505"/>
    <n v="16948.099999999999"/>
    <n v="1.208981608749105"/>
    <n v="10"/>
    <n v="1"/>
  </r>
  <r>
    <x v="0"/>
    <s v="2026-08-31 10:13:27"/>
    <n v="8"/>
    <x v="3"/>
    <x v="4"/>
    <x v="1"/>
    <n v="14.727548455632"/>
    <n v="0.17789369331978799"/>
    <n v="2.7999999993480702"/>
    <n v="238.155938771786"/>
    <n v="16909"/>
    <s v="Unnamed ProjectNewPartTransfer TimeEntity"/>
    <n v="10"/>
    <n v="14.7745214286692"/>
    <n v="7.7759386666993585E-2"/>
    <n v="0.95"/>
    <n v="5.5625714256277083E-2"/>
    <n v="14.6618730503506"/>
    <n v="14.8939029254873"/>
    <n v="2.7999999993480702"/>
    <n v="238.155938771786"/>
    <n v="16948.099999999999"/>
    <n v="5.5625714256277083E-2"/>
    <n v="10"/>
    <n v="1"/>
  </r>
  <r>
    <x v="0"/>
    <s v="2026-08-31 10:13:27"/>
    <n v="8"/>
    <x v="3"/>
    <x v="5"/>
    <x v="1"/>
    <n v="2.7833698030634499"/>
    <n v="4.6946684598552599E-2"/>
    <n v="0"/>
    <n v="8"/>
    <n v="16909"/>
    <s v="Unnamed ProjectNewPartVA TimeEntity"/>
    <n v="10"/>
    <n v="2.7815747315743584"/>
    <n v="1.9879202576934346E-2"/>
    <n v="0.95"/>
    <n v="1.4220724848599816E-2"/>
    <n v="2.7543620985390902"/>
    <n v="2.8163573963120401"/>
    <n v="0"/>
    <n v="8.0000000000145501"/>
    <n v="16948.099999999999"/>
    <n v="1.4220724848599816E-2"/>
    <n v="10"/>
    <n v="1"/>
  </r>
  <r>
    <x v="0"/>
    <s v="2026-08-31 10:13:27"/>
    <n v="8"/>
    <x v="3"/>
    <x v="6"/>
    <x v="1"/>
    <n v="28.997126681759301"/>
    <n v="2.1765238737288999"/>
    <n v="0"/>
    <n v="491.78047473426"/>
    <n v="16909"/>
    <s v="Unnamed ProjectNewPartWait TimeEntity"/>
    <n v="10"/>
    <n v="29.242698154379905"/>
    <n v="1.5503795036667449"/>
    <n v="0.95"/>
    <n v="1.1090746848233775"/>
    <n v="26.632812348859499"/>
    <n v="31.8400605329516"/>
    <n v="0"/>
    <n v="707.09586624841904"/>
    <n v="16948.099999999999"/>
    <n v="1.1090746848233775"/>
    <n v="10"/>
    <n v="1"/>
  </r>
  <r>
    <x v="0"/>
    <s v="2026-08-31 10:13:27"/>
    <n v="9"/>
    <x v="3"/>
    <x v="1"/>
    <x v="1"/>
    <n v="0"/>
    <n v="0"/>
    <n v="0"/>
    <n v="0"/>
    <n v="16712"/>
    <s v="Unnamed ProjectNewPartNVA TimeEntity"/>
    <n v="10"/>
    <n v="0"/>
    <n v="0"/>
    <n v="0.95"/>
    <n v="0"/>
    <n v="0"/>
    <n v="0"/>
    <n v="0"/>
    <n v="0"/>
    <n v="16948.099999999999"/>
    <n v="0"/>
    <n v="10"/>
    <n v="1"/>
  </r>
  <r>
    <x v="0"/>
    <s v="2026-08-31 10:13:27"/>
    <n v="9"/>
    <x v="3"/>
    <x v="2"/>
    <x v="1"/>
    <n v="36.133701430785699"/>
    <n v="0.57239134379238898"/>
    <n v="0"/>
    <n v="134.536420724588"/>
    <n v="16712"/>
    <s v="Unnamed ProjectNewPartOther TimeEntity"/>
    <n v="10"/>
    <n v="35.934414689251412"/>
    <n v="0.26771685495243369"/>
    <n v="0.95"/>
    <n v="0.19151310103497018"/>
    <n v="35.585131921280997"/>
    <n v="36.412431328094101"/>
    <n v="0"/>
    <n v="139.43951735453399"/>
    <n v="16948.099999999999"/>
    <n v="0.19151310103497018"/>
    <n v="10"/>
    <n v="1"/>
  </r>
  <r>
    <x v="0"/>
    <s v="2026-08-31 10:13:27"/>
    <n v="9"/>
    <x v="3"/>
    <x v="3"/>
    <x v="1"/>
    <n v="82.165101185298596"/>
    <n v="3.27054654849145"/>
    <n v="2.7999999993480702"/>
    <n v="635.86683304997905"/>
    <n v="16712"/>
    <s v="Unnamed ProjectNewPartTotal TimeEntity"/>
    <n v="10"/>
    <n v="82.733209003874819"/>
    <n v="1.6900397531056797"/>
    <n v="0.95"/>
    <n v="1.208981608749105"/>
    <n v="79.888714563311297"/>
    <n v="85.472032926843298"/>
    <n v="2.7999999993480702"/>
    <n v="845.65217638315505"/>
    <n v="16948.099999999999"/>
    <n v="1.208981608749105"/>
    <n v="10"/>
    <n v="1"/>
  </r>
  <r>
    <x v="0"/>
    <s v="2026-08-31 10:13:27"/>
    <n v="9"/>
    <x v="3"/>
    <x v="4"/>
    <x v="1"/>
    <n v="14.856978076511901"/>
    <n v="0.17115604951136501"/>
    <n v="2.7999999993480702"/>
    <n v="146.403341832542"/>
    <n v="16712"/>
    <s v="Unnamed ProjectNewPartTransfer TimeEntity"/>
    <n v="10"/>
    <n v="14.7745214286692"/>
    <n v="7.7759386666993585E-2"/>
    <n v="0.95"/>
    <n v="5.5625714256277083E-2"/>
    <n v="14.6618730503506"/>
    <n v="14.8939029254873"/>
    <n v="2.7999999993480702"/>
    <n v="238.155938771786"/>
    <n v="16948.099999999999"/>
    <n v="5.5625714256277083E-2"/>
    <n v="10"/>
    <n v="1"/>
  </r>
  <r>
    <x v="0"/>
    <s v="2026-08-31 10:13:27"/>
    <n v="9"/>
    <x v="3"/>
    <x v="5"/>
    <x v="1"/>
    <n v="2.7975107707036901"/>
    <n v="3E+20"/>
    <n v="0"/>
    <n v="8"/>
    <n v="16712"/>
    <s v="Unnamed ProjectNewPartVA TimeEntity"/>
    <n v="10"/>
    <n v="2.7815747315743584"/>
    <n v="1.9879202576934346E-2"/>
    <n v="0.95"/>
    <n v="1.4220724848599816E-2"/>
    <n v="2.7543620985390902"/>
    <n v="2.8163573963120401"/>
    <n v="0"/>
    <n v="8.0000000000145501"/>
    <n v="16948.099999999999"/>
    <n v="1.4220724848599816E-2"/>
    <n v="10"/>
    <n v="1"/>
  </r>
  <r>
    <x v="0"/>
    <s v="2026-08-31 10:13:27"/>
    <n v="9"/>
    <x v="3"/>
    <x v="6"/>
    <x v="1"/>
    <n v="28.3769109072974"/>
    <n v="2.8261954184073002"/>
    <n v="0"/>
    <n v="487.04543057945602"/>
    <n v="16712"/>
    <s v="Unnamed ProjectNewPartWait TimeEntity"/>
    <n v="10"/>
    <n v="29.242698154379905"/>
    <n v="1.5503795036667449"/>
    <n v="0.95"/>
    <n v="1.1090746848233775"/>
    <n v="26.632812348859499"/>
    <n v="31.8400605329516"/>
    <n v="0"/>
    <n v="707.09586624841904"/>
    <n v="16948.099999999999"/>
    <n v="1.1090746848233775"/>
    <n v="10"/>
    <n v="1"/>
  </r>
  <r>
    <x v="0"/>
    <s v="2026-08-31 10:13:27"/>
    <n v="10"/>
    <x v="3"/>
    <x v="1"/>
    <x v="1"/>
    <n v="0"/>
    <n v="0"/>
    <n v="0"/>
    <n v="0"/>
    <n v="16789"/>
    <s v="Unnamed ProjectNewPartNVA TimeEntity"/>
    <n v="10"/>
    <n v="0"/>
    <n v="0"/>
    <n v="0.95"/>
    <n v="0"/>
    <n v="0"/>
    <n v="0"/>
    <n v="0"/>
    <n v="0"/>
    <n v="16948.099999999999"/>
    <n v="0"/>
    <n v="10"/>
    <n v="1"/>
  </r>
  <r>
    <x v="0"/>
    <s v="2026-08-31 10:13:27"/>
    <n v="10"/>
    <x v="3"/>
    <x v="2"/>
    <x v="1"/>
    <n v="35.813673985757902"/>
    <n v="0.63591923684050899"/>
    <n v="0"/>
    <n v="137.12519108562299"/>
    <n v="16789"/>
    <s v="Unnamed ProjectNewPartOther TimeEntity"/>
    <n v="10"/>
    <n v="35.934414689251412"/>
    <n v="0.26771685495243369"/>
    <n v="0.95"/>
    <n v="0.19151310103497018"/>
    <n v="35.585131921280997"/>
    <n v="36.412431328094101"/>
    <n v="0"/>
    <n v="139.43951735453399"/>
    <n v="16948.099999999999"/>
    <n v="0.19151310103497018"/>
    <n v="10"/>
    <n v="1"/>
  </r>
  <r>
    <x v="0"/>
    <s v="2026-08-31 10:13:27"/>
    <n v="10"/>
    <x v="3"/>
    <x v="3"/>
    <x v="1"/>
    <n v="81.477854157530004"/>
    <n v="3.3750256547828599"/>
    <n v="2.7999999993480702"/>
    <n v="697.31718773476302"/>
    <n v="16789"/>
    <s v="Unnamed ProjectNewPartTotal TimeEntity"/>
    <n v="10"/>
    <n v="82.733209003874819"/>
    <n v="1.6900397531056797"/>
    <n v="0.95"/>
    <n v="1.208981608749105"/>
    <n v="79.888714563311297"/>
    <n v="85.472032926843298"/>
    <n v="2.7999999993480702"/>
    <n v="845.65217638315505"/>
    <n v="16948.099999999999"/>
    <n v="1.208981608749105"/>
    <n v="10"/>
    <n v="1"/>
  </r>
  <r>
    <x v="0"/>
    <s v="2026-08-31 10:13:27"/>
    <n v="10"/>
    <x v="3"/>
    <x v="4"/>
    <x v="1"/>
    <n v="14.8449060334009"/>
    <n v="0.16715298411458199"/>
    <n v="2.7999999993480702"/>
    <n v="146.80006496363799"/>
    <n v="16789"/>
    <s v="Unnamed ProjectNewPartTransfer TimeEntity"/>
    <n v="10"/>
    <n v="14.7745214286692"/>
    <n v="7.7759386666993585E-2"/>
    <n v="0.95"/>
    <n v="5.5625714256277083E-2"/>
    <n v="14.6618730503506"/>
    <n v="14.8939029254873"/>
    <n v="2.7999999993480702"/>
    <n v="238.155938771786"/>
    <n v="16948.099999999999"/>
    <n v="5.5625714256277083E-2"/>
    <n v="10"/>
    <n v="1"/>
  </r>
  <r>
    <x v="0"/>
    <s v="2026-08-31 10:13:27"/>
    <n v="10"/>
    <x v="3"/>
    <x v="5"/>
    <x v="1"/>
    <n v="2.7751503960926902"/>
    <n v="4.9454825855673998E-2"/>
    <n v="0"/>
    <n v="8"/>
    <n v="16789"/>
    <s v="Unnamed ProjectNewPartVA TimeEntity"/>
    <n v="10"/>
    <n v="2.7815747315743584"/>
    <n v="1.9879202576934346E-2"/>
    <n v="0.95"/>
    <n v="1.4220724848599816E-2"/>
    <n v="2.7543620985390902"/>
    <n v="2.8163573963120401"/>
    <n v="0"/>
    <n v="8.0000000000145501"/>
    <n v="16948.099999999999"/>
    <n v="1.4220724848599816E-2"/>
    <n v="10"/>
    <n v="1"/>
  </r>
  <r>
    <x v="0"/>
    <s v="2026-08-31 10:13:27"/>
    <n v="10"/>
    <x v="3"/>
    <x v="6"/>
    <x v="1"/>
    <n v="28.044123742278501"/>
    <n v="2.8994735471875099"/>
    <n v="0"/>
    <n v="558.86617944529303"/>
    <n v="16789"/>
    <s v="Unnamed ProjectNewPartWait TimeEntity"/>
    <n v="10"/>
    <n v="29.242698154379905"/>
    <n v="1.5503795036667449"/>
    <n v="0.95"/>
    <n v="1.1090746848233775"/>
    <n v="26.632812348859499"/>
    <n v="31.8400605329516"/>
    <n v="0"/>
    <n v="707.09586624841904"/>
    <n v="16948.099999999999"/>
    <n v="1.1090746848233775"/>
    <n v="10"/>
    <n v="1"/>
  </r>
  <r>
    <x v="0"/>
    <s v="2026-08-31 10:13:27"/>
    <n v="1"/>
    <x v="4"/>
    <x v="1"/>
    <x v="1"/>
    <n v="0"/>
    <n v="0"/>
    <n v="0"/>
    <n v="0"/>
    <n v="38588"/>
    <s v="Unnamed ProjectOldPartNVA TimeEntity"/>
    <n v="10"/>
    <n v="0"/>
    <n v="0"/>
    <n v="0.95"/>
    <n v="0"/>
    <n v="0"/>
    <n v="0"/>
    <n v="0"/>
    <n v="0"/>
    <n v="39114.6"/>
    <n v="0"/>
    <n v="10"/>
    <n v="1"/>
  </r>
  <r>
    <x v="0"/>
    <s v="2026-08-31 10:13:27"/>
    <n v="1"/>
    <x v="4"/>
    <x v="2"/>
    <x v="1"/>
    <n v="26.474455976573299"/>
    <n v="0.26374169236436901"/>
    <n v="0"/>
    <n v="101.31046061452101"/>
    <n v="38588"/>
    <s v="Unnamed ProjectOldPartOther TimeEntity"/>
    <n v="10"/>
    <n v="26.5549021198449"/>
    <n v="0.10060394881248749"/>
    <n v="0.95"/>
    <n v="7.1967729550932169E-2"/>
    <n v="26.429032514931901"/>
    <n v="26.770475746157199"/>
    <n v="0"/>
    <n v="102.681411641621"/>
    <n v="39114.6"/>
    <n v="7.1967729550932169E-2"/>
    <n v="10"/>
    <n v="1"/>
  </r>
  <r>
    <x v="0"/>
    <s v="2026-08-31 10:13:27"/>
    <n v="1"/>
    <x v="4"/>
    <x v="3"/>
    <x v="1"/>
    <n v="69.282495076368093"/>
    <n v="2.6722706004228201"/>
    <n v="2.5999999993946399"/>
    <n v="577.18863697542099"/>
    <n v="38588"/>
    <s v="Unnamed ProjectOldPartTotal TimeEntity"/>
    <n v="10"/>
    <n v="69.628311992504038"/>
    <n v="1.2322643661026464"/>
    <n v="0.95"/>
    <n v="0.88150882427309152"/>
    <n v="67.806850464608502"/>
    <n v="71.785243392167402"/>
    <n v="2.5999999993946399"/>
    <n v="801.14163618703606"/>
    <n v="39114.6"/>
    <n v="0.88150882427309152"/>
    <n v="10"/>
    <n v="1"/>
  </r>
  <r>
    <x v="0"/>
    <s v="2026-08-31 10:13:27"/>
    <n v="1"/>
    <x v="4"/>
    <x v="4"/>
    <x v="1"/>
    <n v="14.931691684612799"/>
    <n v="0.13740645010875399"/>
    <n v="2.5999999993946399"/>
    <n v="199.77102312236099"/>
    <n v="38588"/>
    <s v="Unnamed ProjectOldPartTransfer TimeEntity"/>
    <n v="10"/>
    <n v="14.80738990479856"/>
    <n v="8.7394837578947643E-2"/>
    <n v="0.95"/>
    <n v="6.2518500608284761E-2"/>
    <n v="14.638753868636099"/>
    <n v="14.938387130672201"/>
    <n v="2.5999999993946399"/>
    <n v="301.61300022101199"/>
    <n v="39114.6"/>
    <n v="6.2518500608284761E-2"/>
    <n v="10"/>
    <n v="1"/>
  </r>
  <r>
    <x v="0"/>
    <s v="2026-08-31 10:13:27"/>
    <n v="1"/>
    <x v="4"/>
    <x v="5"/>
    <x v="1"/>
    <n v="2.7981755986317198"/>
    <n v="2.7924028713629701E-2"/>
    <n v="0"/>
    <n v="8"/>
    <n v="38588"/>
    <s v="Unnamed ProjectOldPartVA TimeEntity"/>
    <n v="10"/>
    <n v="2.8068584162430272"/>
    <n v="1.0844368772089623E-2"/>
    <n v="0.95"/>
    <n v="7.7575940920069286E-3"/>
    <n v="2.7926069641580802"/>
    <n v="2.8286311922860898"/>
    <n v="0"/>
    <n v="8.0000000000291003"/>
    <n v="39114.6"/>
    <n v="7.7575940920069286E-3"/>
    <n v="10"/>
    <n v="1"/>
  </r>
  <r>
    <x v="0"/>
    <s v="2026-08-31 10:13:27"/>
    <n v="1"/>
    <x v="4"/>
    <x v="6"/>
    <x v="1"/>
    <n v="25.07817181655"/>
    <n v="2.50694922970805"/>
    <n v="0"/>
    <n v="465.669918536296"/>
    <n v="38588"/>
    <s v="Unnamed ProjectOldPartWait TimeEntity"/>
    <n v="10"/>
    <n v="25.459161551617594"/>
    <n v="1.1829151497487862"/>
    <n v="0.95"/>
    <n v="0.84620652155011711"/>
    <n v="23.749747212782399"/>
    <n v="27.4385105303964"/>
    <n v="0"/>
    <n v="697.97683727095102"/>
    <n v="39114.6"/>
    <n v="0.84620652155011711"/>
    <n v="10"/>
    <n v="1"/>
  </r>
  <r>
    <x v="0"/>
    <s v="2026-08-31 10:13:27"/>
    <n v="2"/>
    <x v="4"/>
    <x v="1"/>
    <x v="1"/>
    <n v="0"/>
    <n v="0"/>
    <n v="0"/>
    <n v="0"/>
    <n v="39189"/>
    <s v="Unnamed ProjectOldPartNVA TimeEntity"/>
    <n v="10"/>
    <n v="0"/>
    <n v="0"/>
    <n v="0.95"/>
    <n v="0"/>
    <n v="0"/>
    <n v="0"/>
    <n v="0"/>
    <n v="0"/>
    <n v="39114.6"/>
    <n v="0"/>
    <n v="10"/>
    <n v="1"/>
  </r>
  <r>
    <x v="0"/>
    <s v="2026-08-31 10:13:27"/>
    <n v="2"/>
    <x v="4"/>
    <x v="2"/>
    <x v="1"/>
    <n v="26.505172793220499"/>
    <n v="0.31865517074726601"/>
    <n v="0"/>
    <n v="102.681411641621"/>
    <n v="39189"/>
    <s v="Unnamed ProjectOldPartOther TimeEntity"/>
    <n v="10"/>
    <n v="26.5549021198449"/>
    <n v="0.10060394881248749"/>
    <n v="0.95"/>
    <n v="7.1967729550932169E-2"/>
    <n v="26.429032514931901"/>
    <n v="26.770475746157199"/>
    <n v="0"/>
    <n v="102.681411641621"/>
    <n v="39114.6"/>
    <n v="7.1967729550932169E-2"/>
    <n v="10"/>
    <n v="1"/>
  </r>
  <r>
    <x v="0"/>
    <s v="2026-08-31 10:13:27"/>
    <n v="2"/>
    <x v="4"/>
    <x v="3"/>
    <x v="1"/>
    <n v="69.1600350727131"/>
    <n v="2.6902873003591301"/>
    <n v="2.5999999993946399"/>
    <n v="563.10089742424304"/>
    <n v="39189"/>
    <s v="Unnamed ProjectOldPartTotal TimeEntity"/>
    <n v="10"/>
    <n v="69.628311992504038"/>
    <n v="1.2322643661026464"/>
    <n v="0.95"/>
    <n v="0.88150882427309152"/>
    <n v="67.806850464608502"/>
    <n v="71.785243392167402"/>
    <n v="2.5999999993946399"/>
    <n v="801.14163618703606"/>
    <n v="39114.6"/>
    <n v="0.88150882427309152"/>
    <n v="10"/>
    <n v="1"/>
  </r>
  <r>
    <x v="0"/>
    <s v="2026-08-31 10:13:27"/>
    <n v="2"/>
    <x v="4"/>
    <x v="4"/>
    <x v="1"/>
    <n v="14.752269205410499"/>
    <n v="0.126643153319736"/>
    <n v="2.5999999993946399"/>
    <n v="164.27686626867199"/>
    <n v="39189"/>
    <s v="Unnamed ProjectOldPartTransfer TimeEntity"/>
    <n v="10"/>
    <n v="14.80738990479856"/>
    <n v="8.7394837578947643E-2"/>
    <n v="0.95"/>
    <n v="6.2518500608284761E-2"/>
    <n v="14.638753868636099"/>
    <n v="14.938387130672201"/>
    <n v="2.5999999993946399"/>
    <n v="301.61300022101199"/>
    <n v="39114.6"/>
    <n v="6.2518500608284761E-2"/>
    <n v="10"/>
    <n v="1"/>
  </r>
  <r>
    <x v="0"/>
    <s v="2026-08-31 10:13:27"/>
    <n v="2"/>
    <x v="4"/>
    <x v="5"/>
    <x v="1"/>
    <n v="2.8013983515782699"/>
    <n v="3.33576638927887E-2"/>
    <n v="0"/>
    <n v="8"/>
    <n v="39189"/>
    <s v="Unnamed ProjectOldPartVA TimeEntity"/>
    <n v="10"/>
    <n v="2.8068584162430272"/>
    <n v="1.0844368772089623E-2"/>
    <n v="0.95"/>
    <n v="7.7575940920069286E-3"/>
    <n v="2.7926069641580802"/>
    <n v="2.8286311922860898"/>
    <n v="0"/>
    <n v="8.0000000000291003"/>
    <n v="39114.6"/>
    <n v="7.7575940920069286E-3"/>
    <n v="10"/>
    <n v="1"/>
  </r>
  <r>
    <x v="0"/>
    <s v="2026-08-31 10:13:27"/>
    <n v="2"/>
    <x v="4"/>
    <x v="6"/>
    <x v="1"/>
    <n v="25.101194722503401"/>
    <n v="2.4526002209603601"/>
    <n v="0"/>
    <n v="447.02546741056699"/>
    <n v="39189"/>
    <s v="Unnamed ProjectOldPartWait TimeEntity"/>
    <n v="10"/>
    <n v="25.459161551617594"/>
    <n v="1.1829151497487862"/>
    <n v="0.95"/>
    <n v="0.84620652155011711"/>
    <n v="23.749747212782399"/>
    <n v="27.4385105303964"/>
    <n v="0"/>
    <n v="697.97683727095102"/>
    <n v="39114.6"/>
    <n v="0.84620652155011711"/>
    <n v="10"/>
    <n v="1"/>
  </r>
  <r>
    <x v="0"/>
    <s v="2026-08-31 10:13:27"/>
    <n v="3"/>
    <x v="4"/>
    <x v="1"/>
    <x v="1"/>
    <n v="0"/>
    <n v="0"/>
    <n v="0"/>
    <n v="0"/>
    <n v="39172"/>
    <s v="Unnamed ProjectOldPartNVA TimeEntity"/>
    <n v="10"/>
    <n v="0"/>
    <n v="0"/>
    <n v="0.95"/>
    <n v="0"/>
    <n v="0"/>
    <n v="0"/>
    <n v="0"/>
    <n v="0"/>
    <n v="39114.6"/>
    <n v="0"/>
    <n v="10"/>
    <n v="1"/>
  </r>
  <r>
    <x v="0"/>
    <s v="2026-08-31 10:13:27"/>
    <n v="3"/>
    <x v="4"/>
    <x v="2"/>
    <x v="1"/>
    <n v="26.429032514931901"/>
    <n v="0.25378424033872499"/>
    <n v="0"/>
    <n v="97.638345088576898"/>
    <n v="39172"/>
    <s v="Unnamed ProjectOldPartOther TimeEntity"/>
    <n v="10"/>
    <n v="26.5549021198449"/>
    <n v="0.10060394881248749"/>
    <n v="0.95"/>
    <n v="7.1967729550932169E-2"/>
    <n v="26.429032514931901"/>
    <n v="26.770475746157199"/>
    <n v="0"/>
    <n v="102.681411641621"/>
    <n v="39114.6"/>
    <n v="7.1967729550932169E-2"/>
    <n v="10"/>
    <n v="1"/>
  </r>
  <r>
    <x v="0"/>
    <s v="2026-08-31 10:13:27"/>
    <n v="3"/>
    <x v="4"/>
    <x v="3"/>
    <x v="1"/>
    <n v="67.806850464608502"/>
    <n v="1.9901750358772099"/>
    <n v="2.5999999993946399"/>
    <n v="554.85386245907296"/>
    <n v="39172"/>
    <s v="Unnamed ProjectOldPartTotal TimeEntity"/>
    <n v="10"/>
    <n v="69.628311992504038"/>
    <n v="1.2322643661026464"/>
    <n v="0.95"/>
    <n v="0.88150882427309152"/>
    <n v="67.806850464608502"/>
    <n v="71.785243392167402"/>
    <n v="2.5999999993946399"/>
    <n v="801.14163618703606"/>
    <n v="39114.6"/>
    <n v="0.88150882427309152"/>
    <n v="10"/>
    <n v="1"/>
  </r>
  <r>
    <x v="0"/>
    <s v="2026-08-31 10:13:27"/>
    <n v="3"/>
    <x v="4"/>
    <x v="4"/>
    <x v="1"/>
    <n v="14.8354637727353"/>
    <n v="0.15194097964956399"/>
    <n v="2.5999999993946399"/>
    <n v="194.174512139478"/>
    <n v="39172"/>
    <s v="Unnamed ProjectOldPartTransfer TimeEntity"/>
    <n v="10"/>
    <n v="14.80738990479856"/>
    <n v="8.7394837578947643E-2"/>
    <n v="0.95"/>
    <n v="6.2518500608284761E-2"/>
    <n v="14.638753868636099"/>
    <n v="14.938387130672201"/>
    <n v="2.5999999993946399"/>
    <n v="301.61300022101199"/>
    <n v="39114.6"/>
    <n v="6.2518500608284761E-2"/>
    <n v="10"/>
    <n v="1"/>
  </r>
  <r>
    <x v="0"/>
    <s v="2026-08-31 10:13:27"/>
    <n v="3"/>
    <x v="4"/>
    <x v="5"/>
    <x v="1"/>
    <n v="2.7926069641580802"/>
    <n v="2.65350921010074E-2"/>
    <n v="0"/>
    <n v="8"/>
    <n v="39172"/>
    <s v="Unnamed ProjectOldPartVA TimeEntity"/>
    <n v="10"/>
    <n v="2.8068584162430272"/>
    <n v="1.0844368772089623E-2"/>
    <n v="0.95"/>
    <n v="7.7575940920069286E-3"/>
    <n v="2.7926069641580802"/>
    <n v="2.8286311922860898"/>
    <n v="0"/>
    <n v="8.0000000000291003"/>
    <n v="39114.6"/>
    <n v="7.7575940920069286E-3"/>
    <n v="10"/>
    <n v="1"/>
  </r>
  <r>
    <x v="0"/>
    <s v="2026-08-31 10:13:27"/>
    <n v="3"/>
    <x v="4"/>
    <x v="6"/>
    <x v="1"/>
    <n v="23.749747212782399"/>
    <n v="1.80798035134601"/>
    <n v="0"/>
    <n v="430.51796572783502"/>
    <n v="39172"/>
    <s v="Unnamed ProjectOldPartWait TimeEntity"/>
    <n v="10"/>
    <n v="25.459161551617594"/>
    <n v="1.1829151497487862"/>
    <n v="0.95"/>
    <n v="0.84620652155011711"/>
    <n v="23.749747212782399"/>
    <n v="27.4385105303964"/>
    <n v="0"/>
    <n v="697.97683727095102"/>
    <n v="39114.6"/>
    <n v="0.84620652155011711"/>
    <n v="10"/>
    <n v="1"/>
  </r>
  <r>
    <x v="0"/>
    <s v="2026-08-31 10:13:27"/>
    <n v="4"/>
    <x v="4"/>
    <x v="1"/>
    <x v="1"/>
    <n v="0"/>
    <n v="0"/>
    <n v="0"/>
    <n v="0"/>
    <n v="39202"/>
    <s v="Unnamed ProjectOldPartNVA TimeEntity"/>
    <n v="10"/>
    <n v="0"/>
    <n v="0"/>
    <n v="0.95"/>
    <n v="0"/>
    <n v="0"/>
    <n v="0"/>
    <n v="0"/>
    <n v="0"/>
    <n v="39114.6"/>
    <n v="0"/>
    <n v="10"/>
    <n v="1"/>
  </r>
  <r>
    <x v="0"/>
    <s v="2026-08-31 10:13:27"/>
    <n v="4"/>
    <x v="4"/>
    <x v="2"/>
    <x v="1"/>
    <n v="26.770475746157199"/>
    <n v="0.31195081870720398"/>
    <n v="0"/>
    <n v="98.1296619548812"/>
    <n v="39202"/>
    <s v="Unnamed ProjectOldPartOther TimeEntity"/>
    <n v="10"/>
    <n v="26.5549021198449"/>
    <n v="0.10060394881248749"/>
    <n v="0.95"/>
    <n v="7.1967729550932169E-2"/>
    <n v="26.429032514931901"/>
    <n v="26.770475746157199"/>
    <n v="0"/>
    <n v="102.681411641621"/>
    <n v="39114.6"/>
    <n v="7.1967729550932169E-2"/>
    <n v="10"/>
    <n v="1"/>
  </r>
  <r>
    <x v="0"/>
    <s v="2026-08-31 10:13:27"/>
    <n v="4"/>
    <x v="4"/>
    <x v="3"/>
    <x v="1"/>
    <n v="71.785243392167402"/>
    <n v="2.9416550197644602"/>
    <n v="2.5999999993946399"/>
    <n v="599.54263019643304"/>
    <n v="39202"/>
    <s v="Unnamed ProjectOldPartTotal TimeEntity"/>
    <n v="10"/>
    <n v="69.628311992504038"/>
    <n v="1.2322643661026464"/>
    <n v="0.95"/>
    <n v="0.88150882427309152"/>
    <n v="67.806850464608502"/>
    <n v="71.785243392167402"/>
    <n v="2.5999999993946399"/>
    <n v="801.14163618703606"/>
    <n v="39114.6"/>
    <n v="0.88150882427309152"/>
    <n v="10"/>
    <n v="1"/>
  </r>
  <r>
    <x v="0"/>
    <s v="2026-08-31 10:13:27"/>
    <n v="4"/>
    <x v="4"/>
    <x v="4"/>
    <x v="1"/>
    <n v="14.747625923327201"/>
    <n v="0.155727082959359"/>
    <n v="2.5999999993946399"/>
    <n v="142.65141731411899"/>
    <n v="39202"/>
    <s v="Unnamed ProjectOldPartTransfer TimeEntity"/>
    <n v="10"/>
    <n v="14.80738990479856"/>
    <n v="8.7394837578947643E-2"/>
    <n v="0.95"/>
    <n v="6.2518500608284761E-2"/>
    <n v="14.638753868636099"/>
    <n v="14.938387130672201"/>
    <n v="2.5999999993946399"/>
    <n v="301.61300022101199"/>
    <n v="39114.6"/>
    <n v="6.2518500608284761E-2"/>
    <n v="10"/>
    <n v="1"/>
  </r>
  <r>
    <x v="0"/>
    <s v="2026-08-31 10:13:27"/>
    <n v="4"/>
    <x v="4"/>
    <x v="5"/>
    <x v="1"/>
    <n v="2.8286311922860898"/>
    <n v="3.2591222449482697E-2"/>
    <n v="0"/>
    <n v="8"/>
    <n v="39202"/>
    <s v="Unnamed ProjectOldPartVA TimeEntity"/>
    <n v="10"/>
    <n v="2.8068584162430272"/>
    <n v="1.0844368772089623E-2"/>
    <n v="0.95"/>
    <n v="7.7575940920069286E-3"/>
    <n v="2.7926069641580802"/>
    <n v="2.8286311922860898"/>
    <n v="0"/>
    <n v="8.0000000000291003"/>
    <n v="39114.6"/>
    <n v="7.7575940920069286E-3"/>
    <n v="10"/>
    <n v="1"/>
  </r>
  <r>
    <x v="0"/>
    <s v="2026-08-31 10:13:27"/>
    <n v="4"/>
    <x v="4"/>
    <x v="6"/>
    <x v="1"/>
    <n v="27.4385105303964"/>
    <n v="2.7209199530213"/>
    <n v="0"/>
    <n v="488.84657941502502"/>
    <n v="39202"/>
    <s v="Unnamed ProjectOldPartWait TimeEntity"/>
    <n v="10"/>
    <n v="25.459161551617594"/>
    <n v="1.1829151497487862"/>
    <n v="0.95"/>
    <n v="0.84620652155011711"/>
    <n v="23.749747212782399"/>
    <n v="27.4385105303964"/>
    <n v="0"/>
    <n v="697.97683727095102"/>
    <n v="39114.6"/>
    <n v="0.84620652155011711"/>
    <n v="10"/>
    <n v="1"/>
  </r>
  <r>
    <x v="0"/>
    <s v="2026-08-31 10:13:27"/>
    <n v="5"/>
    <x v="4"/>
    <x v="1"/>
    <x v="1"/>
    <n v="0"/>
    <n v="0"/>
    <n v="0"/>
    <n v="0"/>
    <n v="38937"/>
    <s v="Unnamed ProjectOldPartNVA TimeEntity"/>
    <n v="10"/>
    <n v="0"/>
    <n v="0"/>
    <n v="0.95"/>
    <n v="0"/>
    <n v="0"/>
    <n v="0"/>
    <n v="0"/>
    <n v="0"/>
    <n v="39114.6"/>
    <n v="0"/>
    <n v="10"/>
    <n v="1"/>
  </r>
  <r>
    <x v="0"/>
    <s v="2026-08-31 10:13:27"/>
    <n v="5"/>
    <x v="4"/>
    <x v="2"/>
    <x v="1"/>
    <n v="26.580412264770199"/>
    <n v="0.29687919576798499"/>
    <n v="0"/>
    <n v="96.918040676100603"/>
    <n v="38937"/>
    <s v="Unnamed ProjectOldPartOther TimeEntity"/>
    <n v="10"/>
    <n v="26.5549021198449"/>
    <n v="0.10060394881248749"/>
    <n v="0.95"/>
    <n v="7.1967729550932169E-2"/>
    <n v="26.429032514931901"/>
    <n v="26.770475746157199"/>
    <n v="0"/>
    <n v="102.681411641621"/>
    <n v="39114.6"/>
    <n v="7.1967729550932169E-2"/>
    <n v="10"/>
    <n v="1"/>
  </r>
  <r>
    <x v="0"/>
    <s v="2026-08-31 10:13:27"/>
    <n v="5"/>
    <x v="4"/>
    <x v="3"/>
    <x v="1"/>
    <n v="70.372645637622199"/>
    <n v="4.0724288522249399"/>
    <n v="2.5999999993946399"/>
    <n v="801.14163618703606"/>
    <n v="38937"/>
    <s v="Unnamed ProjectOldPartTotal TimeEntity"/>
    <n v="10"/>
    <n v="69.628311992504038"/>
    <n v="1.2322643661026464"/>
    <n v="0.95"/>
    <n v="0.88150882427309152"/>
    <n v="67.806850464608502"/>
    <n v="71.785243392167402"/>
    <n v="2.5999999993946399"/>
    <n v="801.14163618703606"/>
    <n v="39114.6"/>
    <n v="0.88150882427309152"/>
    <n v="10"/>
    <n v="1"/>
  </r>
  <r>
    <x v="0"/>
    <s v="2026-08-31 10:13:27"/>
    <n v="5"/>
    <x v="4"/>
    <x v="4"/>
    <x v="1"/>
    <n v="14.938387130672201"/>
    <n v="0.144108540567249"/>
    <n v="2.5999999993946399"/>
    <n v="301.61300022101199"/>
    <n v="38937"/>
    <s v="Unnamed ProjectOldPartTransfer TimeEntity"/>
    <n v="10"/>
    <n v="14.80738990479856"/>
    <n v="8.7394837578947643E-2"/>
    <n v="0.95"/>
    <n v="6.2518500608284761E-2"/>
    <n v="14.638753868636099"/>
    <n v="14.938387130672201"/>
    <n v="2.5999999993946399"/>
    <n v="301.61300022101199"/>
    <n v="39114.6"/>
    <n v="6.2518500608284761E-2"/>
    <n v="10"/>
    <n v="1"/>
  </r>
  <r>
    <x v="0"/>
    <s v="2026-08-31 10:13:27"/>
    <n v="5"/>
    <x v="4"/>
    <x v="5"/>
    <x v="1"/>
    <n v="2.8102832781159299"/>
    <n v="3.1541321653645302E-2"/>
    <n v="0"/>
    <n v="8.0000000000072795"/>
    <n v="38937"/>
    <s v="Unnamed ProjectOldPartVA TimeEntity"/>
    <n v="10"/>
    <n v="2.8068584162430272"/>
    <n v="1.0844368772089623E-2"/>
    <n v="0.95"/>
    <n v="7.7575940920069286E-3"/>
    <n v="2.7926069641580802"/>
    <n v="2.8286311922860898"/>
    <n v="0"/>
    <n v="8.0000000000291003"/>
    <n v="39114.6"/>
    <n v="7.7575940920069286E-3"/>
    <n v="10"/>
    <n v="1"/>
  </r>
  <r>
    <x v="0"/>
    <s v="2026-08-31 10:13:27"/>
    <n v="5"/>
    <x v="4"/>
    <x v="6"/>
    <x v="1"/>
    <n v="26.043562964064598"/>
    <n v="3.9416920747041"/>
    <n v="0"/>
    <n v="697.97683727095102"/>
    <n v="38937"/>
    <s v="Unnamed ProjectOldPartWait TimeEntity"/>
    <n v="10"/>
    <n v="25.459161551617594"/>
    <n v="1.1829151497487862"/>
    <n v="0.95"/>
    <n v="0.84620652155011711"/>
    <n v="23.749747212782399"/>
    <n v="27.4385105303964"/>
    <n v="0"/>
    <n v="697.97683727095102"/>
    <n v="39114.6"/>
    <n v="0.84620652155011711"/>
    <n v="10"/>
    <n v="1"/>
  </r>
  <r>
    <x v="0"/>
    <s v="2026-08-31 10:13:27"/>
    <n v="6"/>
    <x v="4"/>
    <x v="1"/>
    <x v="1"/>
    <n v="0"/>
    <n v="0"/>
    <n v="0"/>
    <n v="0"/>
    <n v="39510"/>
    <s v="Unnamed ProjectOldPartNVA TimeEntity"/>
    <n v="10"/>
    <n v="0"/>
    <n v="0"/>
    <n v="0.95"/>
    <n v="0"/>
    <n v="0"/>
    <n v="0"/>
    <n v="0"/>
    <n v="0"/>
    <n v="39114.6"/>
    <n v="0"/>
    <n v="10"/>
    <n v="1"/>
  </r>
  <r>
    <x v="0"/>
    <s v="2026-08-31 10:13:27"/>
    <n v="6"/>
    <x v="4"/>
    <x v="2"/>
    <x v="1"/>
    <n v="26.563148661461501"/>
    <n v="0.27621059184553598"/>
    <n v="0"/>
    <n v="100.63603227451701"/>
    <n v="39510"/>
    <s v="Unnamed ProjectOldPartOther TimeEntity"/>
    <n v="10"/>
    <n v="26.5549021198449"/>
    <n v="0.10060394881248749"/>
    <n v="0.95"/>
    <n v="7.1967729550932169E-2"/>
    <n v="26.429032514931901"/>
    <n v="26.770475746157199"/>
    <n v="0"/>
    <n v="102.681411641621"/>
    <n v="39114.6"/>
    <n v="7.1967729550932169E-2"/>
    <n v="10"/>
    <n v="1"/>
  </r>
  <r>
    <x v="0"/>
    <s v="2026-08-31 10:13:27"/>
    <n v="6"/>
    <x v="4"/>
    <x v="3"/>
    <x v="1"/>
    <n v="71.280521488420803"/>
    <n v="2.7126832705240602"/>
    <n v="2.5999999993946399"/>
    <n v="560.88010453817003"/>
    <n v="39510"/>
    <s v="Unnamed ProjectOldPartTotal TimeEntity"/>
    <n v="10"/>
    <n v="69.628311992504038"/>
    <n v="1.2322643661026464"/>
    <n v="0.95"/>
    <n v="0.88150882427309152"/>
    <n v="67.806850464608502"/>
    <n v="71.785243392167402"/>
    <n v="2.5999999993946399"/>
    <n v="801.14163618703606"/>
    <n v="39114.6"/>
    <n v="0.88150882427309152"/>
    <n v="10"/>
    <n v="1"/>
  </r>
  <r>
    <x v="0"/>
    <s v="2026-08-31 10:13:27"/>
    <n v="6"/>
    <x v="4"/>
    <x v="4"/>
    <x v="1"/>
    <n v="14.638753868636099"/>
    <n v="0.18522433702718699"/>
    <n v="2.5999999993946399"/>
    <n v="238.75842003501"/>
    <n v="39510"/>
    <s v="Unnamed ProjectOldPartTransfer TimeEntity"/>
    <n v="10"/>
    <n v="14.80738990479856"/>
    <n v="8.7394837578947643E-2"/>
    <n v="0.95"/>
    <n v="6.2518500608284761E-2"/>
    <n v="14.638753868636099"/>
    <n v="14.938387130672201"/>
    <n v="2.5999999993946399"/>
    <n v="301.61300022101199"/>
    <n v="39114.6"/>
    <n v="6.2518500608284761E-2"/>
    <n v="10"/>
    <n v="1"/>
  </r>
  <r>
    <x v="0"/>
    <s v="2026-08-31 10:13:27"/>
    <n v="6"/>
    <x v="4"/>
    <x v="5"/>
    <x v="1"/>
    <n v="2.8086054163502898"/>
    <n v="2.8799167855851099E-2"/>
    <n v="0"/>
    <n v="8.0000000000291003"/>
    <n v="39510"/>
    <s v="Unnamed ProjectOldPartVA TimeEntity"/>
    <n v="10"/>
    <n v="2.8068584162430272"/>
    <n v="1.0844368772089623E-2"/>
    <n v="0.95"/>
    <n v="7.7575940920069286E-3"/>
    <n v="2.7926069641580802"/>
    <n v="2.8286311922860898"/>
    <n v="0"/>
    <n v="8.0000000000291003"/>
    <n v="39114.6"/>
    <n v="7.7575940920069286E-3"/>
    <n v="10"/>
    <n v="1"/>
  </r>
  <r>
    <x v="0"/>
    <s v="2026-08-31 10:13:27"/>
    <n v="6"/>
    <x v="4"/>
    <x v="6"/>
    <x v="1"/>
    <n v="27.270013541972499"/>
    <n v="2.5850794125222798"/>
    <n v="0"/>
    <n v="432.46132015329198"/>
    <n v="39510"/>
    <s v="Unnamed ProjectOldPartWait TimeEntity"/>
    <n v="10"/>
    <n v="25.459161551617594"/>
    <n v="1.1829151497487862"/>
    <n v="0.95"/>
    <n v="0.84620652155011711"/>
    <n v="23.749747212782399"/>
    <n v="27.4385105303964"/>
    <n v="0"/>
    <n v="697.97683727095102"/>
    <n v="39114.6"/>
    <n v="0.84620652155011711"/>
    <n v="10"/>
    <n v="1"/>
  </r>
  <r>
    <x v="0"/>
    <s v="2026-08-31 10:13:27"/>
    <n v="7"/>
    <x v="4"/>
    <x v="1"/>
    <x v="1"/>
    <n v="0"/>
    <n v="0"/>
    <n v="0"/>
    <n v="0"/>
    <n v="38838"/>
    <s v="Unnamed ProjectOldPartNVA TimeEntity"/>
    <n v="10"/>
    <n v="0"/>
    <n v="0"/>
    <n v="0.95"/>
    <n v="0"/>
    <n v="0"/>
    <n v="0"/>
    <n v="0"/>
    <n v="0"/>
    <n v="39114.6"/>
    <n v="0"/>
    <n v="10"/>
    <n v="1"/>
  </r>
  <r>
    <x v="0"/>
    <s v="2026-08-31 10:13:27"/>
    <n v="7"/>
    <x v="4"/>
    <x v="2"/>
    <x v="1"/>
    <n v="26.571580335481698"/>
    <n v="0.34353056275681498"/>
    <n v="0"/>
    <n v="97.237194786313907"/>
    <n v="38838"/>
    <s v="Unnamed ProjectOldPartOther TimeEntity"/>
    <n v="10"/>
    <n v="26.5549021198449"/>
    <n v="0.10060394881248749"/>
    <n v="0.95"/>
    <n v="7.1967729550932169E-2"/>
    <n v="26.429032514931901"/>
    <n v="26.770475746157199"/>
    <n v="0"/>
    <n v="102.681411641621"/>
    <n v="39114.6"/>
    <n v="7.1967729550932169E-2"/>
    <n v="10"/>
    <n v="1"/>
  </r>
  <r>
    <x v="0"/>
    <s v="2026-08-31 10:13:27"/>
    <n v="7"/>
    <x v="4"/>
    <x v="3"/>
    <x v="1"/>
    <n v="68.858889930387093"/>
    <n v="2.9935522592177102"/>
    <n v="2.5999999993946399"/>
    <n v="688.55845776660101"/>
    <n v="38838"/>
    <s v="Unnamed ProjectOldPartTotal TimeEntity"/>
    <n v="10"/>
    <n v="69.628311992504038"/>
    <n v="1.2322643661026464"/>
    <n v="0.95"/>
    <n v="0.88150882427309152"/>
    <n v="67.806850464608502"/>
    <n v="71.785243392167402"/>
    <n v="2.5999999993946399"/>
    <n v="801.14163618703606"/>
    <n v="39114.6"/>
    <n v="0.88150882427309152"/>
    <n v="10"/>
    <n v="1"/>
  </r>
  <r>
    <x v="0"/>
    <s v="2026-08-31 10:13:27"/>
    <n v="7"/>
    <x v="4"/>
    <x v="4"/>
    <x v="1"/>
    <n v="14.8001536180951"/>
    <n v="3E+20"/>
    <n v="2.5999999993946399"/>
    <n v="141.62953338780801"/>
    <n v="38838"/>
    <s v="Unnamed ProjectOldPartTransfer TimeEntity"/>
    <n v="10"/>
    <n v="14.80738990479856"/>
    <n v="8.7394837578947643E-2"/>
    <n v="0.95"/>
    <n v="6.2518500608284761E-2"/>
    <n v="14.638753868636099"/>
    <n v="14.938387130672201"/>
    <n v="2.5999999993946399"/>
    <n v="301.61300022101199"/>
    <n v="39114.6"/>
    <n v="6.2518500608284761E-2"/>
    <n v="10"/>
    <n v="1"/>
  </r>
  <r>
    <x v="0"/>
    <s v="2026-08-31 10:13:27"/>
    <n v="7"/>
    <x v="4"/>
    <x v="5"/>
    <x v="1"/>
    <n v="2.8090014933827798"/>
    <n v="3.6013243634422099E-2"/>
    <n v="0"/>
    <n v="8.0000000000291003"/>
    <n v="38838"/>
    <s v="Unnamed ProjectOldPartVA TimeEntity"/>
    <n v="10"/>
    <n v="2.8068584162430272"/>
    <n v="1.0844368772089623E-2"/>
    <n v="0.95"/>
    <n v="7.7575940920069286E-3"/>
    <n v="2.7926069641580802"/>
    <n v="2.8286311922860898"/>
    <n v="0"/>
    <n v="8.0000000000291003"/>
    <n v="39114.6"/>
    <n v="7.7575940920069286E-3"/>
    <n v="10"/>
    <n v="1"/>
  </r>
  <r>
    <x v="0"/>
    <s v="2026-08-31 10:13:27"/>
    <n v="7"/>
    <x v="4"/>
    <x v="6"/>
    <x v="1"/>
    <n v="24.6781544834279"/>
    <n v="2.7381131638755298"/>
    <n v="0"/>
    <n v="577.09052988106896"/>
    <n v="38838"/>
    <s v="Unnamed ProjectOldPartWait TimeEntity"/>
    <n v="10"/>
    <n v="25.459161551617594"/>
    <n v="1.1829151497487862"/>
    <n v="0.95"/>
    <n v="0.84620652155011711"/>
    <n v="23.749747212782399"/>
    <n v="27.4385105303964"/>
    <n v="0"/>
    <n v="697.97683727095102"/>
    <n v="39114.6"/>
    <n v="0.84620652155011711"/>
    <n v="10"/>
    <n v="1"/>
  </r>
  <r>
    <x v="0"/>
    <s v="2026-08-31 10:13:27"/>
    <n v="8"/>
    <x v="4"/>
    <x v="1"/>
    <x v="1"/>
    <n v="0"/>
    <n v="0"/>
    <n v="0"/>
    <n v="0"/>
    <n v="39220"/>
    <s v="Unnamed ProjectOldPartNVA TimeEntity"/>
    <n v="10"/>
    <n v="0"/>
    <n v="0"/>
    <n v="0.95"/>
    <n v="0"/>
    <n v="0"/>
    <n v="0"/>
    <n v="0"/>
    <n v="0"/>
    <n v="39114.6"/>
    <n v="0"/>
    <n v="10"/>
    <n v="1"/>
  </r>
  <r>
    <x v="0"/>
    <s v="2026-08-31 10:13:27"/>
    <n v="8"/>
    <x v="4"/>
    <x v="2"/>
    <x v="1"/>
    <n v="26.640157754681901"/>
    <n v="0.29349736085026901"/>
    <n v="0"/>
    <n v="100.79452085049699"/>
    <n v="39220"/>
    <s v="Unnamed ProjectOldPartOther TimeEntity"/>
    <n v="10"/>
    <n v="26.5549021198449"/>
    <n v="0.10060394881248749"/>
    <n v="0.95"/>
    <n v="7.1967729550932169E-2"/>
    <n v="26.429032514931901"/>
    <n v="26.770475746157199"/>
    <n v="0"/>
    <n v="102.681411641621"/>
    <n v="39114.6"/>
    <n v="7.1967729550932169E-2"/>
    <n v="10"/>
    <n v="1"/>
  </r>
  <r>
    <x v="0"/>
    <s v="2026-08-31 10:13:27"/>
    <n v="8"/>
    <x v="4"/>
    <x v="3"/>
    <x v="1"/>
    <n v="70.0648712854031"/>
    <n v="2.2543967866569199"/>
    <n v="2.5999999993946399"/>
    <n v="595.77108914125699"/>
    <n v="39220"/>
    <s v="Unnamed ProjectOldPartTotal TimeEntity"/>
    <n v="10"/>
    <n v="69.628311992504038"/>
    <n v="1.2322643661026464"/>
    <n v="0.95"/>
    <n v="0.88150882427309152"/>
    <n v="67.806850464608502"/>
    <n v="71.785243392167402"/>
    <n v="2.5999999993946399"/>
    <n v="801.14163618703606"/>
    <n v="39114.6"/>
    <n v="0.88150882427309152"/>
    <n v="10"/>
    <n v="1"/>
  </r>
  <r>
    <x v="0"/>
    <s v="2026-08-31 10:13:27"/>
    <n v="8"/>
    <x v="4"/>
    <x v="4"/>
    <x v="1"/>
    <n v="14.7976811642828"/>
    <n v="0.145390031424355"/>
    <n v="2.5999999993946399"/>
    <n v="218.633160866797"/>
    <n v="39220"/>
    <s v="Unnamed ProjectOldPartTransfer TimeEntity"/>
    <n v="10"/>
    <n v="14.80738990479856"/>
    <n v="8.7394837578947643E-2"/>
    <n v="0.95"/>
    <n v="6.2518500608284761E-2"/>
    <n v="14.638753868636099"/>
    <n v="14.938387130672201"/>
    <n v="2.5999999993946399"/>
    <n v="301.61300022101199"/>
    <n v="39114.6"/>
    <n v="6.2518500608284761E-2"/>
    <n v="10"/>
    <n v="1"/>
  </r>
  <r>
    <x v="0"/>
    <s v="2026-08-31 10:13:27"/>
    <n v="8"/>
    <x v="4"/>
    <x v="5"/>
    <x v="1"/>
    <n v="2.8175420703722498"/>
    <n v="3.0088936910576701E-2"/>
    <n v="0"/>
    <n v="8"/>
    <n v="39220"/>
    <s v="Unnamed ProjectOldPartVA TimeEntity"/>
    <n v="10"/>
    <n v="2.8068584162430272"/>
    <n v="1.0844368772089623E-2"/>
    <n v="0.95"/>
    <n v="7.7575940920069286E-3"/>
    <n v="2.7926069641580802"/>
    <n v="2.8286311922860898"/>
    <n v="0"/>
    <n v="8.0000000000291003"/>
    <n v="39114.6"/>
    <n v="7.7575940920069286E-3"/>
    <n v="10"/>
    <n v="1"/>
  </r>
  <r>
    <x v="0"/>
    <s v="2026-08-31 10:13:27"/>
    <n v="8"/>
    <x v="4"/>
    <x v="6"/>
    <x v="1"/>
    <n v="25.809490296066301"/>
    <n v="2.0619572434651801"/>
    <n v="0"/>
    <n v="481.67481349792803"/>
    <n v="39220"/>
    <s v="Unnamed ProjectOldPartWait TimeEntity"/>
    <n v="10"/>
    <n v="25.459161551617594"/>
    <n v="1.1829151497487862"/>
    <n v="0.95"/>
    <n v="0.84620652155011711"/>
    <n v="23.749747212782399"/>
    <n v="27.4385105303964"/>
    <n v="0"/>
    <n v="697.97683727095102"/>
    <n v="39114.6"/>
    <n v="0.84620652155011711"/>
    <n v="10"/>
    <n v="1"/>
  </r>
  <r>
    <x v="0"/>
    <s v="2026-08-31 10:13:27"/>
    <n v="9"/>
    <x v="4"/>
    <x v="1"/>
    <x v="1"/>
    <n v="0"/>
    <n v="0"/>
    <n v="0"/>
    <n v="0"/>
    <n v="39259"/>
    <s v="Unnamed ProjectOldPartNVA TimeEntity"/>
    <n v="10"/>
    <n v="0"/>
    <n v="0"/>
    <n v="0.95"/>
    <n v="0"/>
    <n v="0"/>
    <n v="0"/>
    <n v="0"/>
    <n v="0"/>
    <n v="39114.6"/>
    <n v="0"/>
    <n v="10"/>
    <n v="1"/>
  </r>
  <r>
    <x v="0"/>
    <s v="2026-08-31 10:13:27"/>
    <n v="9"/>
    <x v="4"/>
    <x v="2"/>
    <x v="1"/>
    <n v="26.566587855556001"/>
    <n v="0.38827782328646199"/>
    <n v="0"/>
    <n v="99.970266972814002"/>
    <n v="39259"/>
    <s v="Unnamed ProjectOldPartOther TimeEntity"/>
    <n v="10"/>
    <n v="26.5549021198449"/>
    <n v="0.10060394881248749"/>
    <n v="0.95"/>
    <n v="7.1967729550932169E-2"/>
    <n v="26.429032514931901"/>
    <n v="26.770475746157199"/>
    <n v="0"/>
    <n v="102.681411641621"/>
    <n v="39114.6"/>
    <n v="7.1967729550932169E-2"/>
    <n v="10"/>
    <n v="1"/>
  </r>
  <r>
    <x v="0"/>
    <s v="2026-08-31 10:13:27"/>
    <n v="9"/>
    <x v="4"/>
    <x v="3"/>
    <x v="1"/>
    <n v="68.967515354511406"/>
    <n v="2.96027635720269"/>
    <n v="2.5999999993946399"/>
    <n v="613.00383878417801"/>
    <n v="39259"/>
    <s v="Unnamed ProjectOldPartTotal TimeEntity"/>
    <n v="10"/>
    <n v="69.628311992504038"/>
    <n v="1.2322643661026464"/>
    <n v="0.95"/>
    <n v="0.88150882427309152"/>
    <n v="67.806850464608502"/>
    <n v="71.785243392167402"/>
    <n v="2.5999999993946399"/>
    <n v="801.14163618703606"/>
    <n v="39114.6"/>
    <n v="0.88150882427309152"/>
    <n v="10"/>
    <n v="1"/>
  </r>
  <r>
    <x v="0"/>
    <s v="2026-08-31 10:13:27"/>
    <n v="9"/>
    <x v="4"/>
    <x v="4"/>
    <x v="1"/>
    <n v="14.816449531597099"/>
    <n v="0.171947992775385"/>
    <n v="2.5999999993946399"/>
    <n v="200.41942572320801"/>
    <n v="39259"/>
    <s v="Unnamed ProjectOldPartTransfer TimeEntity"/>
    <n v="10"/>
    <n v="14.80738990479856"/>
    <n v="8.7394837578947643E-2"/>
    <n v="0.95"/>
    <n v="6.2518500608284761E-2"/>
    <n v="14.638753868636099"/>
    <n v="14.938387130672201"/>
    <n v="2.5999999993946399"/>
    <n v="301.61300022101199"/>
    <n v="39114.6"/>
    <n v="6.2518500608284761E-2"/>
    <n v="10"/>
    <n v="1"/>
  </r>
  <r>
    <x v="0"/>
    <s v="2026-08-31 10:13:27"/>
    <n v="9"/>
    <x v="4"/>
    <x v="5"/>
    <x v="1"/>
    <n v="2.8074072187269099"/>
    <n v="4.1053828088329199E-2"/>
    <n v="0"/>
    <n v="8"/>
    <n v="39259"/>
    <s v="Unnamed ProjectOldPartVA TimeEntity"/>
    <n v="10"/>
    <n v="2.8068584162430272"/>
    <n v="1.0844368772089623E-2"/>
    <n v="0.95"/>
    <n v="7.7575940920069286E-3"/>
    <n v="2.7926069641580802"/>
    <n v="2.8286311922860898"/>
    <n v="0"/>
    <n v="8.0000000000291003"/>
    <n v="39114.6"/>
    <n v="7.7575940920069286E-3"/>
    <n v="10"/>
    <n v="1"/>
  </r>
  <r>
    <x v="0"/>
    <s v="2026-08-31 10:13:27"/>
    <n v="9"/>
    <x v="4"/>
    <x v="6"/>
    <x v="1"/>
    <n v="24.777070748632202"/>
    <n v="2.61150090517835"/>
    <n v="0"/>
    <n v="503.33472289258498"/>
    <n v="39259"/>
    <s v="Unnamed ProjectOldPartWait TimeEntity"/>
    <n v="10"/>
    <n v="25.459161551617594"/>
    <n v="1.1829151497487862"/>
    <n v="0.95"/>
    <n v="0.84620652155011711"/>
    <n v="23.749747212782399"/>
    <n v="27.4385105303964"/>
    <n v="0"/>
    <n v="697.97683727095102"/>
    <n v="39114.6"/>
    <n v="0.84620652155011711"/>
    <n v="10"/>
    <n v="1"/>
  </r>
  <r>
    <x v="0"/>
    <s v="2026-08-31 10:13:27"/>
    <n v="10"/>
    <x v="4"/>
    <x v="1"/>
    <x v="1"/>
    <n v="0"/>
    <n v="0"/>
    <n v="0"/>
    <n v="0"/>
    <n v="39231"/>
    <s v="Unnamed ProjectOldPartNVA TimeEntity"/>
    <n v="10"/>
    <n v="0"/>
    <n v="0"/>
    <n v="0.95"/>
    <n v="0"/>
    <n v="0"/>
    <n v="0"/>
    <n v="0"/>
    <n v="0"/>
    <n v="39114.6"/>
    <n v="0"/>
    <n v="10"/>
    <n v="1"/>
  </r>
  <r>
    <x v="0"/>
    <s v="2026-08-31 10:13:27"/>
    <n v="10"/>
    <x v="4"/>
    <x v="2"/>
    <x v="1"/>
    <n v="26.447997295614801"/>
    <n v="0.31507313249462099"/>
    <n v="0"/>
    <n v="95.158334624939002"/>
    <n v="39231"/>
    <s v="Unnamed ProjectOldPartOther TimeEntity"/>
    <n v="10"/>
    <n v="26.5549021198449"/>
    <n v="0.10060394881248749"/>
    <n v="0.95"/>
    <n v="7.1967729550932169E-2"/>
    <n v="26.429032514931901"/>
    <n v="26.770475746157199"/>
    <n v="0"/>
    <n v="102.681411641621"/>
    <n v="39114.6"/>
    <n v="7.1967729550932169E-2"/>
    <n v="10"/>
    <n v="1"/>
  </r>
  <r>
    <x v="0"/>
    <s v="2026-08-31 10:13:27"/>
    <n v="10"/>
    <x v="4"/>
    <x v="3"/>
    <x v="1"/>
    <n v="68.704052222838797"/>
    <n v="2.62494087672584"/>
    <n v="2.5999999993946399"/>
    <n v="613.83094543576601"/>
    <n v="39231"/>
    <s v="Unnamed ProjectOldPartTotal TimeEntity"/>
    <n v="10"/>
    <n v="69.628311992504038"/>
    <n v="1.2322643661026464"/>
    <n v="0.95"/>
    <n v="0.88150882427309152"/>
    <n v="67.806850464608502"/>
    <n v="71.785243392167402"/>
    <n v="2.5999999993946399"/>
    <n v="801.14163618703606"/>
    <n v="39114.6"/>
    <n v="0.88150882427309152"/>
    <n v="10"/>
    <n v="1"/>
  </r>
  <r>
    <x v="0"/>
    <s v="2026-08-31 10:13:27"/>
    <n v="10"/>
    <x v="4"/>
    <x v="4"/>
    <x v="1"/>
    <n v="14.8154231486165"/>
    <n v="0.15842724358844601"/>
    <n v="2.5999999993946399"/>
    <n v="188.06232743489099"/>
    <n v="39231"/>
    <s v="Unnamed ProjectOldPartTransfer TimeEntity"/>
    <n v="10"/>
    <n v="14.80738990479856"/>
    <n v="8.7394837578947643E-2"/>
    <n v="0.95"/>
    <n v="6.2518500608284761E-2"/>
    <n v="14.638753868636099"/>
    <n v="14.938387130672201"/>
    <n v="2.5999999993946399"/>
    <n v="301.61300022101199"/>
    <n v="39114.6"/>
    <n v="6.2518500608284761E-2"/>
    <n v="10"/>
    <n v="1"/>
  </r>
  <r>
    <x v="0"/>
    <s v="2026-08-31 10:13:27"/>
    <n v="10"/>
    <x v="4"/>
    <x v="5"/>
    <x v="1"/>
    <n v="2.7949325788279502"/>
    <n v="3.2931153967053803E-2"/>
    <n v="0"/>
    <n v="8"/>
    <n v="39231"/>
    <s v="Unnamed ProjectOldPartVA TimeEntity"/>
    <n v="10"/>
    <n v="2.8068584162430272"/>
    <n v="1.0844368772089623E-2"/>
    <n v="0.95"/>
    <n v="7.7575940920069286E-3"/>
    <n v="2.7926069641580802"/>
    <n v="2.8286311922860898"/>
    <n v="0"/>
    <n v="8.0000000000291003"/>
    <n v="39114.6"/>
    <n v="7.7575940920069286E-3"/>
    <n v="10"/>
    <n v="1"/>
  </r>
  <r>
    <x v="0"/>
    <s v="2026-08-31 10:13:27"/>
    <n v="10"/>
    <x v="4"/>
    <x v="6"/>
    <x v="1"/>
    <n v="24.6456991997802"/>
    <n v="2.4339761564291398"/>
    <n v="0"/>
    <n v="488.88426496231102"/>
    <n v="39231"/>
    <s v="Unnamed ProjectOldPartWait TimeEntity"/>
    <n v="10"/>
    <n v="25.459161551617594"/>
    <n v="1.1829151497487862"/>
    <n v="0.95"/>
    <n v="0.84620652155011711"/>
    <n v="23.749747212782399"/>
    <n v="27.4385105303964"/>
    <n v="0"/>
    <n v="697.97683727095102"/>
    <n v="39114.6"/>
    <n v="0.84620652155011711"/>
    <n v="10"/>
    <n v="1"/>
  </r>
  <r>
    <x v="0"/>
    <s v="2026-08-31 10:13:27"/>
    <n v="1"/>
    <x v="5"/>
    <x v="0"/>
    <x v="0"/>
    <n v="16.156612673710701"/>
    <n v="1.2557246227046901"/>
    <n v="0"/>
    <n v="117.204349472537"/>
    <n v="19449"/>
    <s v="Unnamed ProjectPackQWaiting TimeQueue"/>
    <n v="10"/>
    <n v="16.342083245800943"/>
    <n v="0.92317823515899855"/>
    <n v="0.95"/>
    <n v="0.6604019259627999"/>
    <n v="14.460984743214899"/>
    <n v="17.671093893504501"/>
    <n v="0"/>
    <n v="132.19592455730901"/>
    <n v="19615.8"/>
    <n v="0.6604019259627999"/>
    <n v="10"/>
    <n v="1"/>
  </r>
  <r>
    <x v="0"/>
    <s v="2026-08-31 10:13:27"/>
    <n v="2"/>
    <x v="5"/>
    <x v="0"/>
    <x v="0"/>
    <n v="16.0443194579811"/>
    <n v="1.0109190591161199"/>
    <n v="0"/>
    <n v="113.478460905491"/>
    <n v="19619"/>
    <s v="Unnamed ProjectPackQWaiting TimeQueue"/>
    <n v="10"/>
    <n v="16.342083245800943"/>
    <n v="0.92317823515899855"/>
    <n v="0.95"/>
    <n v="0.6604019259627999"/>
    <n v="14.460984743214899"/>
    <n v="17.671093893504501"/>
    <n v="0"/>
    <n v="132.19592455730901"/>
    <n v="19615.8"/>
    <n v="0.6604019259627999"/>
    <n v="10"/>
    <n v="1"/>
  </r>
  <r>
    <x v="0"/>
    <s v="2026-08-31 10:13:27"/>
    <n v="3"/>
    <x v="5"/>
    <x v="0"/>
    <x v="0"/>
    <n v="14.460984743214899"/>
    <n v="0.77905310602274402"/>
    <n v="0"/>
    <n v="89.966492616455099"/>
    <n v="19409"/>
    <s v="Unnamed ProjectPackQWaiting TimeQueue"/>
    <n v="10"/>
    <n v="16.342083245800943"/>
    <n v="0.92317823515899855"/>
    <n v="0.95"/>
    <n v="0.6604019259627999"/>
    <n v="14.460984743214899"/>
    <n v="17.671093893504501"/>
    <n v="0"/>
    <n v="132.19592455730901"/>
    <n v="19615.8"/>
    <n v="0.6604019259627999"/>
    <n v="10"/>
    <n v="1"/>
  </r>
  <r>
    <x v="0"/>
    <s v="2026-08-31 10:13:27"/>
    <n v="4"/>
    <x v="5"/>
    <x v="0"/>
    <x v="0"/>
    <n v="17.512506471427098"/>
    <n v="1.33265767734086"/>
    <n v="0"/>
    <n v="119.19848801070501"/>
    <n v="19914"/>
    <s v="Unnamed ProjectPackQWaiting TimeQueue"/>
    <n v="10"/>
    <n v="16.342083245800943"/>
    <n v="0.92317823515899855"/>
    <n v="0.95"/>
    <n v="0.6604019259627999"/>
    <n v="14.460984743214899"/>
    <n v="17.671093893504501"/>
    <n v="0"/>
    <n v="132.19592455730901"/>
    <n v="19615.8"/>
    <n v="0.6604019259627999"/>
    <n v="10"/>
    <n v="1"/>
  </r>
  <r>
    <x v="0"/>
    <s v="2026-08-31 10:13:27"/>
    <n v="5"/>
    <x v="5"/>
    <x v="0"/>
    <x v="0"/>
    <n v="16.102904317256701"/>
    <n v="1.1737123772328699"/>
    <n v="0"/>
    <n v="89.296369925927095"/>
    <n v="19498"/>
    <s v="Unnamed ProjectPackQWaiting TimeQueue"/>
    <n v="10"/>
    <n v="16.342083245800943"/>
    <n v="0.92317823515899855"/>
    <n v="0.95"/>
    <n v="0.6604019259627999"/>
    <n v="14.460984743214899"/>
    <n v="17.671093893504501"/>
    <n v="0"/>
    <n v="132.19592455730901"/>
    <n v="19615.8"/>
    <n v="0.6604019259627999"/>
    <n v="10"/>
    <n v="1"/>
  </r>
  <r>
    <x v="0"/>
    <s v="2026-08-31 10:13:27"/>
    <n v="6"/>
    <x v="5"/>
    <x v="0"/>
    <x v="0"/>
    <n v="17.671093893504501"/>
    <n v="1.32136494034448"/>
    <n v="0"/>
    <n v="124.034444417572"/>
    <n v="19857"/>
    <s v="Unnamed ProjectPackQWaiting TimeQueue"/>
    <n v="10"/>
    <n v="16.342083245800943"/>
    <n v="0.92317823515899855"/>
    <n v="0.95"/>
    <n v="0.6604019259627999"/>
    <n v="14.460984743214899"/>
    <n v="17.671093893504501"/>
    <n v="0"/>
    <n v="132.19592455730901"/>
    <n v="19615.8"/>
    <n v="0.6604019259627999"/>
    <n v="10"/>
    <n v="1"/>
  </r>
  <r>
    <x v="0"/>
    <s v="2026-08-31 10:13:27"/>
    <n v="7"/>
    <x v="5"/>
    <x v="0"/>
    <x v="0"/>
    <n v="15.9867669669554"/>
    <n v="1.0741756145406101"/>
    <n v="0"/>
    <n v="95.986766263202298"/>
    <n v="19570"/>
    <s v="Unnamed ProjectPackQWaiting TimeQueue"/>
    <n v="10"/>
    <n v="16.342083245800943"/>
    <n v="0.92317823515899855"/>
    <n v="0.95"/>
    <n v="0.6604019259627999"/>
    <n v="14.460984743214899"/>
    <n v="17.671093893504501"/>
    <n v="0"/>
    <n v="132.19592455730901"/>
    <n v="19615.8"/>
    <n v="0.6604019259627999"/>
    <n v="10"/>
    <n v="1"/>
  </r>
  <r>
    <x v="0"/>
    <s v="2026-08-31 10:13:27"/>
    <n v="8"/>
    <x v="5"/>
    <x v="0"/>
    <x v="0"/>
    <n v="17.131343779764698"/>
    <n v="1.2760073065581401"/>
    <n v="0"/>
    <n v="107.492629610468"/>
    <n v="19695"/>
    <s v="Unnamed ProjectPackQWaiting TimeQueue"/>
    <n v="10"/>
    <n v="16.342083245800943"/>
    <n v="0.92317823515899855"/>
    <n v="0.95"/>
    <n v="0.6604019259627999"/>
    <n v="14.460984743214899"/>
    <n v="17.671093893504501"/>
    <n v="0"/>
    <n v="132.19592455730901"/>
    <n v="19615.8"/>
    <n v="0.6604019259627999"/>
    <n v="10"/>
    <n v="1"/>
  </r>
  <r>
    <x v="0"/>
    <s v="2026-08-31 10:13:27"/>
    <n v="9"/>
    <x v="5"/>
    <x v="0"/>
    <x v="0"/>
    <n v="16.1004227529391"/>
    <n v="1.1959108205256801"/>
    <n v="0"/>
    <n v="122.729548500967"/>
    <n v="19619"/>
    <s v="Unnamed ProjectPackQWaiting TimeQueue"/>
    <n v="10"/>
    <n v="16.342083245800943"/>
    <n v="0.92317823515899855"/>
    <n v="0.95"/>
    <n v="0.6604019259627999"/>
    <n v="14.460984743214899"/>
    <n v="17.671093893504501"/>
    <n v="0"/>
    <n v="132.19592455730901"/>
    <n v="19615.8"/>
    <n v="0.6604019259627999"/>
    <n v="10"/>
    <n v="1"/>
  </r>
  <r>
    <x v="0"/>
    <s v="2026-08-31 10:13:27"/>
    <n v="10"/>
    <x v="5"/>
    <x v="0"/>
    <x v="0"/>
    <n v="16.253877401255199"/>
    <n v="1.3496954887582799"/>
    <n v="0"/>
    <n v="132.19592455730901"/>
    <n v="19528"/>
    <s v="Unnamed ProjectPackQWaiting TimeQueue"/>
    <n v="10"/>
    <n v="16.342083245800943"/>
    <n v="0.92317823515899855"/>
    <n v="0.95"/>
    <n v="0.6604019259627999"/>
    <n v="14.460984743214899"/>
    <n v="17.671093893504501"/>
    <n v="0"/>
    <n v="132.19592455730901"/>
    <n v="19615.8"/>
    <n v="0.6604019259627999"/>
    <n v="10"/>
    <n v="1"/>
  </r>
  <r>
    <x v="0"/>
    <s v="2026-08-31 10:13:27"/>
    <n v="1"/>
    <x v="6"/>
    <x v="0"/>
    <x v="0"/>
    <n v="0.41062571697354"/>
    <n v="2.6461689869571599E-2"/>
    <n v="0"/>
    <n v="18.505978265471601"/>
    <n v="19450"/>
    <s v="Unnamed ProjectPackReqQWaiting TimeQueue"/>
    <n v="10"/>
    <n v="0.42283517513581825"/>
    <n v="1.3511010771416105E-2"/>
    <n v="0.95"/>
    <n v="9.6651948619765476E-3"/>
    <n v="0.39727462981438899"/>
    <n v="0.44463425929362299"/>
    <n v="0"/>
    <n v="20.274494886893098"/>
    <n v="19615.900000000001"/>
    <n v="9.6651948619765476E-3"/>
    <n v="10"/>
    <n v="1"/>
  </r>
  <r>
    <x v="0"/>
    <s v="2026-08-31 10:13:27"/>
    <n v="2"/>
    <x v="6"/>
    <x v="0"/>
    <x v="0"/>
    <n v="0.4253918931158"/>
    <n v="2.3339241038967399E-2"/>
    <n v="0"/>
    <n v="16.0595663594431"/>
    <n v="19618"/>
    <s v="Unnamed ProjectPackReqQWaiting TimeQueue"/>
    <n v="10"/>
    <n v="0.42283517513581825"/>
    <n v="1.3511010771416105E-2"/>
    <n v="0.95"/>
    <n v="9.6651948619765476E-3"/>
    <n v="0.39727462981438899"/>
    <n v="0.44463425929362299"/>
    <n v="0"/>
    <n v="20.274494886893098"/>
    <n v="19615.900000000001"/>
    <n v="9.6651948619765476E-3"/>
    <n v="10"/>
    <n v="1"/>
  </r>
  <r>
    <x v="0"/>
    <s v="2026-08-31 10:13:27"/>
    <n v="3"/>
    <x v="6"/>
    <x v="0"/>
    <x v="0"/>
    <n v="0.41547168986866101"/>
    <n v="3E+20"/>
    <n v="0"/>
    <n v="15.903152276558099"/>
    <n v="19409"/>
    <s v="Unnamed ProjectPackReqQWaiting TimeQueue"/>
    <n v="10"/>
    <n v="0.42283517513581825"/>
    <n v="1.3511010771416105E-2"/>
    <n v="0.95"/>
    <n v="9.6651948619765476E-3"/>
    <n v="0.39727462981438899"/>
    <n v="0.44463425929362299"/>
    <n v="0"/>
    <n v="20.274494886893098"/>
    <n v="19615.900000000001"/>
    <n v="9.6651948619765476E-3"/>
    <n v="10"/>
    <n v="1"/>
  </r>
  <r>
    <x v="0"/>
    <s v="2026-08-31 10:13:27"/>
    <n v="4"/>
    <x v="6"/>
    <x v="0"/>
    <x v="0"/>
    <n v="0.43456145009638197"/>
    <n v="3.1998954457194202E-2"/>
    <n v="0"/>
    <n v="17.381222227151699"/>
    <n v="19913"/>
    <s v="Unnamed ProjectPackReqQWaiting TimeQueue"/>
    <n v="10"/>
    <n v="0.42283517513581825"/>
    <n v="1.3511010771416105E-2"/>
    <n v="0.95"/>
    <n v="9.6651948619765476E-3"/>
    <n v="0.39727462981438899"/>
    <n v="0.44463425929362299"/>
    <n v="0"/>
    <n v="20.274494886893098"/>
    <n v="19615.900000000001"/>
    <n v="9.6651948619765476E-3"/>
    <n v="10"/>
    <n v="1"/>
  </r>
  <r>
    <x v="0"/>
    <s v="2026-08-31 10:13:27"/>
    <n v="5"/>
    <x v="6"/>
    <x v="0"/>
    <x v="0"/>
    <n v="0.422357093106842"/>
    <n v="2.4829430625828701E-2"/>
    <n v="0"/>
    <n v="20.274494886893098"/>
    <n v="19499"/>
    <s v="Unnamed ProjectPackReqQWaiting TimeQueue"/>
    <n v="10"/>
    <n v="0.42283517513581825"/>
    <n v="1.3511010771416105E-2"/>
    <n v="0.95"/>
    <n v="9.6651948619765476E-3"/>
    <n v="0.39727462981438899"/>
    <n v="0.44463425929362299"/>
    <n v="0"/>
    <n v="20.274494886893098"/>
    <n v="19615.900000000001"/>
    <n v="9.6651948619765476E-3"/>
    <n v="10"/>
    <n v="1"/>
  </r>
  <r>
    <x v="0"/>
    <s v="2026-08-31 10:13:27"/>
    <n v="6"/>
    <x v="6"/>
    <x v="0"/>
    <x v="0"/>
    <n v="0.44463425929362299"/>
    <n v="2.6430266739715599E-2"/>
    <n v="0"/>
    <n v="17.549995781504499"/>
    <n v="19857"/>
    <s v="Unnamed ProjectPackReqQWaiting TimeQueue"/>
    <n v="10"/>
    <n v="0.42283517513581825"/>
    <n v="1.3511010771416105E-2"/>
    <n v="0.95"/>
    <n v="9.6651948619765476E-3"/>
    <n v="0.39727462981438899"/>
    <n v="0.44463425929362299"/>
    <n v="0"/>
    <n v="20.274494886893098"/>
    <n v="19615.900000000001"/>
    <n v="9.6651948619765476E-3"/>
    <n v="10"/>
    <n v="1"/>
  </r>
  <r>
    <x v="0"/>
    <s v="2026-08-31 10:13:27"/>
    <n v="7"/>
    <x v="6"/>
    <x v="0"/>
    <x v="0"/>
    <n v="0.418909128265883"/>
    <n v="2.4166403723147399E-2"/>
    <n v="0"/>
    <n v="15.940747643064199"/>
    <n v="19570"/>
    <s v="Unnamed ProjectPackReqQWaiting TimeQueue"/>
    <n v="10"/>
    <n v="0.42283517513581825"/>
    <n v="1.3511010771416105E-2"/>
    <n v="0.95"/>
    <n v="9.6651948619765476E-3"/>
    <n v="0.39727462981438899"/>
    <n v="0.44463425929362299"/>
    <n v="0"/>
    <n v="20.274494886893098"/>
    <n v="19615.900000000001"/>
    <n v="9.6651948619765476E-3"/>
    <n v="10"/>
    <n v="1"/>
  </r>
  <r>
    <x v="0"/>
    <s v="2026-08-31 10:13:27"/>
    <n v="8"/>
    <x v="6"/>
    <x v="0"/>
    <x v="0"/>
    <n v="0.42404557040401503"/>
    <n v="2.7349371226101201E-2"/>
    <n v="0"/>
    <n v="16.3862519451068"/>
    <n v="19695"/>
    <s v="Unnamed ProjectPackReqQWaiting TimeQueue"/>
    <n v="10"/>
    <n v="0.42283517513581825"/>
    <n v="1.3511010771416105E-2"/>
    <n v="0.95"/>
    <n v="9.6651948619765476E-3"/>
    <n v="0.39727462981438899"/>
    <n v="0.44463425929362299"/>
    <n v="0"/>
    <n v="20.274494886893098"/>
    <n v="19615.900000000001"/>
    <n v="9.6651948619765476E-3"/>
    <n v="10"/>
    <n v="1"/>
  </r>
  <r>
    <x v="0"/>
    <s v="2026-08-31 10:13:27"/>
    <n v="9"/>
    <x v="6"/>
    <x v="0"/>
    <x v="0"/>
    <n v="0.43508032041904798"/>
    <n v="2.80246114629033E-2"/>
    <n v="0"/>
    <n v="14.749112847086501"/>
    <n v="19620"/>
    <s v="Unnamed ProjectPackReqQWaiting TimeQueue"/>
    <n v="10"/>
    <n v="0.42283517513581825"/>
    <n v="1.3511010771416105E-2"/>
    <n v="0.95"/>
    <n v="9.6651948619765476E-3"/>
    <n v="0.39727462981438899"/>
    <n v="0.44463425929362299"/>
    <n v="0"/>
    <n v="20.274494886893098"/>
    <n v="19615.900000000001"/>
    <n v="9.6651948619765476E-3"/>
    <n v="10"/>
    <n v="1"/>
  </r>
  <r>
    <x v="0"/>
    <s v="2026-08-31 10:13:27"/>
    <n v="10"/>
    <x v="6"/>
    <x v="0"/>
    <x v="0"/>
    <n v="0.39727462981438899"/>
    <n v="2.4778271184220199E-2"/>
    <n v="0"/>
    <n v="16.2737367894442"/>
    <n v="19528"/>
    <s v="Unnamed ProjectPackReqQWaiting TimeQueue"/>
    <n v="10"/>
    <n v="0.42283517513581825"/>
    <n v="1.3511010771416105E-2"/>
    <n v="0.95"/>
    <n v="9.6651948619765476E-3"/>
    <n v="0.39727462981438899"/>
    <n v="0.44463425929362299"/>
    <n v="0"/>
    <n v="20.274494886893098"/>
    <n v="19615.900000000001"/>
    <n v="9.6651948619765476E-3"/>
    <n v="10"/>
    <n v="1"/>
  </r>
  <r>
    <x v="0"/>
    <s v="2026-08-31 10:13:27"/>
    <n v="1"/>
    <x v="7"/>
    <x v="0"/>
    <x v="0"/>
    <n v="2.46929276490732"/>
    <n v="0.16928539590730199"/>
    <n v="0"/>
    <n v="39.663195176486603"/>
    <n v="13496"/>
    <s v="Unnamed ProjectPaintQWaiting TimeQueue"/>
    <n v="10"/>
    <n v="2.5112702822422621"/>
    <n v="4.7806803918528436E-2"/>
    <n v="0.95"/>
    <n v="3.4198927335504746E-2"/>
    <n v="2.44135409421229"/>
    <n v="2.5918018060106802"/>
    <n v="0"/>
    <n v="45.589153537584899"/>
    <n v="13722.6"/>
    <n v="3.4198927335504746E-2"/>
    <n v="10"/>
    <n v="1"/>
  </r>
  <r>
    <x v="0"/>
    <s v="2026-08-31 10:13:27"/>
    <n v="2"/>
    <x v="7"/>
    <x v="0"/>
    <x v="0"/>
    <n v="2.5119305419662199"/>
    <n v="0.180355088649683"/>
    <n v="0"/>
    <n v="39.151843072380899"/>
    <n v="13722"/>
    <s v="Unnamed ProjectPaintQWaiting TimeQueue"/>
    <n v="10"/>
    <n v="2.5112702822422621"/>
    <n v="4.7806803918528436E-2"/>
    <n v="0.95"/>
    <n v="3.4198927335504746E-2"/>
    <n v="2.44135409421229"/>
    <n v="2.5918018060106802"/>
    <n v="0"/>
    <n v="45.589153537584899"/>
    <n v="13722.6"/>
    <n v="3.4198927335504746E-2"/>
    <n v="10"/>
    <n v="1"/>
  </r>
  <r>
    <x v="0"/>
    <s v="2026-08-31 10:13:27"/>
    <n v="3"/>
    <x v="7"/>
    <x v="0"/>
    <x v="0"/>
    <n v="2.50579819963537"/>
    <n v="0.17620814924612899"/>
    <n v="0"/>
    <n v="42.0351093823556"/>
    <n v="13672"/>
    <s v="Unnamed ProjectPaintQWaiting TimeQueue"/>
    <n v="10"/>
    <n v="2.5112702822422621"/>
    <n v="4.7806803918528436E-2"/>
    <n v="0.95"/>
    <n v="3.4198927335504746E-2"/>
    <n v="2.44135409421229"/>
    <n v="2.5918018060106802"/>
    <n v="0"/>
    <n v="45.589153537584899"/>
    <n v="13722.6"/>
    <n v="3.4198927335504746E-2"/>
    <n v="10"/>
    <n v="1"/>
  </r>
  <r>
    <x v="0"/>
    <s v="2026-08-31 10:13:27"/>
    <n v="4"/>
    <x v="7"/>
    <x v="0"/>
    <x v="0"/>
    <n v="2.5763628841810799"/>
    <n v="0.17519724767893499"/>
    <n v="0"/>
    <n v="40.3845350117845"/>
    <n v="13863"/>
    <s v="Unnamed ProjectPaintQWaiting TimeQueue"/>
    <n v="10"/>
    <n v="2.5112702822422621"/>
    <n v="4.7806803918528436E-2"/>
    <n v="0.95"/>
    <n v="3.4198927335504746E-2"/>
    <n v="2.44135409421229"/>
    <n v="2.5918018060106802"/>
    <n v="0"/>
    <n v="45.589153537584899"/>
    <n v="13722.6"/>
    <n v="3.4198927335504746E-2"/>
    <n v="10"/>
    <n v="1"/>
  </r>
  <r>
    <x v="0"/>
    <s v="2026-08-31 10:13:27"/>
    <n v="5"/>
    <x v="7"/>
    <x v="0"/>
    <x v="0"/>
    <n v="2.5228820963385998"/>
    <n v="0.122280837869001"/>
    <n v="0"/>
    <n v="45.589153537584899"/>
    <n v="13677"/>
    <s v="Unnamed ProjectPaintQWaiting TimeQueue"/>
    <n v="10"/>
    <n v="2.5112702822422621"/>
    <n v="4.7806803918528436E-2"/>
    <n v="0.95"/>
    <n v="3.4198927335504746E-2"/>
    <n v="2.44135409421229"/>
    <n v="2.5918018060106802"/>
    <n v="0"/>
    <n v="45.589153537584899"/>
    <n v="13722.6"/>
    <n v="3.4198927335504746E-2"/>
    <n v="10"/>
    <n v="1"/>
  </r>
  <r>
    <x v="0"/>
    <s v="2026-08-31 10:13:27"/>
    <n v="6"/>
    <x v="7"/>
    <x v="0"/>
    <x v="0"/>
    <n v="2.4856824510600699"/>
    <n v="0.157473262762857"/>
    <n v="0"/>
    <n v="45.527161677266101"/>
    <n v="13871"/>
    <s v="Unnamed ProjectPaintQWaiting TimeQueue"/>
    <n v="10"/>
    <n v="2.5112702822422621"/>
    <n v="4.7806803918528436E-2"/>
    <n v="0.95"/>
    <n v="3.4198927335504746E-2"/>
    <n v="2.44135409421229"/>
    <n v="2.5918018060106802"/>
    <n v="0"/>
    <n v="45.589153537584899"/>
    <n v="13722.6"/>
    <n v="3.4198927335504746E-2"/>
    <n v="10"/>
    <n v="1"/>
  </r>
  <r>
    <x v="0"/>
    <s v="2026-08-31 10:13:27"/>
    <n v="7"/>
    <x v="7"/>
    <x v="0"/>
    <x v="0"/>
    <n v="2.5918018060106802"/>
    <n v="0.20174191674363801"/>
    <n v="0"/>
    <n v="43.091321133251803"/>
    <n v="13636"/>
    <s v="Unnamed ProjectPaintQWaiting TimeQueue"/>
    <n v="10"/>
    <n v="2.5112702822422621"/>
    <n v="4.7806803918528436E-2"/>
    <n v="0.95"/>
    <n v="3.4198927335504746E-2"/>
    <n v="2.44135409421229"/>
    <n v="2.5918018060106802"/>
    <n v="0"/>
    <n v="45.589153537584899"/>
    <n v="13722.6"/>
    <n v="3.4198927335504746E-2"/>
    <n v="10"/>
    <n v="1"/>
  </r>
  <r>
    <x v="0"/>
    <s v="2026-08-31 10:13:27"/>
    <n v="8"/>
    <x v="7"/>
    <x v="0"/>
    <x v="0"/>
    <n v="2.4701458738197402"/>
    <n v="0.193548305679897"/>
    <n v="0"/>
    <n v="40.620478361786802"/>
    <n v="13812"/>
    <s v="Unnamed ProjectPaintQWaiting TimeQueue"/>
    <n v="10"/>
    <n v="2.5112702822422621"/>
    <n v="4.7806803918528436E-2"/>
    <n v="0.95"/>
    <n v="3.4198927335504746E-2"/>
    <n v="2.44135409421229"/>
    <n v="2.5918018060106802"/>
    <n v="0"/>
    <n v="45.589153537584899"/>
    <n v="13722.6"/>
    <n v="3.4198927335504746E-2"/>
    <n v="10"/>
    <n v="1"/>
  </r>
  <r>
    <x v="0"/>
    <s v="2026-08-31 10:13:27"/>
    <n v="9"/>
    <x v="7"/>
    <x v="0"/>
    <x v="0"/>
    <n v="2.44135409421229"/>
    <n v="0.13250334638751601"/>
    <n v="0"/>
    <n v="43.027556033222901"/>
    <n v="13774"/>
    <s v="Unnamed ProjectPaintQWaiting TimeQueue"/>
    <n v="10"/>
    <n v="2.5112702822422621"/>
    <n v="4.7806803918528436E-2"/>
    <n v="0.95"/>
    <n v="3.4198927335504746E-2"/>
    <n v="2.44135409421229"/>
    <n v="2.5918018060106802"/>
    <n v="0"/>
    <n v="45.589153537584899"/>
    <n v="13722.6"/>
    <n v="3.4198927335504746E-2"/>
    <n v="10"/>
    <n v="1"/>
  </r>
  <r>
    <x v="0"/>
    <s v="2026-08-31 10:13:27"/>
    <n v="10"/>
    <x v="7"/>
    <x v="0"/>
    <x v="0"/>
    <n v="2.53745211029125"/>
    <n v="0.197285733558657"/>
    <n v="0"/>
    <n v="38.7785338227986"/>
    <n v="13703"/>
    <s v="Unnamed ProjectPaintQWaiting TimeQueue"/>
    <n v="10"/>
    <n v="2.5112702822422621"/>
    <n v="4.7806803918528436E-2"/>
    <n v="0.95"/>
    <n v="3.4198927335504746E-2"/>
    <n v="2.44135409421229"/>
    <n v="2.5918018060106802"/>
    <n v="0"/>
    <n v="45.589153537584899"/>
    <n v="13722.6"/>
    <n v="3.4198927335504746E-2"/>
    <n v="10"/>
    <n v="1"/>
  </r>
  <r>
    <x v="0"/>
    <s v="2026-08-31 10:13:27"/>
    <n v="1"/>
    <x v="8"/>
    <x v="0"/>
    <x v="0"/>
    <n v="0.49443847083334502"/>
    <n v="2.4291214634759601E-2"/>
    <n v="0"/>
    <n v="16.002340214319702"/>
    <n v="13496"/>
    <s v="Unnamed ProjectPaintReqQWaiting TimeQueue"/>
    <n v="10"/>
    <n v="0.49391925673118131"/>
    <n v="1.4549096011287116E-2"/>
    <n v="0.95"/>
    <n v="1.0407796307304491E-2"/>
    <n v="0.47764851193542202"/>
    <n v="0.51712935231426205"/>
    <n v="0"/>
    <n v="18.774555745418201"/>
    <n v="13722.7"/>
    <n v="1.0407796307304491E-2"/>
    <n v="10"/>
    <n v="1"/>
  </r>
  <r>
    <x v="0"/>
    <s v="2026-08-31 10:13:27"/>
    <n v="2"/>
    <x v="8"/>
    <x v="0"/>
    <x v="0"/>
    <n v="0.49292340810448798"/>
    <n v="3.01213073279183E-2"/>
    <n v="0"/>
    <n v="14.056423745874801"/>
    <n v="13722"/>
    <s v="Unnamed ProjectPaintReqQWaiting TimeQueue"/>
    <n v="10"/>
    <n v="0.49391925673118131"/>
    <n v="1.4549096011287116E-2"/>
    <n v="0.95"/>
    <n v="1.0407796307304491E-2"/>
    <n v="0.47764851193542202"/>
    <n v="0.51712935231426205"/>
    <n v="0"/>
    <n v="18.774555745418201"/>
    <n v="13722.7"/>
    <n v="1.0407796307304491E-2"/>
    <n v="10"/>
    <n v="1"/>
  </r>
  <r>
    <x v="0"/>
    <s v="2026-08-31 10:13:27"/>
    <n v="3"/>
    <x v="8"/>
    <x v="0"/>
    <x v="0"/>
    <n v="0.485081922871336"/>
    <n v="2.1556856404238201E-2"/>
    <n v="0"/>
    <n v="14.1151691246778"/>
    <n v="13673"/>
    <s v="Unnamed ProjectPaintReqQWaiting TimeQueue"/>
    <n v="10"/>
    <n v="0.49391925673118131"/>
    <n v="1.4549096011287116E-2"/>
    <n v="0.95"/>
    <n v="1.0407796307304491E-2"/>
    <n v="0.47764851193542202"/>
    <n v="0.51712935231426205"/>
    <n v="0"/>
    <n v="18.774555745418201"/>
    <n v="13722.7"/>
    <n v="1.0407796307304491E-2"/>
    <n v="10"/>
    <n v="1"/>
  </r>
  <r>
    <x v="0"/>
    <s v="2026-08-31 10:13:27"/>
    <n v="4"/>
    <x v="8"/>
    <x v="0"/>
    <x v="0"/>
    <n v="0.51695695111734896"/>
    <n v="3.1339951330385599E-2"/>
    <n v="0"/>
    <n v="16.387571571045601"/>
    <n v="13862"/>
    <s v="Unnamed ProjectPaintReqQWaiting TimeQueue"/>
    <n v="10"/>
    <n v="0.49391925673118131"/>
    <n v="1.4549096011287116E-2"/>
    <n v="0.95"/>
    <n v="1.0407796307304491E-2"/>
    <n v="0.47764851193542202"/>
    <n v="0.51712935231426205"/>
    <n v="0"/>
    <n v="18.774555745418201"/>
    <n v="13722.7"/>
    <n v="1.0407796307304491E-2"/>
    <n v="10"/>
    <n v="1"/>
  </r>
  <r>
    <x v="0"/>
    <s v="2026-08-31 10:13:27"/>
    <n v="5"/>
    <x v="8"/>
    <x v="0"/>
    <x v="0"/>
    <n v="0.49978893609660602"/>
    <n v="2.72690494515304E-2"/>
    <n v="0"/>
    <n v="18.774555745418201"/>
    <n v="13677"/>
    <s v="Unnamed ProjectPaintReqQWaiting TimeQueue"/>
    <n v="10"/>
    <n v="0.49391925673118131"/>
    <n v="1.4549096011287116E-2"/>
    <n v="0.95"/>
    <n v="1.0407796307304491E-2"/>
    <n v="0.47764851193542202"/>
    <n v="0.51712935231426205"/>
    <n v="0"/>
    <n v="18.774555745418201"/>
    <n v="13722.7"/>
    <n v="1.0407796307304491E-2"/>
    <n v="10"/>
    <n v="1"/>
  </r>
  <r>
    <x v="0"/>
    <s v="2026-08-31 10:13:27"/>
    <n v="6"/>
    <x v="8"/>
    <x v="0"/>
    <x v="0"/>
    <n v="0.51712935231426205"/>
    <n v="3.1675196021557397E-2"/>
    <n v="0"/>
    <n v="16.796162422746399"/>
    <n v="13871"/>
    <s v="Unnamed ProjectPaintReqQWaiting TimeQueue"/>
    <n v="10"/>
    <n v="0.49391925673118131"/>
    <n v="1.4549096011287116E-2"/>
    <n v="0.95"/>
    <n v="1.0407796307304491E-2"/>
    <n v="0.47764851193542202"/>
    <n v="0.51712935231426205"/>
    <n v="0"/>
    <n v="18.774555745418201"/>
    <n v="13722.7"/>
    <n v="1.0407796307304491E-2"/>
    <n v="10"/>
    <n v="1"/>
  </r>
  <r>
    <x v="0"/>
    <s v="2026-08-31 10:13:27"/>
    <n v="7"/>
    <x v="8"/>
    <x v="0"/>
    <x v="0"/>
    <n v="0.47764851193542202"/>
    <n v="2.5547185302550301E-2"/>
    <n v="0"/>
    <n v="13.847838553309"/>
    <n v="13636"/>
    <s v="Unnamed ProjectPaintReqQWaiting TimeQueue"/>
    <n v="10"/>
    <n v="0.49391925673118131"/>
    <n v="1.4549096011287116E-2"/>
    <n v="0.95"/>
    <n v="1.0407796307304491E-2"/>
    <n v="0.47764851193542202"/>
    <n v="0.51712935231426205"/>
    <n v="0"/>
    <n v="18.774555745418201"/>
    <n v="13722.7"/>
    <n v="1.0407796307304491E-2"/>
    <n v="10"/>
    <n v="1"/>
  </r>
  <r>
    <x v="0"/>
    <s v="2026-08-31 10:13:27"/>
    <n v="8"/>
    <x v="8"/>
    <x v="0"/>
    <x v="0"/>
    <n v="0.497199663993251"/>
    <n v="2.5594354475916299E-2"/>
    <n v="0"/>
    <n v="16.3404267312144"/>
    <n v="13812"/>
    <s v="Unnamed ProjectPaintReqQWaiting TimeQueue"/>
    <n v="10"/>
    <n v="0.49391925673118131"/>
    <n v="1.4549096011287116E-2"/>
    <n v="0.95"/>
    <n v="1.0407796307304491E-2"/>
    <n v="0.47764851193542202"/>
    <n v="0.51712935231426205"/>
    <n v="0"/>
    <n v="18.774555745418201"/>
    <n v="13722.7"/>
    <n v="1.0407796307304491E-2"/>
    <n v="10"/>
    <n v="1"/>
  </r>
  <r>
    <x v="0"/>
    <s v="2026-08-31 10:13:27"/>
    <n v="9"/>
    <x v="8"/>
    <x v="0"/>
    <x v="0"/>
    <n v="0.47999205882500601"/>
    <n v="2.7419448936180799E-2"/>
    <n v="0"/>
    <n v="17.557573800673701"/>
    <n v="13774"/>
    <s v="Unnamed ProjectPaintReqQWaiting TimeQueue"/>
    <n v="10"/>
    <n v="0.49391925673118131"/>
    <n v="1.4549096011287116E-2"/>
    <n v="0.95"/>
    <n v="1.0407796307304491E-2"/>
    <n v="0.47764851193542202"/>
    <n v="0.51712935231426205"/>
    <n v="0"/>
    <n v="18.774555745418201"/>
    <n v="13722.7"/>
    <n v="1.0407796307304491E-2"/>
    <n v="10"/>
    <n v="1"/>
  </r>
  <r>
    <x v="0"/>
    <s v="2026-08-31 10:13:27"/>
    <n v="10"/>
    <x v="8"/>
    <x v="0"/>
    <x v="0"/>
    <n v="0.478033291220748"/>
    <n v="3.4287709460741403E-2"/>
    <n v="0"/>
    <n v="15.419476959563299"/>
    <n v="13704"/>
    <s v="Unnamed ProjectPaintReqQWaiting TimeQueue"/>
    <n v="10"/>
    <n v="0.49391925673118131"/>
    <n v="1.4549096011287116E-2"/>
    <n v="0.95"/>
    <n v="1.0407796307304491E-2"/>
    <n v="0.47764851193542202"/>
    <n v="0.51712935231426205"/>
    <n v="0"/>
    <n v="18.774555745418201"/>
    <n v="13722.7"/>
    <n v="1.0407796307304491E-2"/>
    <n v="10"/>
    <n v="1"/>
  </r>
  <r>
    <x v="0"/>
    <s v="2026-08-31 10:13:27"/>
    <n v="1"/>
    <x v="9"/>
    <x v="7"/>
    <x v="2"/>
    <n v="182.34218485641"/>
    <n v="7.3834334023434902"/>
    <n v="87.986685381154501"/>
    <n v="577.18863697542099"/>
    <n v="13497"/>
    <s v="Unnamed ProjectPartType1SysTimeNoneUser Specified"/>
    <n v="10"/>
    <n v="183.0256097970736"/>
    <n v="3.1234555826241972"/>
    <n v="0.95"/>
    <n v="2.2343855215228454"/>
    <n v="178.556232109566"/>
    <n v="188.13777577457799"/>
    <n v="85.085463017283502"/>
    <n v="801.14163618703606"/>
    <n v="13723.7"/>
    <n v="2.2343855215228454"/>
    <n v="10"/>
    <n v="1"/>
  </r>
  <r>
    <x v="0"/>
    <s v="2026-08-31 10:13:27"/>
    <n v="2"/>
    <x v="9"/>
    <x v="7"/>
    <x v="2"/>
    <n v="182.047844740085"/>
    <n v="5.5265505422275503"/>
    <n v="85.827310976281296"/>
    <n v="563.10089742424304"/>
    <n v="13723"/>
    <s v="Unnamed ProjectPartType1SysTimeNoneUser Specified"/>
    <n v="10"/>
    <n v="183.0256097970736"/>
    <n v="3.1234555826241972"/>
    <n v="0.95"/>
    <n v="2.2343855215228454"/>
    <n v="178.556232109566"/>
    <n v="188.13777577457799"/>
    <n v="85.085463017283502"/>
    <n v="801.14163618703606"/>
    <n v="13723.7"/>
    <n v="2.2343855215228454"/>
    <n v="10"/>
    <n v="1"/>
  </r>
  <r>
    <x v="0"/>
    <s v="2026-08-31 10:13:27"/>
    <n v="3"/>
    <x v="9"/>
    <x v="7"/>
    <x v="2"/>
    <n v="178.556232109566"/>
    <n v="5.3327759555220098"/>
    <n v="86.675513432215695"/>
    <n v="554.85386245907296"/>
    <n v="13674"/>
    <s v="Unnamed ProjectPartType1SysTimeNoneUser Specified"/>
    <n v="10"/>
    <n v="183.0256097970736"/>
    <n v="3.1234555826241972"/>
    <n v="0.95"/>
    <n v="2.2343855215228454"/>
    <n v="178.556232109566"/>
    <n v="188.13777577457799"/>
    <n v="85.085463017283502"/>
    <n v="801.14163618703606"/>
    <n v="13723.7"/>
    <n v="2.2343855215228454"/>
    <n v="10"/>
    <n v="1"/>
  </r>
  <r>
    <x v="0"/>
    <s v="2026-08-31 10:13:27"/>
    <n v="4"/>
    <x v="9"/>
    <x v="7"/>
    <x v="2"/>
    <n v="188.13777577457799"/>
    <n v="7.4454761981224102"/>
    <n v="86.2837573857541"/>
    <n v="599.54263019643304"/>
    <n v="13861"/>
    <s v="Unnamed ProjectPartType1SysTimeNoneUser Specified"/>
    <n v="10"/>
    <n v="183.0256097970736"/>
    <n v="3.1234555826241972"/>
    <n v="0.95"/>
    <n v="2.2343855215228454"/>
    <n v="178.556232109566"/>
    <n v="188.13777577457799"/>
    <n v="85.085463017283502"/>
    <n v="801.14163618703606"/>
    <n v="13723.7"/>
    <n v="2.2343855215228454"/>
    <n v="10"/>
    <n v="1"/>
  </r>
  <r>
    <x v="0"/>
    <s v="2026-08-31 10:13:27"/>
    <n v="5"/>
    <x v="9"/>
    <x v="7"/>
    <x v="2"/>
    <n v="184.68154503551401"/>
    <n v="11.933281785821601"/>
    <n v="87.040889793541297"/>
    <n v="801.14163618703606"/>
    <n v="13678"/>
    <s v="Unnamed ProjectPartType1SysTimeNoneUser Specified"/>
    <n v="10"/>
    <n v="183.0256097970736"/>
    <n v="3.1234555826241972"/>
    <n v="0.95"/>
    <n v="2.2343855215228454"/>
    <n v="178.556232109566"/>
    <n v="188.13777577457799"/>
    <n v="85.085463017283502"/>
    <n v="801.14163618703606"/>
    <n v="13723.7"/>
    <n v="2.2343855215228454"/>
    <n v="10"/>
    <n v="1"/>
  </r>
  <r>
    <x v="0"/>
    <s v="2026-08-31 10:13:27"/>
    <n v="6"/>
    <x v="9"/>
    <x v="7"/>
    <x v="2"/>
    <n v="187.93794293199599"/>
    <n v="6.8333867002351303"/>
    <n v="86.844246684282595"/>
    <n v="560.88010453817003"/>
    <n v="13871"/>
    <s v="Unnamed ProjectPartType1SysTimeNoneUser Specified"/>
    <n v="10"/>
    <n v="183.0256097970736"/>
    <n v="3.1234555826241972"/>
    <n v="0.95"/>
    <n v="2.2343855215228454"/>
    <n v="178.556232109566"/>
    <n v="188.13777577457799"/>
    <n v="85.085463017283502"/>
    <n v="801.14163618703606"/>
    <n v="13723.7"/>
    <n v="2.2343855215228454"/>
    <n v="10"/>
    <n v="1"/>
  </r>
  <r>
    <x v="0"/>
    <s v="2026-08-31 10:13:27"/>
    <n v="7"/>
    <x v="9"/>
    <x v="7"/>
    <x v="2"/>
    <n v="180.812631939109"/>
    <n v="7.7517651666014498"/>
    <n v="86.583931983761403"/>
    <n v="688.55845776660101"/>
    <n v="13637"/>
    <s v="Unnamed ProjectPartType1SysTimeNoneUser Specified"/>
    <n v="10"/>
    <n v="183.0256097970736"/>
    <n v="3.1234555826241972"/>
    <n v="0.95"/>
    <n v="2.2343855215228454"/>
    <n v="178.556232109566"/>
    <n v="188.13777577457799"/>
    <n v="85.085463017283502"/>
    <n v="801.14163618703606"/>
    <n v="13723.7"/>
    <n v="2.2343855215228454"/>
    <n v="10"/>
    <n v="1"/>
  </r>
  <r>
    <x v="0"/>
    <s v="2026-08-31 10:13:27"/>
    <n v="8"/>
    <x v="9"/>
    <x v="7"/>
    <x v="2"/>
    <n v="183.69945648489201"/>
    <n v="6.0949151454708002"/>
    <n v="86.722952500858796"/>
    <n v="595.77108914125699"/>
    <n v="13813"/>
    <s v="Unnamed ProjectPartType1SysTimeNoneUser Specified"/>
    <n v="10"/>
    <n v="183.0256097970736"/>
    <n v="3.1234555826241972"/>
    <n v="0.95"/>
    <n v="2.2343855215228454"/>
    <n v="178.556232109566"/>
    <n v="188.13777577457799"/>
    <n v="85.085463017283502"/>
    <n v="801.14163618703606"/>
    <n v="13723.7"/>
    <n v="2.2343855215228454"/>
    <n v="10"/>
    <n v="1"/>
  </r>
  <r>
    <x v="0"/>
    <s v="2026-08-31 10:13:27"/>
    <n v="9"/>
    <x v="9"/>
    <x v="7"/>
    <x v="2"/>
    <n v="181.06280159425799"/>
    <n v="6.2592198425611798"/>
    <n v="85.085463017283502"/>
    <n v="613.00383878417801"/>
    <n v="13777"/>
    <s v="Unnamed ProjectPartType1SysTimeNoneUser Specified"/>
    <n v="10"/>
    <n v="183.0256097970736"/>
    <n v="3.1234555826241972"/>
    <n v="0.95"/>
    <n v="2.2343855215228454"/>
    <n v="178.556232109566"/>
    <n v="188.13777577457799"/>
    <n v="85.085463017283502"/>
    <n v="801.14163618703606"/>
    <n v="13723.7"/>
    <n v="2.2343855215228454"/>
    <n v="10"/>
    <n v="1"/>
  </r>
  <r>
    <x v="0"/>
    <s v="2026-08-31 10:13:27"/>
    <n v="10"/>
    <x v="9"/>
    <x v="7"/>
    <x v="2"/>
    <n v="180.97768250432799"/>
    <n v="7.25847302505204"/>
    <n v="88.979948193125907"/>
    <n v="613.83094543576601"/>
    <n v="13706"/>
    <s v="Unnamed ProjectPartType1SysTimeNoneUser Specified"/>
    <n v="10"/>
    <n v="183.0256097970736"/>
    <n v="3.1234555826241972"/>
    <n v="0.95"/>
    <n v="2.2343855215228454"/>
    <n v="178.556232109566"/>
    <n v="188.13777577457799"/>
    <n v="85.085463017283502"/>
    <n v="801.14163618703606"/>
    <n v="13723.7"/>
    <n v="2.2343855215228454"/>
    <n v="10"/>
    <n v="1"/>
  </r>
  <r>
    <x v="0"/>
    <s v="2026-08-31 10:13:27"/>
    <n v="1"/>
    <x v="10"/>
    <x v="7"/>
    <x v="2"/>
    <n v="223.72699876419301"/>
    <n v="7.8388958893684997"/>
    <n v="105.74118321517"/>
    <n v="617.61406575056003"/>
    <n v="5954"/>
    <s v="Unnamed ProjectPartType2SysTimeNoneUser Specified"/>
    <n v="10"/>
    <n v="221.72862363811799"/>
    <n v="4.0577244205184302"/>
    <n v="0.95"/>
    <n v="2.9027211867436722"/>
    <n v="215.11579089224901"/>
    <n v="228.600057561574"/>
    <n v="103.587534622755"/>
    <n v="845.65217638315505"/>
    <n v="5893"/>
    <n v="2.9027211867436722"/>
    <n v="10"/>
    <n v="1"/>
  </r>
  <r>
    <x v="0"/>
    <s v="2026-08-31 10:13:27"/>
    <n v="2"/>
    <x v="10"/>
    <x v="7"/>
    <x v="2"/>
    <n v="221.95488944844601"/>
    <n v="6.5744659902720004"/>
    <n v="108.69057331330301"/>
    <n v="614.500025696085"/>
    <n v="5896"/>
    <s v="Unnamed ProjectPartType2SysTimeNoneUser Specified"/>
    <n v="10"/>
    <n v="221.72862363811799"/>
    <n v="4.0577244205184302"/>
    <n v="0.95"/>
    <n v="2.9027211867436722"/>
    <n v="215.11579089224901"/>
    <n v="228.600057561574"/>
    <n v="103.587534622755"/>
    <n v="845.65217638315505"/>
    <n v="5893"/>
    <n v="2.9027211867436722"/>
    <n v="10"/>
    <n v="1"/>
  </r>
  <r>
    <x v="0"/>
    <s v="2026-08-31 10:13:27"/>
    <n v="3"/>
    <x v="10"/>
    <x v="7"/>
    <x v="2"/>
    <n v="215.11579089224901"/>
    <n v="4.7284040846651001"/>
    <n v="108.61985962255901"/>
    <n v="660.65861487732002"/>
    <n v="5736"/>
    <s v="Unnamed ProjectPartType2SysTimeNoneUser Specified"/>
    <n v="10"/>
    <n v="221.72862363811799"/>
    <n v="4.0577244205184302"/>
    <n v="0.95"/>
    <n v="2.9027211867436722"/>
    <n v="215.11579089224901"/>
    <n v="228.600057561574"/>
    <n v="103.587534622755"/>
    <n v="845.65217638315505"/>
    <n v="5893"/>
    <n v="2.9027211867436722"/>
    <n v="10"/>
    <n v="1"/>
  </r>
  <r>
    <x v="0"/>
    <s v="2026-08-31 10:13:27"/>
    <n v="4"/>
    <x v="10"/>
    <x v="7"/>
    <x v="2"/>
    <n v="226.31936130523599"/>
    <n v="5.7643674207634499"/>
    <n v="107.79046454117599"/>
    <n v="622.06068711943203"/>
    <n v="6052"/>
    <s v="Unnamed ProjectPartType2SysTimeNoneUser Specified"/>
    <n v="10"/>
    <n v="221.72862363811799"/>
    <n v="4.0577244205184302"/>
    <n v="0.95"/>
    <n v="2.9027211867436722"/>
    <n v="215.11579089224901"/>
    <n v="228.600057561574"/>
    <n v="103.587534622755"/>
    <n v="845.65217638315505"/>
    <n v="5893"/>
    <n v="2.9027211867436722"/>
    <n v="10"/>
    <n v="1"/>
  </r>
  <r>
    <x v="0"/>
    <s v="2026-08-31 10:13:27"/>
    <n v="5"/>
    <x v="10"/>
    <x v="7"/>
    <x v="2"/>
    <n v="224.22133341036701"/>
    <n v="12.383485391728501"/>
    <n v="110.47149549855401"/>
    <n v="845.65217638315505"/>
    <n v="5821"/>
    <s v="Unnamed ProjectPartType2SysTimeNoneUser Specified"/>
    <n v="10"/>
    <n v="221.72862363811799"/>
    <n v="4.0577244205184302"/>
    <n v="0.95"/>
    <n v="2.9027211867436722"/>
    <n v="215.11579089224901"/>
    <n v="228.600057561574"/>
    <n v="103.587534622755"/>
    <n v="845.65217638315505"/>
    <n v="5893"/>
    <n v="2.9027211867436722"/>
    <n v="10"/>
    <n v="1"/>
  </r>
  <r>
    <x v="0"/>
    <s v="2026-08-31 10:13:27"/>
    <n v="6"/>
    <x v="10"/>
    <x v="7"/>
    <x v="2"/>
    <n v="228.600057561574"/>
    <n v="8.0488582512725202"/>
    <n v="103.587534622755"/>
    <n v="724.16217129986001"/>
    <n v="5986"/>
    <s v="Unnamed ProjectPartType2SysTimeNoneUser Specified"/>
    <n v="10"/>
    <n v="221.72862363811799"/>
    <n v="4.0577244205184302"/>
    <n v="0.95"/>
    <n v="2.9027211867436722"/>
    <n v="215.11579089224901"/>
    <n v="228.600057561574"/>
    <n v="103.587534622755"/>
    <n v="845.65217638315505"/>
    <n v="5893"/>
    <n v="2.9027211867436722"/>
    <n v="10"/>
    <n v="1"/>
  </r>
  <r>
    <x v="0"/>
    <s v="2026-08-31 10:13:27"/>
    <n v="7"/>
    <x v="10"/>
    <x v="7"/>
    <x v="2"/>
    <n v="219.200466290674"/>
    <n v="8.3018384966579006"/>
    <n v="111.52647618972701"/>
    <n v="817.73990990815196"/>
    <n v="5934"/>
    <s v="Unnamed ProjectPartType2SysTimeNoneUser Specified"/>
    <n v="10"/>
    <n v="221.72862363811799"/>
    <n v="4.0577244205184302"/>
    <n v="0.95"/>
    <n v="2.9027211867436722"/>
    <n v="215.11579089224901"/>
    <n v="228.600057561574"/>
    <n v="103.587534622755"/>
    <n v="845.65217638315505"/>
    <n v="5893"/>
    <n v="2.9027211867436722"/>
    <n v="10"/>
    <n v="1"/>
  </r>
  <r>
    <x v="0"/>
    <s v="2026-08-31 10:13:27"/>
    <n v="8"/>
    <x v="10"/>
    <x v="7"/>
    <x v="2"/>
    <n v="220.77678031751199"/>
    <n v="4.7304205991735202"/>
    <n v="110.18832961952999"/>
    <n v="639.12123771314498"/>
    <n v="5883"/>
    <s v="Unnamed ProjectPartType2SysTimeNoneUser Specified"/>
    <n v="10"/>
    <n v="221.72862363811799"/>
    <n v="4.0577244205184302"/>
    <n v="0.95"/>
    <n v="2.9027211867436722"/>
    <n v="215.11579089224901"/>
    <n v="228.600057561574"/>
    <n v="103.587534622755"/>
    <n v="845.65217638315505"/>
    <n v="5893"/>
    <n v="2.9027211867436722"/>
    <n v="10"/>
    <n v="1"/>
  </r>
  <r>
    <x v="0"/>
    <s v="2026-08-31 10:13:27"/>
    <n v="9"/>
    <x v="10"/>
    <x v="7"/>
    <x v="2"/>
    <n v="218.89184201219101"/>
    <n v="7.9232015747553701"/>
    <n v="110.453265810269"/>
    <n v="635.86683304997905"/>
    <n v="5844"/>
    <s v="Unnamed ProjectPartType2SysTimeNoneUser Specified"/>
    <n v="10"/>
    <n v="221.72862363811799"/>
    <n v="4.0577244205184302"/>
    <n v="0.95"/>
    <n v="2.9027211867436722"/>
    <n v="215.11579089224901"/>
    <n v="228.600057561574"/>
    <n v="103.587534622755"/>
    <n v="845.65217638315505"/>
    <n v="5893"/>
    <n v="2.9027211867436722"/>
    <n v="10"/>
    <n v="1"/>
  </r>
  <r>
    <x v="0"/>
    <s v="2026-08-31 10:13:27"/>
    <n v="10"/>
    <x v="10"/>
    <x v="7"/>
    <x v="2"/>
    <n v="218.478716378738"/>
    <n v="7.0145154128380396"/>
    <n v="110.820874727331"/>
    <n v="697.31718773476302"/>
    <n v="5824"/>
    <s v="Unnamed ProjectPartType2SysTimeNoneUser Specified"/>
    <n v="10"/>
    <n v="221.72862363811799"/>
    <n v="4.0577244205184302"/>
    <n v="0.95"/>
    <n v="2.9027211867436722"/>
    <n v="215.11579089224901"/>
    <n v="228.600057561574"/>
    <n v="103.587534622755"/>
    <n v="845.65217638315505"/>
    <n v="5893"/>
    <n v="2.9027211867436722"/>
    <n v="10"/>
    <n v="1"/>
  </r>
  <r>
    <x v="0"/>
    <s v="2026-08-31 10:13:27"/>
    <n v="1"/>
    <x v="11"/>
    <x v="8"/>
    <x v="2"/>
    <n v="195.0101804354"/>
    <n v="6.9999372045681003"/>
    <n v="87.986685381154501"/>
    <n v="617.61406575056003"/>
    <n v="19451"/>
    <s v="Unnamed ProjectSystemTimeTallyIntervalUser Specified"/>
    <n v="10"/>
    <n v="194.65511627766719"/>
    <n v="3.4149964152087802"/>
    <n v="0.95"/>
    <n v="2.4429412694846642"/>
    <n v="189.36023155199101"/>
    <n v="200.195757212735"/>
    <n v="85.085463017283502"/>
    <n v="845.65217638315505"/>
    <n v="19616.7"/>
    <n v="2.4429412694846642"/>
    <n v="10"/>
    <n v="1"/>
  </r>
  <r>
    <x v="0"/>
    <s v="2026-08-31 10:13:27"/>
    <n v="2"/>
    <x v="11"/>
    <x v="8"/>
    <x v="2"/>
    <n v="194.04090940191799"/>
    <n v="6.4390083999106196"/>
    <n v="85.827310976281296"/>
    <n v="614.500025696085"/>
    <n v="19619"/>
    <s v="Unnamed ProjectSystemTimeTallyIntervalUser Specified"/>
    <n v="10"/>
    <n v="194.65511627766719"/>
    <n v="3.4149964152087802"/>
    <n v="0.95"/>
    <n v="2.4429412694846642"/>
    <n v="189.36023155199101"/>
    <n v="200.195757212735"/>
    <n v="85.085463017283502"/>
    <n v="845.65217638315505"/>
    <n v="19616.7"/>
    <n v="2.4429412694846642"/>
    <n v="10"/>
    <n v="1"/>
  </r>
  <r>
    <x v="0"/>
    <s v="2026-08-31 10:13:27"/>
    <n v="3"/>
    <x v="11"/>
    <x v="8"/>
    <x v="2"/>
    <n v="189.36023155199101"/>
    <n v="5.1322605281036298"/>
    <n v="86.675513432215695"/>
    <n v="660.65861487732002"/>
    <n v="19410"/>
    <s v="Unnamed ProjectSystemTimeTallyIntervalUser Specified"/>
    <n v="10"/>
    <n v="194.65511627766719"/>
    <n v="3.4149964152087802"/>
    <n v="0.95"/>
    <n v="2.4429412694846642"/>
    <n v="189.36023155199101"/>
    <n v="200.195757212735"/>
    <n v="85.085463017283502"/>
    <n v="845.65217638315505"/>
    <n v="19616.7"/>
    <n v="2.4429412694846642"/>
    <n v="10"/>
    <n v="1"/>
  </r>
  <r>
    <x v="0"/>
    <s v="2026-08-31 10:13:27"/>
    <n v="4"/>
    <x v="11"/>
    <x v="8"/>
    <x v="2"/>
    <n v="199.74200193997501"/>
    <n v="6.8907212020011004"/>
    <n v="86.2837573857541"/>
    <n v="622.06068711943203"/>
    <n v="19913"/>
    <s v="Unnamed ProjectSystemTimeTallyIntervalUser Specified"/>
    <n v="10"/>
    <n v="194.65511627766719"/>
    <n v="3.4149964152087802"/>
    <n v="0.95"/>
    <n v="2.4429412694846642"/>
    <n v="189.36023155199101"/>
    <n v="200.195757212735"/>
    <n v="85.085463017283502"/>
    <n v="845.65217638315505"/>
    <n v="19616.7"/>
    <n v="2.4429412694846642"/>
    <n v="10"/>
    <n v="1"/>
  </r>
  <r>
    <x v="0"/>
    <s v="2026-08-31 10:13:27"/>
    <n v="5"/>
    <x v="11"/>
    <x v="8"/>
    <x v="2"/>
    <n v="196.48528410572399"/>
    <n v="11.4162987163457"/>
    <n v="87.040889793541297"/>
    <n v="845.65217638315505"/>
    <n v="19499"/>
    <s v="Unnamed ProjectSystemTimeTallyIntervalUser Specified"/>
    <n v="10"/>
    <n v="194.65511627766719"/>
    <n v="3.4149964152087802"/>
    <n v="0.95"/>
    <n v="2.4429412694846642"/>
    <n v="189.36023155199101"/>
    <n v="200.195757212735"/>
    <n v="85.085463017283502"/>
    <n v="845.65217638315505"/>
    <n v="19616.7"/>
    <n v="2.4429412694846642"/>
    <n v="10"/>
    <n v="1"/>
  </r>
  <r>
    <x v="0"/>
    <s v="2026-08-31 10:13:27"/>
    <n v="6"/>
    <x v="11"/>
    <x v="8"/>
    <x v="2"/>
    <n v="200.195757212735"/>
    <n v="7.1019311629745996"/>
    <n v="86.844246684282595"/>
    <n v="724.16217129986001"/>
    <n v="19857"/>
    <s v="Unnamed ProjectSystemTimeTallyIntervalUser Specified"/>
    <n v="10"/>
    <n v="194.65511627766719"/>
    <n v="3.4149964152087802"/>
    <n v="0.95"/>
    <n v="2.4429412694846642"/>
    <n v="189.36023155199101"/>
    <n v="200.195757212735"/>
    <n v="85.085463017283502"/>
    <n v="845.65217638315505"/>
    <n v="19616.7"/>
    <n v="2.4429412694846642"/>
    <n v="10"/>
    <n v="1"/>
  </r>
  <r>
    <x v="0"/>
    <s v="2026-08-31 10:13:27"/>
    <n v="7"/>
    <x v="11"/>
    <x v="8"/>
    <x v="2"/>
    <n v="192.451966109165"/>
    <n v="6.8037689528260401"/>
    <n v="86.583931983761403"/>
    <n v="817.73990990815196"/>
    <n v="19571"/>
    <s v="Unnamed ProjectSystemTimeTallyIntervalUser Specified"/>
    <n v="10"/>
    <n v="194.65511627766719"/>
    <n v="3.4149964152087802"/>
    <n v="0.95"/>
    <n v="2.4429412694846642"/>
    <n v="189.36023155199101"/>
    <n v="200.195757212735"/>
    <n v="85.085463017283502"/>
    <n v="845.65217638315505"/>
    <n v="19616.7"/>
    <n v="2.4429412694846642"/>
    <n v="10"/>
    <n v="1"/>
  </r>
  <r>
    <x v="0"/>
    <s v="2026-08-31 10:13:27"/>
    <n v="8"/>
    <x v="11"/>
    <x v="8"/>
    <x v="2"/>
    <n v="194.774085653621"/>
    <n v="5.1932858186112902"/>
    <n v="86.722952500858796"/>
    <n v="639.12123771314498"/>
    <n v="19696"/>
    <s v="Unnamed ProjectSystemTimeTallyIntervalUser Specified"/>
    <n v="10"/>
    <n v="194.65511627766719"/>
    <n v="3.4149964152087802"/>
    <n v="0.95"/>
    <n v="2.4429412694846642"/>
    <n v="189.36023155199101"/>
    <n v="200.195757212735"/>
    <n v="85.085463017283502"/>
    <n v="845.65217638315505"/>
    <n v="19616.7"/>
    <n v="2.4429412694846642"/>
    <n v="10"/>
    <n v="1"/>
  </r>
  <r>
    <x v="0"/>
    <s v="2026-08-31 10:13:27"/>
    <n v="9"/>
    <x v="11"/>
    <x v="8"/>
    <x v="2"/>
    <n v="192.329959853389"/>
    <n v="6.4227055207002399"/>
    <n v="85.085463017283502"/>
    <n v="635.86683304997905"/>
    <n v="19621"/>
    <s v="Unnamed ProjectSystemTimeTallyIntervalUser Specified"/>
    <n v="10"/>
    <n v="194.65511627766719"/>
    <n v="3.4149964152087802"/>
    <n v="0.95"/>
    <n v="2.4429412694846642"/>
    <n v="189.36023155199101"/>
    <n v="200.195757212735"/>
    <n v="85.085463017283502"/>
    <n v="845.65217638315505"/>
    <n v="19616.7"/>
    <n v="2.4429412694846642"/>
    <n v="10"/>
    <n v="1"/>
  </r>
  <r>
    <x v="0"/>
    <s v="2026-08-31 10:13:27"/>
    <n v="10"/>
    <x v="11"/>
    <x v="8"/>
    <x v="2"/>
    <n v="192.16078651275399"/>
    <n v="6.4622555699169704"/>
    <n v="88.979948193125907"/>
    <n v="697.31718773476302"/>
    <n v="19530"/>
    <s v="Unnamed ProjectSystemTimeTallyIntervalUser Specified"/>
    <n v="10"/>
    <n v="194.65511627766719"/>
    <n v="3.4149964152087802"/>
    <n v="0.95"/>
    <n v="2.4429412694846642"/>
    <n v="189.36023155199101"/>
    <n v="200.195757212735"/>
    <n v="85.085463017283502"/>
    <n v="845.65217638315505"/>
    <n v="19616.7"/>
    <n v="2.4429412694846642"/>
    <n v="10"/>
    <n v="1"/>
  </r>
  <r>
    <x v="0"/>
    <s v="2026-08-31 10:13:27"/>
    <n v="1"/>
    <x v="12"/>
    <x v="0"/>
    <x v="0"/>
    <n v="50.089911800742698"/>
    <n v="5.9678184606745797"/>
    <n v="0"/>
    <n v="409.20468984512303"/>
    <n v="19448"/>
    <s v="Unnamed ProjectWorkStationQWaiting TimeQueue"/>
    <n v="10"/>
    <n v="50.415166381141077"/>
    <n v="2.3069744276489197"/>
    <n v="0.95"/>
    <n v="1.6503100887163762"/>
    <n v="47.629236120241401"/>
    <n v="54.364186767872503"/>
    <n v="0"/>
    <n v="642.11042136000503"/>
    <n v="19616"/>
    <n v="1.6503100887163762"/>
    <n v="10"/>
    <n v="1"/>
  </r>
  <r>
    <x v="0"/>
    <s v="2026-08-31 10:13:27"/>
    <n v="2"/>
    <x v="12"/>
    <x v="0"/>
    <x v="0"/>
    <n v="50.342232602689499"/>
    <n v="5.2778409888166298"/>
    <n v="0"/>
    <n v="381.78087840537802"/>
    <n v="19621"/>
    <s v="Unnamed ProjectWorkStationQWaiting TimeQueue"/>
    <n v="10"/>
    <n v="50.415166381141077"/>
    <n v="2.3069744276489197"/>
    <n v="0.95"/>
    <n v="1.6503100887163762"/>
    <n v="47.629236120241401"/>
    <n v="54.364186767872503"/>
    <n v="0"/>
    <n v="642.11042136000503"/>
    <n v="19616"/>
    <n v="1.6503100887163762"/>
    <n v="10"/>
    <n v="1"/>
  </r>
  <r>
    <x v="0"/>
    <s v="2026-08-31 10:13:27"/>
    <n v="3"/>
    <x v="12"/>
    <x v="0"/>
    <x v="0"/>
    <n v="47.629236120241401"/>
    <n v="4.4595868965669299"/>
    <n v="0"/>
    <n v="385.46320793649602"/>
    <n v="19409"/>
    <s v="Unnamed ProjectWorkStationQWaiting TimeQueue"/>
    <n v="10"/>
    <n v="50.415166381141077"/>
    <n v="2.3069744276489197"/>
    <n v="0.95"/>
    <n v="1.6503100887163762"/>
    <n v="47.629236120241401"/>
    <n v="54.364186767872503"/>
    <n v="0"/>
    <n v="642.11042136000503"/>
    <n v="19616"/>
    <n v="1.6503100887163762"/>
    <n v="10"/>
    <n v="1"/>
  </r>
  <r>
    <x v="0"/>
    <s v="2026-08-31 10:13:27"/>
    <n v="4"/>
    <x v="12"/>
    <x v="0"/>
    <x v="0"/>
    <n v="53.452321716181302"/>
    <n v="5.9363284396750799"/>
    <n v="0"/>
    <n v="434.92313303181402"/>
    <n v="19915"/>
    <s v="Unnamed ProjectWorkStationQWaiting TimeQueue"/>
    <n v="10"/>
    <n v="50.415166381141077"/>
    <n v="2.3069744276489197"/>
    <n v="0.95"/>
    <n v="1.6503100887163762"/>
    <n v="47.629236120241401"/>
    <n v="54.364186767872503"/>
    <n v="0"/>
    <n v="642.11042136000503"/>
    <n v="19616"/>
    <n v="1.6503100887163762"/>
    <n v="10"/>
    <n v="1"/>
  </r>
  <r>
    <x v="0"/>
    <s v="2026-08-31 10:13:27"/>
    <n v="5"/>
    <x v="12"/>
    <x v="0"/>
    <x v="0"/>
    <n v="52.5928345163274"/>
    <n v="10.287570578642599"/>
    <n v="0"/>
    <n v="642.11042136000503"/>
    <n v="19495"/>
    <s v="Unnamed ProjectWorkStationQWaiting TimeQueue"/>
    <n v="10"/>
    <n v="50.415166381141077"/>
    <n v="2.3069744276489197"/>
    <n v="0.95"/>
    <n v="1.6503100887163762"/>
    <n v="47.629236120241401"/>
    <n v="54.364186767872503"/>
    <n v="0"/>
    <n v="642.11042136000503"/>
    <n v="19616"/>
    <n v="1.6503100887163762"/>
    <n v="10"/>
    <n v="1"/>
  </r>
  <r>
    <x v="0"/>
    <s v="2026-08-31 10:13:27"/>
    <n v="6"/>
    <x v="12"/>
    <x v="0"/>
    <x v="0"/>
    <n v="54.364186767872503"/>
    <n v="5.8019511376707902"/>
    <n v="0"/>
    <n v="387.39112989033998"/>
    <n v="19858"/>
    <s v="Unnamed ProjectWorkStationQWaiting TimeQueue"/>
    <n v="10"/>
    <n v="50.415166381141077"/>
    <n v="2.3069744276489197"/>
    <n v="0.95"/>
    <n v="1.6503100887163762"/>
    <n v="47.629236120241401"/>
    <n v="54.364186767872503"/>
    <n v="0"/>
    <n v="642.11042136000503"/>
    <n v="19616"/>
    <n v="1.6503100887163762"/>
    <n v="10"/>
    <n v="1"/>
  </r>
  <r>
    <x v="0"/>
    <s v="2026-08-31 10:13:27"/>
    <n v="7"/>
    <x v="12"/>
    <x v="0"/>
    <x v="0"/>
    <n v="48.380015253898598"/>
    <n v="5.7663096989588798"/>
    <n v="0"/>
    <n v="526.57800537219703"/>
    <n v="19570"/>
    <s v="Unnamed ProjectWorkStationQWaiting TimeQueue"/>
    <n v="10"/>
    <n v="50.415166381141077"/>
    <n v="2.3069744276489197"/>
    <n v="0.95"/>
    <n v="1.6503100887163762"/>
    <n v="47.629236120241401"/>
    <n v="54.364186767872503"/>
    <n v="0"/>
    <n v="642.11042136000503"/>
    <n v="19616"/>
    <n v="1.6503100887163762"/>
    <n v="10"/>
    <n v="1"/>
  </r>
  <r>
    <x v="0"/>
    <s v="2026-08-31 10:13:27"/>
    <n v="8"/>
    <x v="12"/>
    <x v="0"/>
    <x v="0"/>
    <n v="49.9368587978474"/>
    <n v="4.1138181429501497"/>
    <n v="0"/>
    <n v="445.46358669071901"/>
    <n v="19695"/>
    <s v="Unnamed ProjectWorkStationQWaiting TimeQueue"/>
    <n v="10"/>
    <n v="50.415166381141077"/>
    <n v="2.3069744276489197"/>
    <n v="0.95"/>
    <n v="1.6503100887163762"/>
    <n v="47.629236120241401"/>
    <n v="54.364186767872503"/>
    <n v="0"/>
    <n v="642.11042136000503"/>
    <n v="19616"/>
    <n v="1.6503100887163762"/>
    <n v="10"/>
    <n v="1"/>
  </r>
  <r>
    <x v="0"/>
    <s v="2026-08-31 10:13:27"/>
    <n v="9"/>
    <x v="12"/>
    <x v="0"/>
    <x v="0"/>
    <n v="48.890873569852197"/>
    <n v="5.3179835995174098"/>
    <n v="0"/>
    <n v="473.17029942909699"/>
    <n v="19616"/>
    <s v="Unnamed ProjectWorkStationQWaiting TimeQueue"/>
    <n v="10"/>
    <n v="50.415166381141077"/>
    <n v="2.3069744276489197"/>
    <n v="0.95"/>
    <n v="1.6503100887163762"/>
    <n v="47.629236120241401"/>
    <n v="54.364186767872503"/>
    <n v="0"/>
    <n v="642.11042136000503"/>
    <n v="19616"/>
    <n v="1.6503100887163762"/>
    <n v="10"/>
    <n v="1"/>
  </r>
  <r>
    <x v="0"/>
    <s v="2026-08-31 10:13:27"/>
    <n v="10"/>
    <x v="12"/>
    <x v="0"/>
    <x v="0"/>
    <n v="48.4731926657578"/>
    <n v="5.2284148413076998"/>
    <n v="0"/>
    <n v="449.85679526341801"/>
    <n v="19533"/>
    <s v="Unnamed ProjectWorkStationQWaiting TimeQueue"/>
    <n v="10"/>
    <n v="50.415166381141077"/>
    <n v="2.3069744276489197"/>
    <n v="0.95"/>
    <n v="1.6503100887163762"/>
    <n v="47.629236120241401"/>
    <n v="54.364186767872503"/>
    <n v="0"/>
    <n v="642.11042136000503"/>
    <n v="19616"/>
    <n v="1.6503100887163762"/>
    <n v="10"/>
    <n v="1"/>
  </r>
  <r>
    <x v="0"/>
    <s v="2026-08-31 10:13:27"/>
    <n v="1"/>
    <x v="13"/>
    <x v="0"/>
    <x v="0"/>
    <n v="0.35685805388064901"/>
    <n v="2.4193931936433499E-2"/>
    <n v="0"/>
    <n v="12.6437908349326"/>
    <n v="19448"/>
    <s v="Unnamed ProjectWorkStationReqQWaiting TimeQueue"/>
    <n v="10"/>
    <n v="0.36156930220060063"/>
    <n v="9.4755038987401723E-3"/>
    <n v="0.95"/>
    <n v="6.7783671515157405E-3"/>
    <n v="0.34664092936881102"/>
    <n v="0.37565687863570202"/>
    <n v="0"/>
    <n v="15.013901928876299"/>
    <n v="19616"/>
    <n v="6.7783671515157405E-3"/>
    <n v="10"/>
    <n v="1"/>
  </r>
  <r>
    <x v="0"/>
    <s v="2026-08-31 10:13:27"/>
    <n v="2"/>
    <x v="13"/>
    <x v="0"/>
    <x v="0"/>
    <n v="0.37565687863570202"/>
    <n v="2.1920396438857601E-2"/>
    <n v="0"/>
    <n v="12.4624909589766"/>
    <n v="19621"/>
    <s v="Unnamed ProjectWorkStationReqQWaiting TimeQueue"/>
    <n v="10"/>
    <n v="0.36156930220060063"/>
    <n v="9.4755038987401723E-3"/>
    <n v="0.95"/>
    <n v="6.7783671515157405E-3"/>
    <n v="0.34664092936881102"/>
    <n v="0.37565687863570202"/>
    <n v="0"/>
    <n v="15.013901928876299"/>
    <n v="19616"/>
    <n v="6.7783671515157405E-3"/>
    <n v="10"/>
    <n v="1"/>
  </r>
  <r>
    <x v="0"/>
    <s v="2026-08-31 10:13:27"/>
    <n v="3"/>
    <x v="13"/>
    <x v="0"/>
    <x v="0"/>
    <n v="0.34664092936881102"/>
    <n v="1.8443687737100999E-2"/>
    <n v="0"/>
    <n v="12.2877680429956"/>
    <n v="19409"/>
    <s v="Unnamed ProjectWorkStationReqQWaiting TimeQueue"/>
    <n v="10"/>
    <n v="0.36156930220060063"/>
    <n v="9.4755038987401723E-3"/>
    <n v="0.95"/>
    <n v="6.7783671515157405E-3"/>
    <n v="0.34664092936881102"/>
    <n v="0.37565687863570202"/>
    <n v="0"/>
    <n v="15.013901928876299"/>
    <n v="19616"/>
    <n v="6.7783671515157405E-3"/>
    <n v="10"/>
    <n v="1"/>
  </r>
  <r>
    <x v="0"/>
    <s v="2026-08-31 10:13:27"/>
    <n v="4"/>
    <x v="13"/>
    <x v="0"/>
    <x v="0"/>
    <n v="0.370282634263979"/>
    <n v="1.7819674705212299E-2"/>
    <n v="0"/>
    <n v="12.410545984312201"/>
    <n v="19914"/>
    <s v="Unnamed ProjectWorkStationReqQWaiting TimeQueue"/>
    <n v="10"/>
    <n v="0.36156930220060063"/>
    <n v="9.4755038987401723E-3"/>
    <n v="0.95"/>
    <n v="6.7783671515157405E-3"/>
    <n v="0.34664092936881102"/>
    <n v="0.37565687863570202"/>
    <n v="0"/>
    <n v="15.013901928876299"/>
    <n v="19616"/>
    <n v="6.7783671515157405E-3"/>
    <n v="10"/>
    <n v="1"/>
  </r>
  <r>
    <x v="0"/>
    <s v="2026-08-31 10:13:27"/>
    <n v="5"/>
    <x v="13"/>
    <x v="0"/>
    <x v="0"/>
    <n v="0.358795130969015"/>
    <n v="2.0458196811350599E-2"/>
    <n v="0"/>
    <n v="15.013901928876299"/>
    <n v="19496"/>
    <s v="Unnamed ProjectWorkStationReqQWaiting TimeQueue"/>
    <n v="10"/>
    <n v="0.36156930220060063"/>
    <n v="9.4755038987401723E-3"/>
    <n v="0.95"/>
    <n v="6.7783671515157405E-3"/>
    <n v="0.34664092936881102"/>
    <n v="0.37565687863570202"/>
    <n v="0"/>
    <n v="15.013901928876299"/>
    <n v="19616"/>
    <n v="6.7783671515157405E-3"/>
    <n v="10"/>
    <n v="1"/>
  </r>
  <r>
    <x v="0"/>
    <s v="2026-08-31 10:13:27"/>
    <n v="6"/>
    <x v="13"/>
    <x v="0"/>
    <x v="0"/>
    <n v="0.36967416293929201"/>
    <n v="2.22721840888346E-2"/>
    <n v="0"/>
    <n v="12.3539442755282"/>
    <n v="19858"/>
    <s v="Unnamed ProjectWorkStationReqQWaiting TimeQueue"/>
    <n v="10"/>
    <n v="0.36156930220060063"/>
    <n v="9.4755038987401723E-3"/>
    <n v="0.95"/>
    <n v="6.7783671515157405E-3"/>
    <n v="0.34664092936881102"/>
    <n v="0.37565687863570202"/>
    <n v="0"/>
    <n v="15.013901928876299"/>
    <n v="19616"/>
    <n v="6.7783671515157405E-3"/>
    <n v="10"/>
    <n v="1"/>
  </r>
  <r>
    <x v="0"/>
    <s v="2026-08-31 10:13:27"/>
    <n v="7"/>
    <x v="13"/>
    <x v="0"/>
    <x v="0"/>
    <n v="0.356597960204457"/>
    <n v="1.8316596791154601E-2"/>
    <n v="0"/>
    <n v="12.3610667198082"/>
    <n v="19570"/>
    <s v="Unnamed ProjectWorkStationReqQWaiting TimeQueue"/>
    <n v="10"/>
    <n v="0.36156930220060063"/>
    <n v="9.4755038987401723E-3"/>
    <n v="0.95"/>
    <n v="6.7783671515157405E-3"/>
    <n v="0.34664092936881102"/>
    <n v="0.37565687863570202"/>
    <n v="0"/>
    <n v="15.013901928876299"/>
    <n v="19616"/>
    <n v="6.7783671515157405E-3"/>
    <n v="10"/>
    <n v="1"/>
  </r>
  <r>
    <x v="0"/>
    <s v="2026-08-31 10:13:27"/>
    <n v="8"/>
    <x v="13"/>
    <x v="0"/>
    <x v="0"/>
    <n v="0.36425464286590498"/>
    <n v="2.02482358001949E-2"/>
    <n v="0"/>
    <n v="12.8663771236315"/>
    <n v="19695"/>
    <s v="Unnamed ProjectWorkStationReqQWaiting TimeQueue"/>
    <n v="10"/>
    <n v="0.36156930220060063"/>
    <n v="9.4755038987401723E-3"/>
    <n v="0.95"/>
    <n v="6.7783671515157405E-3"/>
    <n v="0.34664092936881102"/>
    <n v="0.37565687863570202"/>
    <n v="0"/>
    <n v="15.013901928876299"/>
    <n v="19616"/>
    <n v="6.7783671515157405E-3"/>
    <n v="10"/>
    <n v="1"/>
  </r>
  <r>
    <x v="0"/>
    <s v="2026-08-31 10:13:27"/>
    <n v="9"/>
    <x v="13"/>
    <x v="0"/>
    <x v="0"/>
    <n v="0.36752350136919698"/>
    <n v="2.1059980137006499E-2"/>
    <n v="0"/>
    <n v="12.467886462341999"/>
    <n v="19616"/>
    <s v="Unnamed ProjectWorkStationReqQWaiting TimeQueue"/>
    <n v="10"/>
    <n v="0.36156930220060063"/>
    <n v="9.4755038987401723E-3"/>
    <n v="0.95"/>
    <n v="6.7783671515157405E-3"/>
    <n v="0.34664092936881102"/>
    <n v="0.37565687863570202"/>
    <n v="0"/>
    <n v="15.013901928876299"/>
    <n v="19616"/>
    <n v="6.7783671515157405E-3"/>
    <n v="10"/>
    <n v="1"/>
  </r>
  <r>
    <x v="0"/>
    <s v="2026-08-31 10:13:27"/>
    <n v="10"/>
    <x v="13"/>
    <x v="0"/>
    <x v="0"/>
    <n v="0.349409127508999"/>
    <n v="1.8284314164963799E-2"/>
    <n v="0"/>
    <n v="12.2448180960491"/>
    <n v="19533"/>
    <s v="Unnamed ProjectWorkStationReqQWaiting TimeQueue"/>
    <n v="10"/>
    <n v="0.36156930220060063"/>
    <n v="9.4755038987401723E-3"/>
    <n v="0.95"/>
    <n v="6.7783671515157405E-3"/>
    <n v="0.34664092936881102"/>
    <n v="0.37565687863570202"/>
    <n v="0"/>
    <n v="15.013901928876299"/>
    <n v="19616"/>
    <n v="6.7783671515157405E-3"/>
    <n v="10"/>
    <n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6-08-31 10:13:27"/>
    <n v="1"/>
    <x v="0"/>
    <x v="0"/>
    <x v="0"/>
    <n v="19448"/>
    <n v="0"/>
    <s v="Unnamed ProjectEntity 1.NumberInNumber InEntity"/>
    <n v="10"/>
    <n v="19615.599999999999"/>
    <n v="165.97134960254101"/>
    <n v="0.95"/>
    <n v="118.72875113144924"/>
    <n v="19410"/>
    <n v="19914"/>
  </r>
  <r>
    <x v="0"/>
    <s v="2026-08-31 10:13:27"/>
    <n v="1"/>
    <x v="1"/>
    <x v="1"/>
    <x v="0"/>
    <n v="19448"/>
    <n v="0"/>
    <s v="Unnamed ProjectEntity 1.NumberOutNumber OutEntity"/>
    <n v="10"/>
    <n v="19615.599999999999"/>
    <n v="165.97134960254101"/>
    <n v="0.95"/>
    <n v="118.72875113144924"/>
    <n v="19410"/>
    <n v="19914"/>
  </r>
  <r>
    <x v="0"/>
    <s v="2026-08-31 10:13:27"/>
    <n v="1"/>
    <x v="2"/>
    <x v="2"/>
    <x v="1"/>
    <n v="5952"/>
    <n v="0"/>
    <s v="Unnamed ProjectNEWPAINTER.NumberSeizedTotal Number SeizedResource"/>
    <n v="10"/>
    <n v="5893"/>
    <n v="92.348374226199681"/>
    <n v="0.95"/>
    <n v="66.062047257875278"/>
    <n v="5736"/>
    <n v="6053"/>
  </r>
  <r>
    <x v="0"/>
    <s v="2026-08-31 10:13:27"/>
    <n v="1"/>
    <x v="3"/>
    <x v="3"/>
    <x v="1"/>
    <n v="0.53205452108434903"/>
    <n v="0"/>
    <s v="Unnamed ProjectNEWPAINTER.ScheduledUtilizationScheduled UtilizationResource"/>
    <n v="10"/>
    <n v="0.52518723279433455"/>
    <n v="8.4087502405714581E-3"/>
    <n v="0.95"/>
    <n v="6.0152575551752803E-3"/>
    <n v="0.51150896826018899"/>
    <n v="0.54003281556404203"/>
  </r>
  <r>
    <x v="0"/>
    <s v="2026-08-31 10:13:27"/>
    <n v="1"/>
    <x v="4"/>
    <x v="0"/>
    <x v="0"/>
    <n v="17073"/>
    <n v="0"/>
    <s v="Unnamed ProjectNewPart.NumberInNumber InEntity"/>
    <n v="10"/>
    <n v="16948.3"/>
    <n v="183.31033189042506"/>
    <n v="0.95"/>
    <n v="131.13231185359012"/>
    <n v="16656"/>
    <n v="17189"/>
  </r>
  <r>
    <x v="0"/>
    <s v="2026-08-31 10:13:27"/>
    <n v="1"/>
    <x v="5"/>
    <x v="1"/>
    <x v="0"/>
    <n v="17074"/>
    <n v="0"/>
    <s v="Unnamed ProjectNewPart.NumberOutNumber OutEntity"/>
    <n v="10"/>
    <n v="16948.099999999999"/>
    <n v="184.16022613172714"/>
    <n v="0.95"/>
    <n v="131.74028956845027"/>
    <n v="16656"/>
    <n v="17191"/>
  </r>
  <r>
    <x v="0"/>
    <s v="2026-08-31 10:13:27"/>
    <n v="1"/>
    <x v="6"/>
    <x v="0"/>
    <x v="0"/>
    <n v="38586"/>
    <n v="0"/>
    <s v="Unnamed ProjectOldPart.NumberInNumber InEntity"/>
    <n v="10"/>
    <n v="39113.599999999999"/>
    <n v="260.00051282000709"/>
    <n v="0.95"/>
    <n v="185.9931624017064"/>
    <n v="38586"/>
    <n v="39514"/>
  </r>
  <r>
    <x v="0"/>
    <s v="2026-08-31 10:13:27"/>
    <n v="1"/>
    <x v="7"/>
    <x v="1"/>
    <x v="0"/>
    <n v="38588"/>
    <n v="0"/>
    <s v="Unnamed ProjectOldPart.NumberOutNumber OutEntity"/>
    <n v="10"/>
    <n v="39114.6"/>
    <n v="258.98871704295448"/>
    <n v="0.95"/>
    <n v="185.26936730515985"/>
    <n v="38588"/>
    <n v="39510"/>
  </r>
  <r>
    <x v="0"/>
    <s v="2026-08-31 10:13:27"/>
    <n v="1"/>
    <x v="8"/>
    <x v="2"/>
    <x v="1"/>
    <n v="19449"/>
    <n v="0"/>
    <s v="Unnamed ProjectPACKER.NumberSeizedTotal Number SeizedResource"/>
    <n v="10"/>
    <n v="19615.8"/>
    <n v="165.88670832830459"/>
    <n v="0.95"/>
    <n v="118.66820241139406"/>
    <n v="19409"/>
    <n v="19914"/>
  </r>
  <r>
    <x v="0"/>
    <s v="2026-08-31 10:13:27"/>
    <n v="1"/>
    <x v="9"/>
    <x v="3"/>
    <x v="1"/>
    <n v="0.80873375252706603"/>
    <n v="0"/>
    <s v="Unnamed ProjectPACKER.ScheduledUtilizationScheduled UtilizationResource"/>
    <n v="10"/>
    <n v="0.81557194281027567"/>
    <n v="6.9416851287817331E-3"/>
    <n v="0.95"/>
    <n v="4.9657823959478754E-3"/>
    <n v="0.80675605099888203"/>
    <n v="0.82818429749007605"/>
  </r>
  <r>
    <x v="0"/>
    <s v="2026-08-31 10:13:27"/>
    <n v="1"/>
    <x v="10"/>
    <x v="2"/>
    <x v="1"/>
    <n v="13496"/>
    <n v="0"/>
    <s v="Unnamed ProjectPAINTER.NumberSeizedTotal Number SeizedResource"/>
    <n v="10"/>
    <n v="13722.6"/>
    <n v="113.64682133698241"/>
    <n v="0.95"/>
    <n v="81.298038485024648"/>
    <n v="13496"/>
    <n v="13871"/>
  </r>
  <r>
    <x v="0"/>
    <s v="2026-08-31 10:13:27"/>
    <n v="1"/>
    <x v="11"/>
    <x v="3"/>
    <x v="1"/>
    <n v="0.54030874063430001"/>
    <n v="0"/>
    <s v="Unnamed ProjectPAINTER.ScheduledUtilizationScheduled UtilizationResource"/>
    <n v="10"/>
    <n v="0.54938142053560801"/>
    <n v="4.5196387022068685E-3"/>
    <n v="0.95"/>
    <n v="3.2331547581159752E-3"/>
    <n v="0.54030874063430001"/>
    <n v="0.55566835138728998"/>
  </r>
  <r>
    <x v="0"/>
    <s v="2026-08-31 10:13:27"/>
    <n v="1"/>
    <x v="12"/>
    <x v="1"/>
    <x v="2"/>
    <n v="55662"/>
    <n v="0"/>
    <s v="Unnamed ProjectSystem.NumberOutNumber OutSystem"/>
    <n v="10"/>
    <n v="56062.7"/>
    <n v="281.95036994320668"/>
    <n v="0.95"/>
    <n v="201.69514427985661"/>
    <n v="55662"/>
    <n v="56611"/>
  </r>
  <r>
    <x v="0"/>
    <s v="2026-08-31 10:13:27"/>
    <n v="1"/>
    <x v="13"/>
    <x v="2"/>
    <x v="1"/>
    <n v="19448"/>
    <n v="0"/>
    <s v="Unnamed ProjectWORKER.NumberSeizedTotal Number SeizedResource"/>
    <n v="10"/>
    <n v="19616"/>
    <n v="166.31629839288485"/>
    <n v="0.95"/>
    <n v="118.97551263082794"/>
    <n v="19409"/>
    <n v="19915"/>
  </r>
  <r>
    <x v="0"/>
    <s v="2026-08-31 10:13:27"/>
    <n v="1"/>
    <x v="14"/>
    <x v="3"/>
    <x v="1"/>
    <n v="0.81352170871654805"/>
    <n v="0"/>
    <s v="Unnamed ProjectWORKER.ScheduledUtilizationScheduled UtilizationResource"/>
    <n v="10"/>
    <n v="0.82030090075893936"/>
    <n v="6.9684713894533476E-3"/>
    <n v="0.95"/>
    <n v="4.9849441325044447E-3"/>
    <n v="0.81151215762737705"/>
    <n v="0.832837691284112"/>
  </r>
  <r>
    <x v="0"/>
    <s v="2026-08-31 10:13:27"/>
    <n v="2"/>
    <x v="0"/>
    <x v="0"/>
    <x v="0"/>
    <n v="19625"/>
    <n v="0"/>
    <s v="Unnamed ProjectEntity 1.NumberInNumber InEntity"/>
    <n v="10"/>
    <n v="19615.599999999999"/>
    <n v="165.97134960254101"/>
    <n v="0.95"/>
    <n v="118.72875113144924"/>
    <n v="19410"/>
    <n v="19914"/>
  </r>
  <r>
    <x v="0"/>
    <s v="2026-08-31 10:13:27"/>
    <n v="2"/>
    <x v="1"/>
    <x v="1"/>
    <x v="0"/>
    <n v="19625"/>
    <n v="0"/>
    <s v="Unnamed ProjectEntity 1.NumberOutNumber OutEntity"/>
    <n v="10"/>
    <n v="19615.599999999999"/>
    <n v="165.97134960254101"/>
    <n v="0.95"/>
    <n v="118.72875113144924"/>
    <n v="19410"/>
    <n v="19914"/>
  </r>
  <r>
    <x v="0"/>
    <s v="2026-08-31 10:13:27"/>
    <n v="2"/>
    <x v="2"/>
    <x v="2"/>
    <x v="1"/>
    <n v="5898"/>
    <n v="0"/>
    <s v="Unnamed ProjectNEWPAINTER.NumberSeizedTotal Number SeizedResource"/>
    <n v="10"/>
    <n v="5893"/>
    <n v="92.348374226199681"/>
    <n v="0.95"/>
    <n v="66.062047257875278"/>
    <n v="5736"/>
    <n v="6053"/>
  </r>
  <r>
    <x v="0"/>
    <s v="2026-08-31 10:13:27"/>
    <n v="2"/>
    <x v="3"/>
    <x v="3"/>
    <x v="1"/>
    <n v="0.52546237694032205"/>
    <n v="0"/>
    <s v="Unnamed ProjectNEWPAINTER.ScheduledUtilizationScheduled UtilizationResource"/>
    <n v="10"/>
    <n v="0.52518723279433455"/>
    <n v="8.4087502405714581E-3"/>
    <n v="0.95"/>
    <n v="6.0152575551752803E-3"/>
    <n v="0.51150896826018899"/>
    <n v="0.54003281556404203"/>
  </r>
  <r>
    <x v="0"/>
    <s v="2026-08-31 10:13:27"/>
    <n v="2"/>
    <x v="4"/>
    <x v="0"/>
    <x v="0"/>
    <n v="17015"/>
    <n v="0"/>
    <s v="Unnamed ProjectNewPart.NumberInNumber InEntity"/>
    <n v="10"/>
    <n v="16948.3"/>
    <n v="183.31033189042506"/>
    <n v="0.95"/>
    <n v="131.13231185359012"/>
    <n v="16656"/>
    <n v="17189"/>
  </r>
  <r>
    <x v="0"/>
    <s v="2026-08-31 10:13:27"/>
    <n v="2"/>
    <x v="5"/>
    <x v="1"/>
    <x v="0"/>
    <n v="17011"/>
    <n v="0"/>
    <s v="Unnamed ProjectNewPart.NumberOutNumber OutEntity"/>
    <n v="10"/>
    <n v="16948.099999999999"/>
    <n v="184.16022613172714"/>
    <n v="0.95"/>
    <n v="131.74028956845027"/>
    <n v="16656"/>
    <n v="17191"/>
  </r>
  <r>
    <x v="0"/>
    <s v="2026-08-31 10:13:27"/>
    <n v="2"/>
    <x v="6"/>
    <x v="0"/>
    <x v="0"/>
    <n v="39192"/>
    <n v="0"/>
    <s v="Unnamed ProjectOldPart.NumberInNumber InEntity"/>
    <n v="10"/>
    <n v="39113.599999999999"/>
    <n v="260.00051282000709"/>
    <n v="0.95"/>
    <n v="185.9931624017064"/>
    <n v="38586"/>
    <n v="39514"/>
  </r>
  <r>
    <x v="0"/>
    <s v="2026-08-31 10:13:27"/>
    <n v="2"/>
    <x v="7"/>
    <x v="1"/>
    <x v="0"/>
    <n v="39189"/>
    <n v="0"/>
    <s v="Unnamed ProjectOldPart.NumberOutNumber OutEntity"/>
    <n v="10"/>
    <n v="39114.6"/>
    <n v="258.98871704295448"/>
    <n v="0.95"/>
    <n v="185.26936730515985"/>
    <n v="38588"/>
    <n v="39510"/>
  </r>
  <r>
    <x v="0"/>
    <s v="2026-08-31 10:13:27"/>
    <n v="2"/>
    <x v="8"/>
    <x v="2"/>
    <x v="1"/>
    <n v="19619"/>
    <n v="0"/>
    <s v="Unnamed ProjectPACKER.NumberSeizedTotal Number SeizedResource"/>
    <n v="10"/>
    <n v="19615.8"/>
    <n v="165.88670832830459"/>
    <n v="0.95"/>
    <n v="118.66820241139406"/>
    <n v="19409"/>
    <n v="19914"/>
  </r>
  <r>
    <x v="0"/>
    <s v="2026-08-31 10:13:27"/>
    <n v="2"/>
    <x v="9"/>
    <x v="3"/>
    <x v="1"/>
    <n v="0.81535143894389805"/>
    <n v="0"/>
    <s v="Unnamed ProjectPACKER.ScheduledUtilizationScheduled UtilizationResource"/>
    <n v="10"/>
    <n v="0.81557194281027567"/>
    <n v="6.9416851287817331E-3"/>
    <n v="0.95"/>
    <n v="4.9657823959478754E-3"/>
    <n v="0.80675605099888203"/>
    <n v="0.82818429749007605"/>
  </r>
  <r>
    <x v="0"/>
    <s v="2026-08-31 10:13:27"/>
    <n v="2"/>
    <x v="10"/>
    <x v="2"/>
    <x v="1"/>
    <n v="13722"/>
    <n v="0"/>
    <s v="Unnamed ProjectPAINTER.NumberSeizedTotal Number SeizedResource"/>
    <n v="10"/>
    <n v="13722.6"/>
    <n v="113.64682133698241"/>
    <n v="0.95"/>
    <n v="81.298038485024648"/>
    <n v="13496"/>
    <n v="13871"/>
  </r>
  <r>
    <x v="0"/>
    <s v="2026-08-31 10:13:27"/>
    <n v="2"/>
    <x v="11"/>
    <x v="3"/>
    <x v="1"/>
    <n v="0.54952995359370704"/>
    <n v="0"/>
    <s v="Unnamed ProjectPAINTER.ScheduledUtilizationScheduled UtilizationResource"/>
    <n v="10"/>
    <n v="0.54938142053560801"/>
    <n v="4.5196387022068685E-3"/>
    <n v="0.95"/>
    <n v="3.2331547581159752E-3"/>
    <n v="0.54030874063430001"/>
    <n v="0.55566835138728998"/>
  </r>
  <r>
    <x v="0"/>
    <s v="2026-08-31 10:13:27"/>
    <n v="2"/>
    <x v="12"/>
    <x v="1"/>
    <x v="2"/>
    <n v="56200"/>
    <n v="0"/>
    <s v="Unnamed ProjectSystem.NumberOutNumber OutSystem"/>
    <n v="10"/>
    <n v="56062.7"/>
    <n v="281.95036994320668"/>
    <n v="0.95"/>
    <n v="201.69514427985661"/>
    <n v="55662"/>
    <n v="56611"/>
  </r>
  <r>
    <x v="0"/>
    <s v="2026-08-31 10:13:27"/>
    <n v="2"/>
    <x v="13"/>
    <x v="2"/>
    <x v="1"/>
    <n v="19621"/>
    <n v="0"/>
    <s v="Unnamed ProjectWORKER.NumberSeizedTotal Number SeizedResource"/>
    <n v="10"/>
    <n v="19616"/>
    <n v="166.31629839288485"/>
    <n v="0.95"/>
    <n v="118.97551263082794"/>
    <n v="19409"/>
    <n v="19915"/>
  </r>
  <r>
    <x v="0"/>
    <s v="2026-08-31 10:13:27"/>
    <n v="2"/>
    <x v="14"/>
    <x v="3"/>
    <x v="1"/>
    <n v="0.82062387365982303"/>
    <n v="0"/>
    <s v="Unnamed ProjectWORKER.ScheduledUtilizationScheduled UtilizationResource"/>
    <n v="10"/>
    <n v="0.82030090075893936"/>
    <n v="6.9684713894533476E-3"/>
    <n v="0.95"/>
    <n v="4.9849441325044447E-3"/>
    <n v="0.81151215762737705"/>
    <n v="0.832837691284112"/>
  </r>
  <r>
    <x v="0"/>
    <s v="2026-08-31 10:13:27"/>
    <n v="3"/>
    <x v="0"/>
    <x v="0"/>
    <x v="0"/>
    <n v="19410"/>
    <n v="0"/>
    <s v="Unnamed ProjectEntity 1.NumberInNumber InEntity"/>
    <n v="10"/>
    <n v="19615.599999999999"/>
    <n v="165.97134960254101"/>
    <n v="0.95"/>
    <n v="118.72875113144924"/>
    <n v="19410"/>
    <n v="19914"/>
  </r>
  <r>
    <x v="0"/>
    <s v="2026-08-31 10:13:27"/>
    <n v="3"/>
    <x v="1"/>
    <x v="1"/>
    <x v="0"/>
    <n v="19410"/>
    <n v="0"/>
    <s v="Unnamed ProjectEntity 1.NumberOutNumber OutEntity"/>
    <n v="10"/>
    <n v="19615.599999999999"/>
    <n v="165.97134960254101"/>
    <n v="0.95"/>
    <n v="118.72875113144924"/>
    <n v="19410"/>
    <n v="19914"/>
  </r>
  <r>
    <x v="0"/>
    <s v="2026-08-31 10:13:27"/>
    <n v="3"/>
    <x v="2"/>
    <x v="2"/>
    <x v="1"/>
    <n v="5736"/>
    <n v="0"/>
    <s v="Unnamed ProjectNEWPAINTER.NumberSeizedTotal Number SeizedResource"/>
    <n v="10"/>
    <n v="5893"/>
    <n v="92.348374226199681"/>
    <n v="0.95"/>
    <n v="66.062047257875278"/>
    <n v="5736"/>
    <n v="6053"/>
  </r>
  <r>
    <x v="0"/>
    <s v="2026-08-31 10:13:27"/>
    <n v="3"/>
    <x v="3"/>
    <x v="3"/>
    <x v="1"/>
    <n v="0.51150896826018899"/>
    <n v="0"/>
    <s v="Unnamed ProjectNEWPAINTER.ScheduledUtilizationScheduled UtilizationResource"/>
    <n v="10"/>
    <n v="0.52518723279433455"/>
    <n v="8.4087502405714581E-3"/>
    <n v="0.95"/>
    <n v="6.0152575551752803E-3"/>
    <n v="0.51150896826018899"/>
    <n v="0.54003281556404203"/>
  </r>
  <r>
    <x v="0"/>
    <s v="2026-08-31 10:13:27"/>
    <n v="3"/>
    <x v="4"/>
    <x v="0"/>
    <x v="0"/>
    <n v="16656"/>
    <n v="0"/>
    <s v="Unnamed ProjectNewPart.NumberInNumber InEntity"/>
    <n v="10"/>
    <n v="16948.3"/>
    <n v="183.31033189042506"/>
    <n v="0.95"/>
    <n v="131.13231185359012"/>
    <n v="16656"/>
    <n v="17189"/>
  </r>
  <r>
    <x v="0"/>
    <s v="2026-08-31 10:13:27"/>
    <n v="3"/>
    <x v="5"/>
    <x v="1"/>
    <x v="0"/>
    <n v="16656"/>
    <n v="0"/>
    <s v="Unnamed ProjectNewPart.NumberOutNumber OutEntity"/>
    <n v="10"/>
    <n v="16948.099999999999"/>
    <n v="184.16022613172714"/>
    <n v="0.95"/>
    <n v="131.74028956845027"/>
    <n v="16656"/>
    <n v="17191"/>
  </r>
  <r>
    <x v="0"/>
    <s v="2026-08-31 10:13:27"/>
    <n v="3"/>
    <x v="6"/>
    <x v="0"/>
    <x v="0"/>
    <n v="39172"/>
    <n v="0"/>
    <s v="Unnamed ProjectOldPart.NumberInNumber InEntity"/>
    <n v="10"/>
    <n v="39113.599999999999"/>
    <n v="260.00051282000709"/>
    <n v="0.95"/>
    <n v="185.9931624017064"/>
    <n v="38586"/>
    <n v="39514"/>
  </r>
  <r>
    <x v="0"/>
    <s v="2026-08-31 10:13:27"/>
    <n v="3"/>
    <x v="7"/>
    <x v="1"/>
    <x v="0"/>
    <n v="39172"/>
    <n v="0"/>
    <s v="Unnamed ProjectOldPart.NumberOutNumber OutEntity"/>
    <n v="10"/>
    <n v="39114.6"/>
    <n v="258.98871704295448"/>
    <n v="0.95"/>
    <n v="185.26936730515985"/>
    <n v="38588"/>
    <n v="39510"/>
  </r>
  <r>
    <x v="0"/>
    <s v="2026-08-31 10:13:27"/>
    <n v="3"/>
    <x v="8"/>
    <x v="2"/>
    <x v="1"/>
    <n v="19409"/>
    <n v="0"/>
    <s v="Unnamed ProjectPACKER.NumberSeizedTotal Number SeizedResource"/>
    <n v="10"/>
    <n v="19615.8"/>
    <n v="165.88670832830459"/>
    <n v="0.95"/>
    <n v="118.66820241139406"/>
    <n v="19409"/>
    <n v="19914"/>
  </r>
  <r>
    <x v="0"/>
    <s v="2026-08-31 10:13:27"/>
    <n v="3"/>
    <x v="9"/>
    <x v="3"/>
    <x v="1"/>
    <n v="0.80675605099888203"/>
    <n v="0"/>
    <s v="Unnamed ProjectPACKER.ScheduledUtilizationScheduled UtilizationResource"/>
    <n v="10"/>
    <n v="0.81557194281027567"/>
    <n v="6.9416851287817331E-3"/>
    <n v="0.95"/>
    <n v="4.9657823959478754E-3"/>
    <n v="0.80675605099888203"/>
    <n v="0.82818429749007605"/>
  </r>
  <r>
    <x v="0"/>
    <s v="2026-08-31 10:13:27"/>
    <n v="3"/>
    <x v="10"/>
    <x v="2"/>
    <x v="1"/>
    <n v="13672"/>
    <n v="0"/>
    <s v="Unnamed ProjectPAINTER.NumberSeizedTotal Number SeizedResource"/>
    <n v="10"/>
    <n v="13722.6"/>
    <n v="113.64682133698241"/>
    <n v="0.95"/>
    <n v="81.298038485024648"/>
    <n v="13496"/>
    <n v="13871"/>
  </r>
  <r>
    <x v="0"/>
    <s v="2026-08-31 10:13:27"/>
    <n v="3"/>
    <x v="11"/>
    <x v="3"/>
    <x v="1"/>
    <n v="0.54839420860655197"/>
    <n v="0"/>
    <s v="Unnamed ProjectPAINTER.ScheduledUtilizationScheduled UtilizationResource"/>
    <n v="10"/>
    <n v="0.54938142053560801"/>
    <n v="4.5196387022068685E-3"/>
    <n v="0.95"/>
    <n v="3.2331547581159752E-3"/>
    <n v="0.54030874063430001"/>
    <n v="0.55566835138728998"/>
  </r>
  <r>
    <x v="0"/>
    <s v="2026-08-31 10:13:27"/>
    <n v="3"/>
    <x v="12"/>
    <x v="1"/>
    <x v="2"/>
    <n v="55828"/>
    <n v="0"/>
    <s v="Unnamed ProjectSystem.NumberOutNumber OutSystem"/>
    <n v="10"/>
    <n v="56062.7"/>
    <n v="281.95036994320668"/>
    <n v="0.95"/>
    <n v="201.69514427985661"/>
    <n v="55662"/>
    <n v="56611"/>
  </r>
  <r>
    <x v="0"/>
    <s v="2026-08-31 10:13:27"/>
    <n v="3"/>
    <x v="13"/>
    <x v="2"/>
    <x v="1"/>
    <n v="19409"/>
    <n v="0"/>
    <s v="Unnamed ProjectWORKER.NumberSeizedTotal Number SeizedResource"/>
    <n v="10"/>
    <n v="19616"/>
    <n v="166.31629839288485"/>
    <n v="0.95"/>
    <n v="118.97551263082794"/>
    <n v="19409"/>
    <n v="19915"/>
  </r>
  <r>
    <x v="0"/>
    <s v="2026-08-31 10:13:27"/>
    <n v="3"/>
    <x v="14"/>
    <x v="3"/>
    <x v="1"/>
    <n v="0.81151215762737705"/>
    <n v="0"/>
    <s v="Unnamed ProjectWORKER.ScheduledUtilizationScheduled UtilizationResource"/>
    <n v="10"/>
    <n v="0.82030090075893936"/>
    <n v="6.9684713894533476E-3"/>
    <n v="0.95"/>
    <n v="4.9849441325044447E-3"/>
    <n v="0.81151215762737705"/>
    <n v="0.832837691284112"/>
  </r>
  <r>
    <x v="0"/>
    <s v="2026-08-31 10:13:27"/>
    <n v="4"/>
    <x v="0"/>
    <x v="0"/>
    <x v="0"/>
    <n v="19914"/>
    <n v="0"/>
    <s v="Unnamed ProjectEntity 1.NumberInNumber InEntity"/>
    <n v="10"/>
    <n v="19615.599999999999"/>
    <n v="165.97134960254101"/>
    <n v="0.95"/>
    <n v="118.72875113144924"/>
    <n v="19410"/>
    <n v="19914"/>
  </r>
  <r>
    <x v="0"/>
    <s v="2026-08-31 10:13:27"/>
    <n v="4"/>
    <x v="1"/>
    <x v="1"/>
    <x v="0"/>
    <n v="19914"/>
    <n v="0"/>
    <s v="Unnamed ProjectEntity 1.NumberOutNumber OutEntity"/>
    <n v="10"/>
    <n v="19615.599999999999"/>
    <n v="165.97134960254101"/>
    <n v="0.95"/>
    <n v="118.72875113144924"/>
    <n v="19410"/>
    <n v="19914"/>
  </r>
  <r>
    <x v="0"/>
    <s v="2026-08-31 10:13:27"/>
    <n v="4"/>
    <x v="2"/>
    <x v="2"/>
    <x v="1"/>
    <n v="6053"/>
    <n v="0"/>
    <s v="Unnamed ProjectNEWPAINTER.NumberSeizedTotal Number SeizedResource"/>
    <n v="10"/>
    <n v="5893"/>
    <n v="92.348374226199681"/>
    <n v="0.95"/>
    <n v="66.062047257875278"/>
    <n v="5736"/>
    <n v="6053"/>
  </r>
  <r>
    <x v="0"/>
    <s v="2026-08-31 10:13:27"/>
    <n v="4"/>
    <x v="3"/>
    <x v="3"/>
    <x v="1"/>
    <n v="0.54003281556404203"/>
    <n v="0"/>
    <s v="Unnamed ProjectNEWPAINTER.ScheduledUtilizationScheduled UtilizationResource"/>
    <n v="10"/>
    <n v="0.52518723279433455"/>
    <n v="8.4087502405714581E-3"/>
    <n v="0.95"/>
    <n v="6.0152575551752803E-3"/>
    <n v="0.51150896826018899"/>
    <n v="0.54003281556404203"/>
  </r>
  <r>
    <x v="0"/>
    <s v="2026-08-31 10:13:27"/>
    <n v="4"/>
    <x v="4"/>
    <x v="0"/>
    <x v="0"/>
    <n v="17189"/>
    <n v="0"/>
    <s v="Unnamed ProjectNewPart.NumberInNumber InEntity"/>
    <n v="10"/>
    <n v="16948.3"/>
    <n v="183.31033189042506"/>
    <n v="0.95"/>
    <n v="131.13231185359012"/>
    <n v="16656"/>
    <n v="17189"/>
  </r>
  <r>
    <x v="0"/>
    <s v="2026-08-31 10:13:27"/>
    <n v="4"/>
    <x v="5"/>
    <x v="1"/>
    <x v="0"/>
    <n v="17191"/>
    <n v="0"/>
    <s v="Unnamed ProjectNewPart.NumberOutNumber OutEntity"/>
    <n v="10"/>
    <n v="16948.099999999999"/>
    <n v="184.16022613172714"/>
    <n v="0.95"/>
    <n v="131.74028956845027"/>
    <n v="16656"/>
    <n v="17191"/>
  </r>
  <r>
    <x v="0"/>
    <s v="2026-08-31 10:13:27"/>
    <n v="4"/>
    <x v="6"/>
    <x v="0"/>
    <x v="0"/>
    <n v="39204"/>
    <n v="0"/>
    <s v="Unnamed ProjectOldPart.NumberInNumber InEntity"/>
    <n v="10"/>
    <n v="39113.599999999999"/>
    <n v="260.00051282000709"/>
    <n v="0.95"/>
    <n v="185.9931624017064"/>
    <n v="38586"/>
    <n v="39514"/>
  </r>
  <r>
    <x v="0"/>
    <s v="2026-08-31 10:13:27"/>
    <n v="4"/>
    <x v="7"/>
    <x v="1"/>
    <x v="0"/>
    <n v="39202"/>
    <n v="0"/>
    <s v="Unnamed ProjectOldPart.NumberOutNumber OutEntity"/>
    <n v="10"/>
    <n v="39114.6"/>
    <n v="258.98871704295448"/>
    <n v="0.95"/>
    <n v="185.26936730515985"/>
    <n v="38588"/>
    <n v="39510"/>
  </r>
  <r>
    <x v="0"/>
    <s v="2026-08-31 10:13:27"/>
    <n v="4"/>
    <x v="8"/>
    <x v="2"/>
    <x v="1"/>
    <n v="19914"/>
    <n v="0"/>
    <s v="Unnamed ProjectPACKER.NumberSeizedTotal Number SeizedResource"/>
    <n v="10"/>
    <n v="19615.8"/>
    <n v="165.88670832830459"/>
    <n v="0.95"/>
    <n v="118.66820241139406"/>
    <n v="19409"/>
    <n v="19914"/>
  </r>
  <r>
    <x v="0"/>
    <s v="2026-08-31 10:13:27"/>
    <n v="4"/>
    <x v="9"/>
    <x v="3"/>
    <x v="1"/>
    <n v="0.82818429749007605"/>
    <n v="0"/>
    <s v="Unnamed ProjectPACKER.ScheduledUtilizationScheduled UtilizationResource"/>
    <n v="10"/>
    <n v="0.81557194281027567"/>
    <n v="6.9416851287817331E-3"/>
    <n v="0.95"/>
    <n v="4.9657823959478754E-3"/>
    <n v="0.80675605099888203"/>
    <n v="0.82818429749007605"/>
  </r>
  <r>
    <x v="0"/>
    <s v="2026-08-31 10:13:27"/>
    <n v="4"/>
    <x v="10"/>
    <x v="2"/>
    <x v="1"/>
    <n v="13863"/>
    <n v="0"/>
    <s v="Unnamed ProjectPAINTER.NumberSeizedTotal Number SeizedResource"/>
    <n v="10"/>
    <n v="13722.6"/>
    <n v="113.64682133698241"/>
    <n v="0.95"/>
    <n v="81.298038485024648"/>
    <n v="13496"/>
    <n v="13871"/>
  </r>
  <r>
    <x v="0"/>
    <s v="2026-08-31 10:13:27"/>
    <n v="4"/>
    <x v="11"/>
    <x v="3"/>
    <x v="1"/>
    <n v="0.55566835138728998"/>
    <n v="0"/>
    <s v="Unnamed ProjectPAINTER.ScheduledUtilizationScheduled UtilizationResource"/>
    <n v="10"/>
    <n v="0.54938142053560801"/>
    <n v="4.5196387022068685E-3"/>
    <n v="0.95"/>
    <n v="3.2331547581159752E-3"/>
    <n v="0.54030874063430001"/>
    <n v="0.55566835138728998"/>
  </r>
  <r>
    <x v="0"/>
    <s v="2026-08-31 10:13:27"/>
    <n v="4"/>
    <x v="12"/>
    <x v="1"/>
    <x v="2"/>
    <n v="56393"/>
    <n v="0"/>
    <s v="Unnamed ProjectSystem.NumberOutNumber OutSystem"/>
    <n v="10"/>
    <n v="56062.7"/>
    <n v="281.95036994320668"/>
    <n v="0.95"/>
    <n v="201.69514427985661"/>
    <n v="55662"/>
    <n v="56611"/>
  </r>
  <r>
    <x v="0"/>
    <s v="2026-08-31 10:13:27"/>
    <n v="4"/>
    <x v="13"/>
    <x v="2"/>
    <x v="1"/>
    <n v="19915"/>
    <n v="0"/>
    <s v="Unnamed ProjectWORKER.NumberSeizedTotal Number SeizedResource"/>
    <n v="10"/>
    <n v="19616"/>
    <n v="166.31629839288485"/>
    <n v="0.95"/>
    <n v="118.97551263082794"/>
    <n v="19409"/>
    <n v="19915"/>
  </r>
  <r>
    <x v="0"/>
    <s v="2026-08-31 10:13:27"/>
    <n v="4"/>
    <x v="14"/>
    <x v="3"/>
    <x v="1"/>
    <n v="0.832837691284112"/>
    <n v="0"/>
    <s v="Unnamed ProjectWORKER.ScheduledUtilizationScheduled UtilizationResource"/>
    <n v="10"/>
    <n v="0.82030090075893936"/>
    <n v="6.9684713894533476E-3"/>
    <n v="0.95"/>
    <n v="4.9849441325044447E-3"/>
    <n v="0.81151215762737705"/>
    <n v="0.832837691284112"/>
  </r>
  <r>
    <x v="0"/>
    <s v="2026-08-31 10:13:27"/>
    <n v="5"/>
    <x v="0"/>
    <x v="0"/>
    <x v="0"/>
    <n v="19496"/>
    <n v="0"/>
    <s v="Unnamed ProjectEntity 1.NumberInNumber InEntity"/>
    <n v="10"/>
    <n v="19615.599999999999"/>
    <n v="165.97134960254101"/>
    <n v="0.95"/>
    <n v="118.72875113144924"/>
    <n v="19410"/>
    <n v="19914"/>
  </r>
  <r>
    <x v="0"/>
    <s v="2026-08-31 10:13:27"/>
    <n v="5"/>
    <x v="1"/>
    <x v="1"/>
    <x v="0"/>
    <n v="19496"/>
    <n v="0"/>
    <s v="Unnamed ProjectEntity 1.NumberOutNumber OutEntity"/>
    <n v="10"/>
    <n v="19615.599999999999"/>
    <n v="165.97134960254101"/>
    <n v="0.95"/>
    <n v="118.72875113144924"/>
    <n v="19410"/>
    <n v="19914"/>
  </r>
  <r>
    <x v="0"/>
    <s v="2026-08-31 10:13:27"/>
    <n v="5"/>
    <x v="2"/>
    <x v="2"/>
    <x v="1"/>
    <n v="5819"/>
    <n v="0"/>
    <s v="Unnamed ProjectNEWPAINTER.NumberSeizedTotal Number SeizedResource"/>
    <n v="10"/>
    <n v="5893"/>
    <n v="92.348374226199681"/>
    <n v="0.95"/>
    <n v="66.062047257875278"/>
    <n v="5736"/>
    <n v="6053"/>
  </r>
  <r>
    <x v="0"/>
    <s v="2026-08-31 10:13:27"/>
    <n v="5"/>
    <x v="3"/>
    <x v="3"/>
    <x v="1"/>
    <n v="0.51888120912242897"/>
    <n v="0"/>
    <s v="Unnamed ProjectNEWPAINTER.ScheduledUtilizationScheduled UtilizationResource"/>
    <n v="10"/>
    <n v="0.52518723279433455"/>
    <n v="8.4087502405714581E-3"/>
    <n v="0.95"/>
    <n v="6.0152575551752803E-3"/>
    <n v="0.51150896826018899"/>
    <n v="0.54003281556404203"/>
  </r>
  <r>
    <x v="0"/>
    <s v="2026-08-31 10:13:27"/>
    <n v="5"/>
    <x v="4"/>
    <x v="0"/>
    <x v="0"/>
    <n v="16905"/>
    <n v="0"/>
    <s v="Unnamed ProjectNewPart.NumberInNumber InEntity"/>
    <n v="10"/>
    <n v="16948.3"/>
    <n v="183.31033189042506"/>
    <n v="0.95"/>
    <n v="131.13231185359012"/>
    <n v="16656"/>
    <n v="17189"/>
  </r>
  <r>
    <x v="0"/>
    <s v="2026-08-31 10:13:27"/>
    <n v="5"/>
    <x v="5"/>
    <x v="1"/>
    <x v="0"/>
    <n v="16907"/>
    <n v="0"/>
    <s v="Unnamed ProjectNewPart.NumberOutNumber OutEntity"/>
    <n v="10"/>
    <n v="16948.099999999999"/>
    <n v="184.16022613172714"/>
    <n v="0.95"/>
    <n v="131.74028956845027"/>
    <n v="16656"/>
    <n v="17191"/>
  </r>
  <r>
    <x v="0"/>
    <s v="2026-08-31 10:13:27"/>
    <n v="5"/>
    <x v="6"/>
    <x v="0"/>
    <x v="0"/>
    <n v="38935"/>
    <n v="0"/>
    <s v="Unnamed ProjectOldPart.NumberInNumber InEntity"/>
    <n v="10"/>
    <n v="39113.599999999999"/>
    <n v="260.00051282000709"/>
    <n v="0.95"/>
    <n v="185.9931624017064"/>
    <n v="38586"/>
    <n v="39514"/>
  </r>
  <r>
    <x v="0"/>
    <s v="2026-08-31 10:13:27"/>
    <n v="5"/>
    <x v="7"/>
    <x v="1"/>
    <x v="0"/>
    <n v="38937"/>
    <n v="0"/>
    <s v="Unnamed ProjectOldPart.NumberOutNumber OutEntity"/>
    <n v="10"/>
    <n v="39114.6"/>
    <n v="258.98871704295448"/>
    <n v="0.95"/>
    <n v="185.26936730515985"/>
    <n v="38588"/>
    <n v="39510"/>
  </r>
  <r>
    <x v="0"/>
    <s v="2026-08-31 10:13:27"/>
    <n v="5"/>
    <x v="8"/>
    <x v="2"/>
    <x v="1"/>
    <n v="19498"/>
    <n v="0"/>
    <s v="Unnamed ProjectPACKER.NumberSeizedTotal Number SeizedResource"/>
    <n v="10"/>
    <n v="19615.8"/>
    <n v="165.88670832830459"/>
    <n v="0.95"/>
    <n v="118.66820241139406"/>
    <n v="19409"/>
    <n v="19914"/>
  </r>
  <r>
    <x v="0"/>
    <s v="2026-08-31 10:13:27"/>
    <n v="5"/>
    <x v="9"/>
    <x v="3"/>
    <x v="1"/>
    <n v="0.81071013184483298"/>
    <n v="0"/>
    <s v="Unnamed ProjectPACKER.ScheduledUtilizationScheduled UtilizationResource"/>
    <n v="10"/>
    <n v="0.81557194281027567"/>
    <n v="6.9416851287817331E-3"/>
    <n v="0.95"/>
    <n v="4.9657823959478754E-3"/>
    <n v="0.80675605099888203"/>
    <n v="0.82818429749007605"/>
  </r>
  <r>
    <x v="0"/>
    <s v="2026-08-31 10:13:27"/>
    <n v="5"/>
    <x v="10"/>
    <x v="2"/>
    <x v="1"/>
    <n v="13677"/>
    <n v="0"/>
    <s v="Unnamed ProjectPAINTER.NumberSeizedTotal Number SeizedResource"/>
    <n v="10"/>
    <n v="13722.6"/>
    <n v="113.64682133698241"/>
    <n v="0.95"/>
    <n v="81.298038485024648"/>
    <n v="13496"/>
    <n v="13871"/>
  </r>
  <r>
    <x v="0"/>
    <s v="2026-08-31 10:13:27"/>
    <n v="5"/>
    <x v="11"/>
    <x v="3"/>
    <x v="1"/>
    <n v="0.54726193256515798"/>
    <n v="0"/>
    <s v="Unnamed ProjectPAINTER.ScheduledUtilizationScheduled UtilizationResource"/>
    <n v="10"/>
    <n v="0.54938142053560801"/>
    <n v="4.5196387022068685E-3"/>
    <n v="0.95"/>
    <n v="3.2331547581159752E-3"/>
    <n v="0.54030874063430001"/>
    <n v="0.55566835138728998"/>
  </r>
  <r>
    <x v="0"/>
    <s v="2026-08-31 10:13:27"/>
    <n v="5"/>
    <x v="12"/>
    <x v="1"/>
    <x v="2"/>
    <n v="55844"/>
    <n v="0"/>
    <s v="Unnamed ProjectSystem.NumberOutNumber OutSystem"/>
    <n v="10"/>
    <n v="56062.7"/>
    <n v="281.95036994320668"/>
    <n v="0.95"/>
    <n v="201.69514427985661"/>
    <n v="55662"/>
    <n v="56611"/>
  </r>
  <r>
    <x v="0"/>
    <s v="2026-08-31 10:13:27"/>
    <n v="5"/>
    <x v="13"/>
    <x v="2"/>
    <x v="1"/>
    <n v="19495"/>
    <n v="0"/>
    <s v="Unnamed ProjectWORKER.NumberSeizedTotal Number SeizedResource"/>
    <n v="10"/>
    <n v="19616"/>
    <n v="166.31629839288485"/>
    <n v="0.95"/>
    <n v="118.97551263082794"/>
    <n v="19409"/>
    <n v="19915"/>
  </r>
  <r>
    <x v="0"/>
    <s v="2026-08-31 10:13:27"/>
    <n v="5"/>
    <x v="14"/>
    <x v="3"/>
    <x v="1"/>
    <n v="0.814901604024725"/>
    <n v="0"/>
    <s v="Unnamed ProjectWORKER.ScheduledUtilizationScheduled UtilizationResource"/>
    <n v="10"/>
    <n v="0.82030090075893936"/>
    <n v="6.9684713894533476E-3"/>
    <n v="0.95"/>
    <n v="4.9849441325044447E-3"/>
    <n v="0.81151215762737705"/>
    <n v="0.832837691284112"/>
  </r>
  <r>
    <x v="0"/>
    <s v="2026-08-31 10:13:27"/>
    <n v="6"/>
    <x v="0"/>
    <x v="0"/>
    <x v="0"/>
    <n v="19859"/>
    <n v="0"/>
    <s v="Unnamed ProjectEntity 1.NumberInNumber InEntity"/>
    <n v="10"/>
    <n v="19615.599999999999"/>
    <n v="165.97134960254101"/>
    <n v="0.95"/>
    <n v="118.72875113144924"/>
    <n v="19410"/>
    <n v="19914"/>
  </r>
  <r>
    <x v="0"/>
    <s v="2026-08-31 10:13:27"/>
    <n v="6"/>
    <x v="1"/>
    <x v="1"/>
    <x v="0"/>
    <n v="19859"/>
    <n v="0"/>
    <s v="Unnamed ProjectEntity 1.NumberOutNumber OutEntity"/>
    <n v="10"/>
    <n v="19615.599999999999"/>
    <n v="165.97134960254101"/>
    <n v="0.95"/>
    <n v="118.72875113144924"/>
    <n v="19410"/>
    <n v="19914"/>
  </r>
  <r>
    <x v="0"/>
    <s v="2026-08-31 10:13:27"/>
    <n v="6"/>
    <x v="2"/>
    <x v="2"/>
    <x v="1"/>
    <n v="5986"/>
    <n v="0"/>
    <s v="Unnamed ProjectNEWPAINTER.NumberSeizedTotal Number SeizedResource"/>
    <n v="10"/>
    <n v="5893"/>
    <n v="92.348374226199681"/>
    <n v="0.95"/>
    <n v="66.062047257875278"/>
    <n v="5736"/>
    <n v="6053"/>
  </r>
  <r>
    <x v="0"/>
    <s v="2026-08-31 10:13:27"/>
    <n v="6"/>
    <x v="3"/>
    <x v="3"/>
    <x v="1"/>
    <n v="0.53340234367730699"/>
    <n v="0"/>
    <s v="Unnamed ProjectNEWPAINTER.ScheduledUtilizationScheduled UtilizationResource"/>
    <n v="10"/>
    <n v="0.52518723279433455"/>
    <n v="8.4087502405714581E-3"/>
    <n v="0.95"/>
    <n v="6.0152575551752803E-3"/>
    <n v="0.51150896826018899"/>
    <n v="0.54003281556404203"/>
  </r>
  <r>
    <x v="0"/>
    <s v="2026-08-31 10:13:27"/>
    <n v="6"/>
    <x v="4"/>
    <x v="0"/>
    <x v="0"/>
    <n v="17099"/>
    <n v="0"/>
    <s v="Unnamed ProjectNewPart.NumberInNumber InEntity"/>
    <n v="10"/>
    <n v="16948.3"/>
    <n v="183.31033189042506"/>
    <n v="0.95"/>
    <n v="131.13231185359012"/>
    <n v="16656"/>
    <n v="17189"/>
  </r>
  <r>
    <x v="0"/>
    <s v="2026-08-31 10:13:27"/>
    <n v="6"/>
    <x v="5"/>
    <x v="1"/>
    <x v="0"/>
    <n v="17101"/>
    <n v="0"/>
    <s v="Unnamed ProjectNewPart.NumberOutNumber OutEntity"/>
    <n v="10"/>
    <n v="16948.099999999999"/>
    <n v="184.16022613172714"/>
    <n v="0.95"/>
    <n v="131.74028956845027"/>
    <n v="16656"/>
    <n v="17191"/>
  </r>
  <r>
    <x v="0"/>
    <s v="2026-08-31 10:13:27"/>
    <n v="6"/>
    <x v="6"/>
    <x v="0"/>
    <x v="0"/>
    <n v="39514"/>
    <n v="0"/>
    <s v="Unnamed ProjectOldPart.NumberInNumber InEntity"/>
    <n v="10"/>
    <n v="39113.599999999999"/>
    <n v="260.00051282000709"/>
    <n v="0.95"/>
    <n v="185.9931624017064"/>
    <n v="38586"/>
    <n v="39514"/>
  </r>
  <r>
    <x v="0"/>
    <s v="2026-08-31 10:13:27"/>
    <n v="6"/>
    <x v="7"/>
    <x v="1"/>
    <x v="0"/>
    <n v="39510"/>
    <n v="0"/>
    <s v="Unnamed ProjectOldPart.NumberOutNumber OutEntity"/>
    <n v="10"/>
    <n v="39114.6"/>
    <n v="258.98871704295448"/>
    <n v="0.95"/>
    <n v="185.26936730515985"/>
    <n v="38588"/>
    <n v="39510"/>
  </r>
  <r>
    <x v="0"/>
    <s v="2026-08-31 10:13:27"/>
    <n v="6"/>
    <x v="8"/>
    <x v="2"/>
    <x v="1"/>
    <n v="19857"/>
    <n v="0"/>
    <s v="Unnamed ProjectPACKER.NumberSeizedTotal Number SeizedResource"/>
    <n v="10"/>
    <n v="19615.8"/>
    <n v="165.88670832830459"/>
    <n v="0.95"/>
    <n v="118.66820241139406"/>
    <n v="19409"/>
    <n v="19914"/>
  </r>
  <r>
    <x v="0"/>
    <s v="2026-08-31 10:13:27"/>
    <n v="6"/>
    <x v="9"/>
    <x v="3"/>
    <x v="1"/>
    <n v="0.82572369910156995"/>
    <n v="0"/>
    <s v="Unnamed ProjectPACKER.ScheduledUtilizationScheduled UtilizationResource"/>
    <n v="10"/>
    <n v="0.81557194281027567"/>
    <n v="6.9416851287817331E-3"/>
    <n v="0.95"/>
    <n v="4.9657823959478754E-3"/>
    <n v="0.80675605099888203"/>
    <n v="0.82818429749007605"/>
  </r>
  <r>
    <x v="0"/>
    <s v="2026-08-31 10:13:27"/>
    <n v="6"/>
    <x v="10"/>
    <x v="2"/>
    <x v="1"/>
    <n v="13871"/>
    <n v="0"/>
    <s v="Unnamed ProjectPAINTER.NumberSeizedTotal Number SeizedResource"/>
    <n v="10"/>
    <n v="13722.6"/>
    <n v="113.64682133698241"/>
    <n v="0.95"/>
    <n v="81.298038485024648"/>
    <n v="13496"/>
    <n v="13871"/>
  </r>
  <r>
    <x v="0"/>
    <s v="2026-08-31 10:13:27"/>
    <n v="6"/>
    <x v="11"/>
    <x v="3"/>
    <x v="1"/>
    <n v="0.55480881547008698"/>
    <n v="0"/>
    <s v="Unnamed ProjectPAINTER.ScheduledUtilizationScheduled UtilizationResource"/>
    <n v="10"/>
    <n v="0.54938142053560801"/>
    <n v="4.5196387022068685E-3"/>
    <n v="0.95"/>
    <n v="3.2331547581159752E-3"/>
    <n v="0.54030874063430001"/>
    <n v="0.55566835138728998"/>
  </r>
  <r>
    <x v="0"/>
    <s v="2026-08-31 10:13:27"/>
    <n v="6"/>
    <x v="12"/>
    <x v="1"/>
    <x v="2"/>
    <n v="56611"/>
    <n v="0"/>
    <s v="Unnamed ProjectSystem.NumberOutNumber OutSystem"/>
    <n v="10"/>
    <n v="56062.7"/>
    <n v="281.95036994320668"/>
    <n v="0.95"/>
    <n v="201.69514427985661"/>
    <n v="55662"/>
    <n v="56611"/>
  </r>
  <r>
    <x v="0"/>
    <s v="2026-08-31 10:13:27"/>
    <n v="6"/>
    <x v="13"/>
    <x v="2"/>
    <x v="1"/>
    <n v="19858"/>
    <n v="0"/>
    <s v="Unnamed ProjectWORKER.NumberSeizedTotal Number SeizedResource"/>
    <n v="10"/>
    <n v="19616"/>
    <n v="166.31629839288485"/>
    <n v="0.95"/>
    <n v="118.97551263082794"/>
    <n v="19409"/>
    <n v="19915"/>
  </r>
  <r>
    <x v="0"/>
    <s v="2026-08-31 10:13:27"/>
    <n v="6"/>
    <x v="14"/>
    <x v="3"/>
    <x v="1"/>
    <n v="0.83018197609076905"/>
    <n v="0"/>
    <s v="Unnamed ProjectWORKER.ScheduledUtilizationScheduled UtilizationResource"/>
    <n v="10"/>
    <n v="0.82030090075893936"/>
    <n v="6.9684713894533476E-3"/>
    <n v="0.95"/>
    <n v="4.9849441325044447E-3"/>
    <n v="0.81151215762737705"/>
    <n v="0.832837691284112"/>
  </r>
  <r>
    <x v="0"/>
    <s v="2026-08-31 10:13:27"/>
    <n v="7"/>
    <x v="0"/>
    <x v="0"/>
    <x v="0"/>
    <n v="19567"/>
    <n v="0"/>
    <s v="Unnamed ProjectEntity 1.NumberInNumber InEntity"/>
    <n v="10"/>
    <n v="19615.599999999999"/>
    <n v="165.97134960254101"/>
    <n v="0.95"/>
    <n v="118.72875113144924"/>
    <n v="19410"/>
    <n v="19914"/>
  </r>
  <r>
    <x v="0"/>
    <s v="2026-08-31 10:13:27"/>
    <n v="7"/>
    <x v="1"/>
    <x v="1"/>
    <x v="0"/>
    <n v="19567"/>
    <n v="0"/>
    <s v="Unnamed ProjectEntity 1.NumberOutNumber OutEntity"/>
    <n v="10"/>
    <n v="19615.599999999999"/>
    <n v="165.97134960254101"/>
    <n v="0.95"/>
    <n v="118.72875113144924"/>
    <n v="19410"/>
    <n v="19914"/>
  </r>
  <r>
    <x v="0"/>
    <s v="2026-08-31 10:13:27"/>
    <n v="7"/>
    <x v="2"/>
    <x v="2"/>
    <x v="1"/>
    <n v="5935"/>
    <n v="0"/>
    <s v="Unnamed ProjectNEWPAINTER.NumberSeizedTotal Number SeizedResource"/>
    <n v="10"/>
    <n v="5893"/>
    <n v="92.348374226199681"/>
    <n v="0.95"/>
    <n v="66.062047257875278"/>
    <n v="5736"/>
    <n v="6053"/>
  </r>
  <r>
    <x v="0"/>
    <s v="2026-08-31 10:13:27"/>
    <n v="7"/>
    <x v="3"/>
    <x v="3"/>
    <x v="1"/>
    <n v="0.52708130347938897"/>
    <n v="0"/>
    <s v="Unnamed ProjectNEWPAINTER.ScheduledUtilizationScheduled UtilizationResource"/>
    <n v="10"/>
    <n v="0.52518723279433455"/>
    <n v="8.4087502405714581E-3"/>
    <n v="0.95"/>
    <n v="6.0152575551752803E-3"/>
    <n v="0.51150896826018899"/>
    <n v="0.54003281556404203"/>
  </r>
  <r>
    <x v="0"/>
    <s v="2026-08-31 10:13:27"/>
    <n v="7"/>
    <x v="4"/>
    <x v="0"/>
    <x v="0"/>
    <n v="17130"/>
    <n v="0"/>
    <s v="Unnamed ProjectNewPart.NumberInNumber InEntity"/>
    <n v="10"/>
    <n v="16948.3"/>
    <n v="183.31033189042506"/>
    <n v="0.95"/>
    <n v="131.13231185359012"/>
    <n v="16656"/>
    <n v="17189"/>
  </r>
  <r>
    <x v="0"/>
    <s v="2026-08-31 10:13:27"/>
    <n v="7"/>
    <x v="5"/>
    <x v="1"/>
    <x v="0"/>
    <n v="17131"/>
    <n v="0"/>
    <s v="Unnamed ProjectNewPart.NumberOutNumber OutEntity"/>
    <n v="10"/>
    <n v="16948.099999999999"/>
    <n v="184.16022613172714"/>
    <n v="0.95"/>
    <n v="131.74028956845027"/>
    <n v="16656"/>
    <n v="17191"/>
  </r>
  <r>
    <x v="0"/>
    <s v="2026-08-31 10:13:27"/>
    <n v="7"/>
    <x v="6"/>
    <x v="0"/>
    <x v="0"/>
    <n v="38836"/>
    <n v="0"/>
    <s v="Unnamed ProjectOldPart.NumberInNumber InEntity"/>
    <n v="10"/>
    <n v="39113.599999999999"/>
    <n v="260.00051282000709"/>
    <n v="0.95"/>
    <n v="185.9931624017064"/>
    <n v="38586"/>
    <n v="39514"/>
  </r>
  <r>
    <x v="0"/>
    <s v="2026-08-31 10:13:27"/>
    <n v="7"/>
    <x v="7"/>
    <x v="1"/>
    <x v="0"/>
    <n v="38838"/>
    <n v="0"/>
    <s v="Unnamed ProjectOldPart.NumberOutNumber OutEntity"/>
    <n v="10"/>
    <n v="39114.6"/>
    <n v="258.98871704295448"/>
    <n v="0.95"/>
    <n v="185.26936730515985"/>
    <n v="38588"/>
    <n v="39510"/>
  </r>
  <r>
    <x v="0"/>
    <s v="2026-08-31 10:13:27"/>
    <n v="7"/>
    <x v="8"/>
    <x v="2"/>
    <x v="1"/>
    <n v="19570"/>
    <n v="0"/>
    <s v="Unnamed ProjectPACKER.NumberSeizedTotal Number SeizedResource"/>
    <n v="10"/>
    <n v="19615.8"/>
    <n v="165.88670832830459"/>
    <n v="0.95"/>
    <n v="118.66820241139406"/>
    <n v="19409"/>
    <n v="19914"/>
  </r>
  <r>
    <x v="0"/>
    <s v="2026-08-31 10:13:27"/>
    <n v="7"/>
    <x v="9"/>
    <x v="3"/>
    <x v="1"/>
    <n v="0.81393386067525597"/>
    <n v="0"/>
    <s v="Unnamed ProjectPACKER.ScheduledUtilizationScheduled UtilizationResource"/>
    <n v="10"/>
    <n v="0.81557194281027567"/>
    <n v="6.9416851287817331E-3"/>
    <n v="0.95"/>
    <n v="4.9657823959478754E-3"/>
    <n v="0.80675605099888203"/>
    <n v="0.82818429749007605"/>
  </r>
  <r>
    <x v="0"/>
    <s v="2026-08-31 10:13:27"/>
    <n v="7"/>
    <x v="10"/>
    <x v="2"/>
    <x v="1"/>
    <n v="13636"/>
    <n v="0"/>
    <s v="Unnamed ProjectPAINTER.NumberSeizedTotal Number SeizedResource"/>
    <n v="10"/>
    <n v="13722.6"/>
    <n v="113.64682133698241"/>
    <n v="0.95"/>
    <n v="81.298038485024648"/>
    <n v="13496"/>
    <n v="13871"/>
  </r>
  <r>
    <x v="0"/>
    <s v="2026-08-31 10:13:27"/>
    <n v="7"/>
    <x v="11"/>
    <x v="3"/>
    <x v="1"/>
    <n v="0.54549381403427999"/>
    <n v="0"/>
    <s v="Unnamed ProjectPAINTER.ScheduledUtilizationScheduled UtilizationResource"/>
    <n v="10"/>
    <n v="0.54938142053560801"/>
    <n v="4.5196387022068685E-3"/>
    <n v="0.95"/>
    <n v="3.2331547581159752E-3"/>
    <n v="0.54030874063430001"/>
    <n v="0.55566835138728998"/>
  </r>
  <r>
    <x v="0"/>
    <s v="2026-08-31 10:13:27"/>
    <n v="7"/>
    <x v="12"/>
    <x v="1"/>
    <x v="2"/>
    <n v="55969"/>
    <n v="0"/>
    <s v="Unnamed ProjectSystem.NumberOutNumber OutSystem"/>
    <n v="10"/>
    <n v="56062.7"/>
    <n v="281.95036994320668"/>
    <n v="0.95"/>
    <n v="201.69514427985661"/>
    <n v="55662"/>
    <n v="56611"/>
  </r>
  <r>
    <x v="0"/>
    <s v="2026-08-31 10:13:27"/>
    <n v="7"/>
    <x v="13"/>
    <x v="2"/>
    <x v="1"/>
    <n v="19570"/>
    <n v="0"/>
    <s v="Unnamed ProjectWORKER.NumberSeizedTotal Number SeizedResource"/>
    <n v="10"/>
    <n v="19616"/>
    <n v="166.31629839288485"/>
    <n v="0.95"/>
    <n v="118.97551263082794"/>
    <n v="19409"/>
    <n v="19915"/>
  </r>
  <r>
    <x v="0"/>
    <s v="2026-08-31 10:13:27"/>
    <n v="7"/>
    <x v="14"/>
    <x v="3"/>
    <x v="1"/>
    <n v="0.81843938720675102"/>
    <n v="0"/>
    <s v="Unnamed ProjectWORKER.ScheduledUtilizationScheduled UtilizationResource"/>
    <n v="10"/>
    <n v="0.82030090075893936"/>
    <n v="6.9684713894533476E-3"/>
    <n v="0.95"/>
    <n v="4.9849441325044447E-3"/>
    <n v="0.81151215762737705"/>
    <n v="0.832837691284112"/>
  </r>
  <r>
    <x v="0"/>
    <s v="2026-08-31 10:13:27"/>
    <n v="8"/>
    <x v="0"/>
    <x v="0"/>
    <x v="0"/>
    <n v="19692"/>
    <n v="0"/>
    <s v="Unnamed ProjectEntity 1.NumberInNumber InEntity"/>
    <n v="10"/>
    <n v="19615.599999999999"/>
    <n v="165.97134960254101"/>
    <n v="0.95"/>
    <n v="118.72875113144924"/>
    <n v="19410"/>
    <n v="19914"/>
  </r>
  <r>
    <x v="0"/>
    <s v="2026-08-31 10:13:27"/>
    <n v="8"/>
    <x v="1"/>
    <x v="1"/>
    <x v="0"/>
    <n v="19692"/>
    <n v="0"/>
    <s v="Unnamed ProjectEntity 1.NumberOutNumber OutEntity"/>
    <n v="10"/>
    <n v="19615.599999999999"/>
    <n v="165.97134960254101"/>
    <n v="0.95"/>
    <n v="118.72875113144924"/>
    <n v="19410"/>
    <n v="19914"/>
  </r>
  <r>
    <x v="0"/>
    <s v="2026-08-31 10:13:27"/>
    <n v="8"/>
    <x v="2"/>
    <x v="2"/>
    <x v="1"/>
    <n v="5882"/>
    <n v="0"/>
    <s v="Unnamed ProjectNEWPAINTER.NumberSeizedTotal Number SeizedResource"/>
    <n v="10"/>
    <n v="5893"/>
    <n v="92.348374226199681"/>
    <n v="0.95"/>
    <n v="66.062047257875278"/>
    <n v="5736"/>
    <n v="6053"/>
  </r>
  <r>
    <x v="0"/>
    <s v="2026-08-31 10:13:27"/>
    <n v="8"/>
    <x v="3"/>
    <x v="3"/>
    <x v="1"/>
    <n v="0.52474220708409902"/>
    <n v="0"/>
    <s v="Unnamed ProjectNEWPAINTER.ScheduledUtilizationScheduled UtilizationResource"/>
    <n v="10"/>
    <n v="0.52518723279433455"/>
    <n v="8.4087502405714581E-3"/>
    <n v="0.95"/>
    <n v="6.0152575551752803E-3"/>
    <n v="0.51150896826018899"/>
    <n v="0.54003281556404203"/>
  </r>
  <r>
    <x v="0"/>
    <s v="2026-08-31 10:13:27"/>
    <n v="8"/>
    <x v="4"/>
    <x v="0"/>
    <x v="0"/>
    <n v="16910"/>
    <n v="0"/>
    <s v="Unnamed ProjectNewPart.NumberInNumber InEntity"/>
    <n v="10"/>
    <n v="16948.3"/>
    <n v="183.31033189042506"/>
    <n v="0.95"/>
    <n v="131.13231185359012"/>
    <n v="16656"/>
    <n v="17189"/>
  </r>
  <r>
    <x v="0"/>
    <s v="2026-08-31 10:13:27"/>
    <n v="8"/>
    <x v="5"/>
    <x v="1"/>
    <x v="0"/>
    <n v="16909"/>
    <n v="0"/>
    <s v="Unnamed ProjectNewPart.NumberOutNumber OutEntity"/>
    <n v="10"/>
    <n v="16948.099999999999"/>
    <n v="184.16022613172714"/>
    <n v="0.95"/>
    <n v="131.74028956845027"/>
    <n v="16656"/>
    <n v="17191"/>
  </r>
  <r>
    <x v="0"/>
    <s v="2026-08-31 10:13:27"/>
    <n v="8"/>
    <x v="6"/>
    <x v="0"/>
    <x v="0"/>
    <n v="39215"/>
    <n v="0"/>
    <s v="Unnamed ProjectOldPart.NumberInNumber InEntity"/>
    <n v="10"/>
    <n v="39113.599999999999"/>
    <n v="260.00051282000709"/>
    <n v="0.95"/>
    <n v="185.9931624017064"/>
    <n v="38586"/>
    <n v="39514"/>
  </r>
  <r>
    <x v="0"/>
    <s v="2026-08-31 10:13:27"/>
    <n v="8"/>
    <x v="7"/>
    <x v="1"/>
    <x v="0"/>
    <n v="39220"/>
    <n v="0"/>
    <s v="Unnamed ProjectOldPart.NumberOutNumber OutEntity"/>
    <n v="10"/>
    <n v="39114.6"/>
    <n v="258.98871704295448"/>
    <n v="0.95"/>
    <n v="185.26936730515985"/>
    <n v="38588"/>
    <n v="39510"/>
  </r>
  <r>
    <x v="0"/>
    <s v="2026-08-31 10:13:27"/>
    <n v="8"/>
    <x v="8"/>
    <x v="2"/>
    <x v="1"/>
    <n v="19695"/>
    <n v="0"/>
    <s v="Unnamed ProjectPACKER.NumberSeizedTotal Number SeizedResource"/>
    <n v="10"/>
    <n v="19615.8"/>
    <n v="165.88670832830459"/>
    <n v="0.95"/>
    <n v="118.66820241139406"/>
    <n v="19409"/>
    <n v="19914"/>
  </r>
  <r>
    <x v="0"/>
    <s v="2026-08-31 10:13:27"/>
    <n v="8"/>
    <x v="9"/>
    <x v="3"/>
    <x v="1"/>
    <n v="0.81848735620133495"/>
    <n v="0"/>
    <s v="Unnamed ProjectPACKER.ScheduledUtilizationScheduled UtilizationResource"/>
    <n v="10"/>
    <n v="0.81557194281027567"/>
    <n v="6.9416851287817331E-3"/>
    <n v="0.95"/>
    <n v="4.9657823959478754E-3"/>
    <n v="0.80675605099888203"/>
    <n v="0.82818429749007605"/>
  </r>
  <r>
    <x v="0"/>
    <s v="2026-08-31 10:13:27"/>
    <n v="8"/>
    <x v="10"/>
    <x v="2"/>
    <x v="1"/>
    <n v="13812"/>
    <n v="0"/>
    <s v="Unnamed ProjectPAINTER.NumberSeizedTotal Number SeizedResource"/>
    <n v="10"/>
    <n v="13722.6"/>
    <n v="113.64682133698241"/>
    <n v="0.95"/>
    <n v="81.298038485024648"/>
    <n v="13496"/>
    <n v="13871"/>
  </r>
  <r>
    <x v="0"/>
    <s v="2026-08-31 10:13:27"/>
    <n v="8"/>
    <x v="11"/>
    <x v="3"/>
    <x v="1"/>
    <n v="0.55186795556101498"/>
    <n v="0"/>
    <s v="Unnamed ProjectPAINTER.ScheduledUtilizationScheduled UtilizationResource"/>
    <n v="10"/>
    <n v="0.54938142053560801"/>
    <n v="4.5196387022068685E-3"/>
    <n v="0.95"/>
    <n v="3.2331547581159752E-3"/>
    <n v="0.54030874063430001"/>
    <n v="0.55566835138728998"/>
  </r>
  <r>
    <x v="0"/>
    <s v="2026-08-31 10:13:27"/>
    <n v="8"/>
    <x v="12"/>
    <x v="1"/>
    <x v="2"/>
    <n v="56129"/>
    <n v="0"/>
    <s v="Unnamed ProjectSystem.NumberOutNumber OutSystem"/>
    <n v="10"/>
    <n v="56062.7"/>
    <n v="281.95036994320668"/>
    <n v="0.95"/>
    <n v="201.69514427985661"/>
    <n v="55662"/>
    <n v="56611"/>
  </r>
  <r>
    <x v="0"/>
    <s v="2026-08-31 10:13:27"/>
    <n v="8"/>
    <x v="13"/>
    <x v="2"/>
    <x v="1"/>
    <n v="19695"/>
    <n v="0"/>
    <s v="Unnamed ProjectWORKER.NumberSeizedTotal Number SeizedResource"/>
    <n v="10"/>
    <n v="19616"/>
    <n v="166.31629839288485"/>
    <n v="0.95"/>
    <n v="118.97551263082794"/>
    <n v="19409"/>
    <n v="19915"/>
  </r>
  <r>
    <x v="0"/>
    <s v="2026-08-31 10:13:27"/>
    <n v="8"/>
    <x v="14"/>
    <x v="3"/>
    <x v="1"/>
    <n v="0.82389862608839404"/>
    <n v="0"/>
    <s v="Unnamed ProjectWORKER.ScheduledUtilizationScheduled UtilizationResource"/>
    <n v="10"/>
    <n v="0.82030090075893936"/>
    <n v="6.9684713894533476E-3"/>
    <n v="0.95"/>
    <n v="4.9849441325044447E-3"/>
    <n v="0.81151215762737705"/>
    <n v="0.832837691284112"/>
  </r>
  <r>
    <x v="0"/>
    <s v="2026-08-31 10:13:27"/>
    <n v="9"/>
    <x v="0"/>
    <x v="0"/>
    <x v="0"/>
    <n v="19611"/>
    <n v="0"/>
    <s v="Unnamed ProjectEntity 1.NumberInNumber InEntity"/>
    <n v="10"/>
    <n v="19615.599999999999"/>
    <n v="165.97134960254101"/>
    <n v="0.95"/>
    <n v="118.72875113144924"/>
    <n v="19410"/>
    <n v="19914"/>
  </r>
  <r>
    <x v="0"/>
    <s v="2026-08-31 10:13:27"/>
    <n v="9"/>
    <x v="1"/>
    <x v="1"/>
    <x v="0"/>
    <n v="19611"/>
    <n v="0"/>
    <s v="Unnamed ProjectEntity 1.NumberOutNumber OutEntity"/>
    <n v="10"/>
    <n v="19615.599999999999"/>
    <n v="165.97134960254101"/>
    <n v="0.95"/>
    <n v="118.72875113144924"/>
    <n v="19410"/>
    <n v="19914"/>
  </r>
  <r>
    <x v="0"/>
    <s v="2026-08-31 10:13:27"/>
    <n v="9"/>
    <x v="2"/>
    <x v="2"/>
    <x v="1"/>
    <n v="5843"/>
    <n v="0"/>
    <s v="Unnamed ProjectNEWPAINTER.NumberSeizedTotal Number SeizedResource"/>
    <n v="10"/>
    <n v="5893"/>
    <n v="92.348374226199681"/>
    <n v="0.95"/>
    <n v="66.062047257875278"/>
    <n v="5736"/>
    <n v="6053"/>
  </r>
  <r>
    <x v="0"/>
    <s v="2026-08-31 10:13:27"/>
    <n v="9"/>
    <x v="3"/>
    <x v="3"/>
    <x v="1"/>
    <n v="0.52047864599343696"/>
    <n v="0"/>
    <s v="Unnamed ProjectNEWPAINTER.ScheduledUtilizationScheduled UtilizationResource"/>
    <n v="10"/>
    <n v="0.52518723279433455"/>
    <n v="8.4087502405714581E-3"/>
    <n v="0.95"/>
    <n v="6.0152575551752803E-3"/>
    <n v="0.51150896826018899"/>
    <n v="0.54003281556404203"/>
  </r>
  <r>
    <x v="0"/>
    <s v="2026-08-31 10:13:27"/>
    <n v="9"/>
    <x v="4"/>
    <x v="0"/>
    <x v="0"/>
    <n v="16710"/>
    <n v="0"/>
    <s v="Unnamed ProjectNewPart.NumberInNumber InEntity"/>
    <n v="10"/>
    <n v="16948.3"/>
    <n v="183.31033189042506"/>
    <n v="0.95"/>
    <n v="131.13231185359012"/>
    <n v="16656"/>
    <n v="17189"/>
  </r>
  <r>
    <x v="0"/>
    <s v="2026-08-31 10:13:27"/>
    <n v="9"/>
    <x v="5"/>
    <x v="1"/>
    <x v="0"/>
    <n v="16712"/>
    <n v="0"/>
    <s v="Unnamed ProjectNewPart.NumberOutNumber OutEntity"/>
    <n v="10"/>
    <n v="16948.099999999999"/>
    <n v="184.16022613172714"/>
    <n v="0.95"/>
    <n v="131.74028956845027"/>
    <n v="16656"/>
    <n v="17191"/>
  </r>
  <r>
    <x v="0"/>
    <s v="2026-08-31 10:13:27"/>
    <n v="9"/>
    <x v="6"/>
    <x v="0"/>
    <x v="0"/>
    <n v="39253"/>
    <n v="0"/>
    <s v="Unnamed ProjectOldPart.NumberInNumber InEntity"/>
    <n v="10"/>
    <n v="39113.599999999999"/>
    <n v="260.00051282000709"/>
    <n v="0.95"/>
    <n v="185.9931624017064"/>
    <n v="38586"/>
    <n v="39514"/>
  </r>
  <r>
    <x v="0"/>
    <s v="2026-08-31 10:13:27"/>
    <n v="9"/>
    <x v="7"/>
    <x v="1"/>
    <x v="0"/>
    <n v="39259"/>
    <n v="0"/>
    <s v="Unnamed ProjectOldPart.NumberOutNumber OutEntity"/>
    <n v="10"/>
    <n v="39114.6"/>
    <n v="258.98871704295448"/>
    <n v="0.95"/>
    <n v="185.26936730515985"/>
    <n v="38588"/>
    <n v="39510"/>
  </r>
  <r>
    <x v="0"/>
    <s v="2026-08-31 10:13:27"/>
    <n v="9"/>
    <x v="8"/>
    <x v="2"/>
    <x v="1"/>
    <n v="19619"/>
    <n v="0"/>
    <s v="Unnamed ProjectPACKER.NumberSeizedTotal Number SeizedResource"/>
    <n v="10"/>
    <n v="19615.8"/>
    <n v="165.88670832830459"/>
    <n v="0.95"/>
    <n v="118.66820241139406"/>
    <n v="19409"/>
    <n v="19914"/>
  </r>
  <r>
    <x v="0"/>
    <s v="2026-08-31 10:13:27"/>
    <n v="9"/>
    <x v="9"/>
    <x v="3"/>
    <x v="1"/>
    <n v="0.815755455608563"/>
    <n v="0"/>
    <s v="Unnamed ProjectPACKER.ScheduledUtilizationScheduled UtilizationResource"/>
    <n v="10"/>
    <n v="0.81557194281027567"/>
    <n v="6.9416851287817331E-3"/>
    <n v="0.95"/>
    <n v="4.9657823959478754E-3"/>
    <n v="0.80675605099888203"/>
    <n v="0.82818429749007605"/>
  </r>
  <r>
    <x v="0"/>
    <s v="2026-08-31 10:13:27"/>
    <n v="9"/>
    <x v="10"/>
    <x v="2"/>
    <x v="1"/>
    <n v="13774"/>
    <n v="0"/>
    <s v="Unnamed ProjectPAINTER.NumberSeizedTotal Number SeizedResource"/>
    <n v="10"/>
    <n v="13722.6"/>
    <n v="113.64682133698241"/>
    <n v="0.95"/>
    <n v="81.298038485024648"/>
    <n v="13496"/>
    <n v="13871"/>
  </r>
  <r>
    <x v="0"/>
    <s v="2026-08-31 10:13:27"/>
    <n v="9"/>
    <x v="11"/>
    <x v="3"/>
    <x v="1"/>
    <n v="0.55170450646758595"/>
    <n v="0"/>
    <s v="Unnamed ProjectPAINTER.ScheduledUtilizationScheduled UtilizationResource"/>
    <n v="10"/>
    <n v="0.54938142053560801"/>
    <n v="4.5196387022068685E-3"/>
    <n v="0.95"/>
    <n v="3.2331547581159752E-3"/>
    <n v="0.54030874063430001"/>
    <n v="0.55566835138728998"/>
  </r>
  <r>
    <x v="0"/>
    <s v="2026-08-31 10:13:27"/>
    <n v="9"/>
    <x v="12"/>
    <x v="1"/>
    <x v="2"/>
    <n v="55971"/>
    <n v="0"/>
    <s v="Unnamed ProjectSystem.NumberOutNumber OutSystem"/>
    <n v="10"/>
    <n v="56062.7"/>
    <n v="281.95036994320668"/>
    <n v="0.95"/>
    <n v="201.69514427985661"/>
    <n v="55662"/>
    <n v="56611"/>
  </r>
  <r>
    <x v="0"/>
    <s v="2026-08-31 10:13:27"/>
    <n v="9"/>
    <x v="13"/>
    <x v="2"/>
    <x v="1"/>
    <n v="19616"/>
    <n v="0"/>
    <s v="Unnamed ProjectWORKER.NumberSeizedTotal Number SeizedResource"/>
    <n v="10"/>
    <n v="19616"/>
    <n v="166.31629839288485"/>
    <n v="0.95"/>
    <n v="118.97551263082794"/>
    <n v="19409"/>
    <n v="19915"/>
  </r>
  <r>
    <x v="0"/>
    <s v="2026-08-31 10:13:27"/>
    <n v="9"/>
    <x v="14"/>
    <x v="3"/>
    <x v="1"/>
    <n v="0.82044403441360703"/>
    <n v="0"/>
    <s v="Unnamed ProjectWORKER.ScheduledUtilizationScheduled UtilizationResource"/>
    <n v="10"/>
    <n v="0.82030090075893936"/>
    <n v="6.9684713894533476E-3"/>
    <n v="0.95"/>
    <n v="4.9849441325044447E-3"/>
    <n v="0.81151215762737705"/>
    <n v="0.832837691284112"/>
  </r>
  <r>
    <x v="0"/>
    <s v="2026-08-31 10:13:27"/>
    <n v="10"/>
    <x v="0"/>
    <x v="0"/>
    <x v="0"/>
    <n v="19534"/>
    <n v="0"/>
    <s v="Unnamed ProjectEntity 1.NumberInNumber InEntity"/>
    <n v="10"/>
    <n v="19615.599999999999"/>
    <n v="165.97134960254101"/>
    <n v="0.95"/>
    <n v="118.72875113144924"/>
    <n v="19410"/>
    <n v="19914"/>
  </r>
  <r>
    <x v="0"/>
    <s v="2026-08-31 10:13:27"/>
    <n v="10"/>
    <x v="1"/>
    <x v="1"/>
    <x v="0"/>
    <n v="19534"/>
    <n v="0"/>
    <s v="Unnamed ProjectEntity 1.NumberOutNumber OutEntity"/>
    <n v="10"/>
    <n v="19615.599999999999"/>
    <n v="165.97134960254101"/>
    <n v="0.95"/>
    <n v="118.72875113144924"/>
    <n v="19410"/>
    <n v="19914"/>
  </r>
  <r>
    <x v="0"/>
    <s v="2026-08-31 10:13:27"/>
    <n v="10"/>
    <x v="2"/>
    <x v="2"/>
    <x v="1"/>
    <n v="5826"/>
    <n v="0"/>
    <s v="Unnamed ProjectNEWPAINTER.NumberSeizedTotal Number SeizedResource"/>
    <n v="10"/>
    <n v="5893"/>
    <n v="92.348374226199681"/>
    <n v="0.95"/>
    <n v="66.062047257875278"/>
    <n v="5736"/>
    <n v="6053"/>
  </r>
  <r>
    <x v="0"/>
    <s v="2026-08-31 10:13:27"/>
    <n v="10"/>
    <x v="3"/>
    <x v="3"/>
    <x v="1"/>
    <n v="0.518227936737782"/>
    <n v="0"/>
    <s v="Unnamed ProjectNEWPAINTER.ScheduledUtilizationScheduled UtilizationResource"/>
    <n v="10"/>
    <n v="0.52518723279433455"/>
    <n v="8.4087502405714581E-3"/>
    <n v="0.95"/>
    <n v="6.0152575551752803E-3"/>
    <n v="0.51150896826018899"/>
    <n v="0.54003281556404203"/>
  </r>
  <r>
    <x v="0"/>
    <s v="2026-08-31 10:13:27"/>
    <n v="10"/>
    <x v="4"/>
    <x v="0"/>
    <x v="0"/>
    <n v="16796"/>
    <n v="0"/>
    <s v="Unnamed ProjectNewPart.NumberInNumber InEntity"/>
    <n v="10"/>
    <n v="16948.3"/>
    <n v="183.31033189042506"/>
    <n v="0.95"/>
    <n v="131.13231185359012"/>
    <n v="16656"/>
    <n v="17189"/>
  </r>
  <r>
    <x v="0"/>
    <s v="2026-08-31 10:13:27"/>
    <n v="10"/>
    <x v="5"/>
    <x v="1"/>
    <x v="0"/>
    <n v="16789"/>
    <n v="0"/>
    <s v="Unnamed ProjectNewPart.NumberOutNumber OutEntity"/>
    <n v="10"/>
    <n v="16948.099999999999"/>
    <n v="184.16022613172714"/>
    <n v="0.95"/>
    <n v="131.74028956845027"/>
    <n v="16656"/>
    <n v="17191"/>
  </r>
  <r>
    <x v="0"/>
    <s v="2026-08-31 10:13:27"/>
    <n v="10"/>
    <x v="6"/>
    <x v="0"/>
    <x v="0"/>
    <n v="39229"/>
    <n v="0"/>
    <s v="Unnamed ProjectOldPart.NumberInNumber InEntity"/>
    <n v="10"/>
    <n v="39113.599999999999"/>
    <n v="260.00051282000709"/>
    <n v="0.95"/>
    <n v="185.9931624017064"/>
    <n v="38586"/>
    <n v="39514"/>
  </r>
  <r>
    <x v="0"/>
    <s v="2026-08-31 10:13:27"/>
    <n v="10"/>
    <x v="7"/>
    <x v="1"/>
    <x v="0"/>
    <n v="39231"/>
    <n v="0"/>
    <s v="Unnamed ProjectOldPart.NumberOutNumber OutEntity"/>
    <n v="10"/>
    <n v="39114.6"/>
    <n v="258.98871704295448"/>
    <n v="0.95"/>
    <n v="185.26936730515985"/>
    <n v="38588"/>
    <n v="39510"/>
  </r>
  <r>
    <x v="0"/>
    <s v="2026-08-31 10:13:27"/>
    <n v="10"/>
    <x v="8"/>
    <x v="2"/>
    <x v="1"/>
    <n v="19528"/>
    <n v="0"/>
    <s v="Unnamed ProjectPACKER.NumberSeizedTotal Number SeizedResource"/>
    <n v="10"/>
    <n v="19615.8"/>
    <n v="165.88670832830459"/>
    <n v="0.95"/>
    <n v="118.66820241139406"/>
    <n v="19409"/>
    <n v="19914"/>
  </r>
  <r>
    <x v="0"/>
    <s v="2026-08-31 10:13:27"/>
    <n v="10"/>
    <x v="9"/>
    <x v="3"/>
    <x v="1"/>
    <n v="0.81208338471127695"/>
    <n v="0"/>
    <s v="Unnamed ProjectPACKER.ScheduledUtilizationScheduled UtilizationResource"/>
    <n v="10"/>
    <n v="0.81557194281027567"/>
    <n v="6.9416851287817331E-3"/>
    <n v="0.95"/>
    <n v="4.9657823959478754E-3"/>
    <n v="0.80675605099888203"/>
    <n v="0.82818429749007605"/>
  </r>
  <r>
    <x v="0"/>
    <s v="2026-08-31 10:13:27"/>
    <n v="10"/>
    <x v="10"/>
    <x v="2"/>
    <x v="1"/>
    <n v="13703"/>
    <n v="0"/>
    <s v="Unnamed ProjectPAINTER.NumberSeizedTotal Number SeizedResource"/>
    <n v="10"/>
    <n v="13722.6"/>
    <n v="113.64682133698241"/>
    <n v="0.95"/>
    <n v="81.298038485024648"/>
    <n v="13496"/>
    <n v="13871"/>
  </r>
  <r>
    <x v="0"/>
    <s v="2026-08-31 10:13:27"/>
    <n v="10"/>
    <x v="11"/>
    <x v="3"/>
    <x v="1"/>
    <n v="0.548775927036105"/>
    <n v="0"/>
    <s v="Unnamed ProjectPAINTER.ScheduledUtilizationScheduled UtilizationResource"/>
    <n v="10"/>
    <n v="0.54938142053560801"/>
    <n v="4.5196387022068685E-3"/>
    <n v="0.95"/>
    <n v="3.2331547581159752E-3"/>
    <n v="0.54030874063430001"/>
    <n v="0.55566835138728998"/>
  </r>
  <r>
    <x v="0"/>
    <s v="2026-08-31 10:13:27"/>
    <n v="10"/>
    <x v="12"/>
    <x v="1"/>
    <x v="2"/>
    <n v="56020"/>
    <n v="0"/>
    <s v="Unnamed ProjectSystem.NumberOutNumber OutSystem"/>
    <n v="10"/>
    <n v="56062.7"/>
    <n v="281.95036994320668"/>
    <n v="0.95"/>
    <n v="201.69514427985661"/>
    <n v="55662"/>
    <n v="56611"/>
  </r>
  <r>
    <x v="0"/>
    <s v="2026-08-31 10:13:27"/>
    <n v="10"/>
    <x v="13"/>
    <x v="2"/>
    <x v="1"/>
    <n v="19533"/>
    <n v="0"/>
    <s v="Unnamed ProjectWORKER.NumberSeizedTotal Number SeizedResource"/>
    <n v="10"/>
    <n v="19616"/>
    <n v="166.31629839288485"/>
    <n v="0.95"/>
    <n v="118.97551263082794"/>
    <n v="19409"/>
    <n v="19915"/>
  </r>
  <r>
    <x v="0"/>
    <s v="2026-08-31 10:13:27"/>
    <n v="10"/>
    <x v="14"/>
    <x v="3"/>
    <x v="1"/>
    <n v="0.81664794847728694"/>
    <n v="0"/>
    <s v="Unnamed ProjectWORKER.ScheduledUtilizationScheduled UtilizationResource"/>
    <n v="10"/>
    <n v="0.82030090075893936"/>
    <n v="6.9684713894533476E-3"/>
    <n v="0.95"/>
    <n v="4.9849441325044447E-3"/>
    <n v="0.81151215762737705"/>
    <n v="0.83283769128411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0">
  <r>
    <x v="0"/>
    <s v="2026-08-31 10:13:27"/>
    <n v="1"/>
    <x v="0"/>
    <x v="0"/>
    <x v="0"/>
    <n v="2.0725683710067599"/>
    <n v="8.1799714470377396E-3"/>
    <n v="0"/>
    <n v="3"/>
    <n v="2"/>
    <n v="0"/>
    <s v="Unnamed ProjectAGVNumber BusyTransporter"/>
    <n v="10"/>
    <n v="2.078872627125893"/>
    <n v="5.2787009755182E-3"/>
    <n v="0.95"/>
    <n v="3.7761551973910287E-3"/>
    <n v="2.07228794584704"/>
    <n v="2.08892452747873"/>
    <n v="3.7761551973910287E-3"/>
  </r>
  <r>
    <x v="0"/>
    <s v="2026-08-31 10:13:27"/>
    <n v="1"/>
    <x v="0"/>
    <x v="1"/>
    <x v="0"/>
    <n v="3"/>
    <n v="2E+20"/>
    <n v="3"/>
    <n v="3"/>
    <n v="3"/>
    <n v="0"/>
    <s v="Unnamed ProjectAGVNumber ScheduledTransporter"/>
    <n v="10"/>
    <n v="3"/>
    <n v="0"/>
    <n v="0.95"/>
    <n v="0"/>
    <n v="3"/>
    <n v="3"/>
    <n v="0"/>
  </r>
  <r>
    <x v="0"/>
    <s v="2026-08-31 10:13:27"/>
    <n v="1"/>
    <x v="0"/>
    <x v="2"/>
    <x v="0"/>
    <n v="0.69085612366892102"/>
    <n v="2.7266571490126902E-3"/>
    <n v="0"/>
    <n v="1"/>
    <n v="0.66666666666666696"/>
    <n v="0"/>
    <s v="Unnamed ProjectAGVUtilizationTransporter"/>
    <n v="10"/>
    <n v="0.69295754237529772"/>
    <n v="1.759566991837834E-3"/>
    <n v="0.95"/>
    <n v="1.2587183991292225E-3"/>
    <n v="0.69076264861567704"/>
    <n v="0.69630817582623705"/>
    <n v="1.2587183991292225E-3"/>
  </r>
  <r>
    <x v="0"/>
    <s v="2026-08-31 10:13:27"/>
    <n v="1"/>
    <x v="1"/>
    <x v="3"/>
    <x v="1"/>
    <n v="3.0069080543661999E-2"/>
    <n v="2.5027579242656302E-3"/>
    <n v="0"/>
    <n v="4"/>
    <n v="0"/>
    <n v="0"/>
    <s v="Unnamed ProjectEnter Request AGV.QueueNumber WaitingQueue"/>
    <n v="10"/>
    <n v="3.1035047783347335E-2"/>
    <n v="1.214427597616889E-3"/>
    <n v="0.95"/>
    <n v="8.6874916875660508E-4"/>
    <n v="2.9772007867277201E-2"/>
    <n v="3.3809532279706102E-2"/>
    <n v="8.6874916875660508E-4"/>
  </r>
  <r>
    <x v="0"/>
    <s v="2026-08-31 10:13:27"/>
    <n v="1"/>
    <x v="2"/>
    <x v="4"/>
    <x v="2"/>
    <n v="0"/>
    <n v="2E+20"/>
    <n v="0"/>
    <n v="1"/>
    <n v="0"/>
    <n v="0"/>
    <s v="Unnamed ProjectEntity 1WIPEntity"/>
    <n v="10"/>
    <n v="0"/>
    <n v="0"/>
    <n v="0.95"/>
    <n v="0"/>
    <n v="0"/>
    <n v="0"/>
    <n v="0"/>
  </r>
  <r>
    <x v="0"/>
    <s v="2026-08-31 10:13:27"/>
    <n v="1"/>
    <x v="3"/>
    <x v="5"/>
    <x v="3"/>
    <n v="0.53205452108434903"/>
    <n v="1.5759674165700101E-2"/>
    <n v="0"/>
    <n v="1"/>
    <n v="0"/>
    <n v="0"/>
    <s v="Unnamed ProjectNEWPAINTERInstantaneous UtilizationResource"/>
    <n v="10"/>
    <n v="0.52518723279433455"/>
    <n v="8.4087502405714581E-3"/>
    <n v="0.95"/>
    <n v="6.0152575551752803E-3"/>
    <n v="0.51150896826018899"/>
    <n v="0.54003281556404203"/>
    <n v="6.0152575551752803E-3"/>
  </r>
  <r>
    <x v="0"/>
    <s v="2026-08-31 10:13:27"/>
    <n v="1"/>
    <x v="3"/>
    <x v="0"/>
    <x v="3"/>
    <n v="0.53205452108434903"/>
    <n v="1.5759674165700101E-2"/>
    <n v="0"/>
    <n v="1"/>
    <n v="0"/>
    <n v="0"/>
    <s v="Unnamed ProjectNEWPAINTERNumber BusyResource"/>
    <n v="10"/>
    <n v="0.52518723279433455"/>
    <n v="8.4087502405714581E-3"/>
    <n v="0.95"/>
    <n v="6.0152575551752803E-3"/>
    <n v="0.51150896826018899"/>
    <n v="0.54003281556404203"/>
    <n v="6.0152575551752803E-3"/>
  </r>
  <r>
    <x v="0"/>
    <s v="2026-08-31 10:13:27"/>
    <n v="1"/>
    <x v="3"/>
    <x v="1"/>
    <x v="3"/>
    <n v="1"/>
    <n v="2E+20"/>
    <n v="1"/>
    <n v="1"/>
    <n v="1"/>
    <n v="0"/>
    <s v="Unnamed ProjectNEWPAINTERNumber ScheduledResource"/>
    <n v="10"/>
    <n v="1"/>
    <n v="0"/>
    <n v="0.95"/>
    <n v="0"/>
    <n v="1"/>
    <n v="1"/>
    <n v="0"/>
  </r>
  <r>
    <x v="0"/>
    <s v="2026-08-31 10:13:27"/>
    <n v="1"/>
    <x v="4"/>
    <x v="3"/>
    <x v="1"/>
    <n v="0.21133026885741399"/>
    <n v="2.9794064363799701E-2"/>
    <n v="0"/>
    <n v="6"/>
    <n v="0"/>
    <n v="0"/>
    <s v="Unnamed ProjectNewPaintQNumber WaitingQueue"/>
    <n v="10"/>
    <n v="0.19175082727765341"/>
    <n v="1.5966644693782381E-2"/>
    <n v="0.95"/>
    <n v="1.1421849546877095E-2"/>
    <n v="0.17015628683515099"/>
    <n v="0.217869952503708"/>
    <n v="1.1421849546877095E-2"/>
  </r>
  <r>
    <x v="0"/>
    <s v="2026-08-31 10:13:27"/>
    <n v="1"/>
    <x v="5"/>
    <x v="3"/>
    <x v="1"/>
    <n v="5.0878342070728201E-3"/>
    <n v="3.7763241281279798E-4"/>
    <n v="0"/>
    <n v="1"/>
    <n v="0"/>
    <n v="0"/>
    <s v="Unnamed ProjectNewPaintReqQNumber WaitingQueue"/>
    <n v="10"/>
    <n v="4.7461022101932173E-3"/>
    <n v="2.0643575159293872E-4"/>
    <n v="0.95"/>
    <n v="1.4767524054125336E-4"/>
    <n v="4.3438456155572196E-3"/>
    <n v="5.0878342070728201E-3"/>
    <n v="1.4767524054125336E-4"/>
  </r>
  <r>
    <x v="0"/>
    <s v="2026-08-31 10:13:27"/>
    <n v="1"/>
    <x v="6"/>
    <x v="4"/>
    <x v="2"/>
    <n v="2.5955101754668202"/>
    <n v="0.122409400767113"/>
    <n v="0"/>
    <n v="13"/>
    <n v="2"/>
    <n v="0"/>
    <s v="Unnamed ProjectNewPartWIPEntity"/>
    <n v="10"/>
    <n v="2.5498900061729541"/>
    <n v="7.472159430415927E-2"/>
    <n v="0.95"/>
    <n v="5.3452608510618609E-2"/>
    <n v="2.4192292508998099"/>
    <n v="2.6620431560013098"/>
    <n v="5.3452608510618609E-2"/>
  </r>
  <r>
    <x v="0"/>
    <s v="2026-08-31 10:13:27"/>
    <n v="1"/>
    <x v="7"/>
    <x v="4"/>
    <x v="2"/>
    <n v="4.8605240260060798"/>
    <n v="0.20316366023111199"/>
    <n v="0"/>
    <n v="21"/>
    <n v="2"/>
    <n v="0"/>
    <s v="Unnamed ProjectOldPartWIPEntity"/>
    <n v="10"/>
    <n v="4.9513834264802963"/>
    <n v="0.10244397191297382"/>
    <n v="0.95"/>
    <n v="7.3284002783010616E-2"/>
    <n v="4.82855853416822"/>
    <n v="5.1212851674768203"/>
    <n v="7.3284002783010616E-2"/>
  </r>
  <r>
    <x v="0"/>
    <s v="2026-08-31 10:13:27"/>
    <n v="1"/>
    <x v="8"/>
    <x v="5"/>
    <x v="3"/>
    <n v="0.80873375252706603"/>
    <n v="9.6080621882753698E-3"/>
    <n v="0"/>
    <n v="1"/>
    <n v="0"/>
    <n v="0"/>
    <s v="Unnamed ProjectPACKERInstantaneous UtilizationResource"/>
    <n v="10"/>
    <n v="0.81557194281027567"/>
    <n v="6.9416851287817331E-3"/>
    <n v="0.95"/>
    <n v="4.9657823959478754E-3"/>
    <n v="0.80675605099888203"/>
    <n v="0.82818429749007605"/>
    <n v="4.9657823959478754E-3"/>
  </r>
  <r>
    <x v="0"/>
    <s v="2026-08-31 10:13:27"/>
    <n v="1"/>
    <x v="8"/>
    <x v="0"/>
    <x v="3"/>
    <n v="0.80873375252706603"/>
    <n v="9.6080621882753698E-3"/>
    <n v="0"/>
    <n v="1"/>
    <n v="0"/>
    <n v="0"/>
    <s v="Unnamed ProjectPACKERNumber BusyResource"/>
    <n v="10"/>
    <n v="0.81557194281027567"/>
    <n v="6.9416851287817331E-3"/>
    <n v="0.95"/>
    <n v="4.9657823959478754E-3"/>
    <n v="0.80675605099888203"/>
    <n v="0.82818429749007605"/>
    <n v="4.9657823959478754E-3"/>
  </r>
  <r>
    <x v="0"/>
    <s v="2026-08-31 10:13:27"/>
    <n v="1"/>
    <x v="8"/>
    <x v="1"/>
    <x v="3"/>
    <n v="1"/>
    <n v="2E+20"/>
    <n v="1"/>
    <n v="1"/>
    <n v="1"/>
    <n v="0"/>
    <s v="Unnamed ProjectPACKERNumber ScheduledResource"/>
    <n v="10"/>
    <n v="1"/>
    <n v="0"/>
    <n v="0.95"/>
    <n v="0"/>
    <n v="1"/>
    <n v="1"/>
    <n v="0"/>
  </r>
  <r>
    <x v="0"/>
    <s v="2026-08-31 10:13:27"/>
    <n v="1"/>
    <x v="9"/>
    <x v="5"/>
    <x v="3"/>
    <n v="0.54030874063430001"/>
    <n v="6.6691131181322904E-3"/>
    <n v="0"/>
    <n v="1"/>
    <n v="0"/>
    <n v="0"/>
    <s v="Unnamed ProjectPAINTERInstantaneous UtilizationResource"/>
    <n v="10"/>
    <n v="0.54938142053560801"/>
    <n v="4.5196387022068685E-3"/>
    <n v="0.95"/>
    <n v="3.2331547581159752E-3"/>
    <n v="0.54030874063430001"/>
    <n v="0.55566835138728998"/>
    <n v="3.2331547581159752E-3"/>
  </r>
  <r>
    <x v="0"/>
    <s v="2026-08-31 10:13:27"/>
    <n v="1"/>
    <x v="9"/>
    <x v="0"/>
    <x v="3"/>
    <n v="0.54030874063430001"/>
    <n v="6.6691131181322904E-3"/>
    <n v="0"/>
    <n v="1"/>
    <n v="0"/>
    <n v="0"/>
    <s v="Unnamed ProjectPAINTERNumber BusyResource"/>
    <n v="10"/>
    <n v="0.54938142053560801"/>
    <n v="4.5196387022068685E-3"/>
    <n v="0.95"/>
    <n v="3.2331547581159752E-3"/>
    <n v="0.54030874063430001"/>
    <n v="0.55566835138728998"/>
    <n v="3.2331547581159752E-3"/>
  </r>
  <r>
    <x v="0"/>
    <s v="2026-08-31 10:13:27"/>
    <n v="1"/>
    <x v="9"/>
    <x v="1"/>
    <x v="3"/>
    <n v="1"/>
    <n v="2E+20"/>
    <n v="1"/>
    <n v="1"/>
    <n v="1"/>
    <n v="0"/>
    <s v="Unnamed ProjectPAINTERNumber ScheduledResource"/>
    <n v="10"/>
    <n v="1"/>
    <n v="0"/>
    <n v="0.95"/>
    <n v="0"/>
    <n v="1"/>
    <n v="1"/>
    <n v="0"/>
  </r>
  <r>
    <x v="0"/>
    <s v="2026-08-31 10:13:27"/>
    <n v="1"/>
    <x v="10"/>
    <x v="3"/>
    <x v="1"/>
    <n v="0.57130879276409996"/>
    <n v="4.7255334919193002E-2"/>
    <n v="0"/>
    <n v="6"/>
    <n v="0"/>
    <n v="0"/>
    <s v="Unnamed ProjectPackQNumber WaitingQueue"/>
    <n v="10"/>
    <n v="0.5830563488318371"/>
    <n v="3.7349781067397253E-2"/>
    <n v="0.95"/>
    <n v="2.6718423823055008E-2"/>
    <n v="0.51031500523829298"/>
    <n v="0.63800950130876"/>
    <n v="2.6718423823055008E-2"/>
  </r>
  <r>
    <x v="0"/>
    <s v="2026-08-31 10:13:27"/>
    <n v="1"/>
    <x v="11"/>
    <x v="3"/>
    <x v="1"/>
    <n v="1.45212185366097E-2"/>
    <n v="9.1523927534176998E-4"/>
    <n v="0"/>
    <n v="1"/>
    <n v="0"/>
    <n v="0"/>
    <s v="Unnamed ProjectPackReqQNumber WaitingQueue"/>
    <n v="10"/>
    <n v="1.5083245089254998E-2"/>
    <n v="5.836712228493759E-4"/>
    <n v="0.95"/>
    <n v="4.1753324008164384E-4"/>
    <n v="1.41054163109371E-2"/>
    <n v="1.6052913612351699E-2"/>
    <n v="4.1753324008164384E-4"/>
  </r>
  <r>
    <x v="0"/>
    <s v="2026-08-31 10:13:27"/>
    <n v="1"/>
    <x v="12"/>
    <x v="3"/>
    <x v="1"/>
    <n v="6.05919548276165E-2"/>
    <n v="3.5224130237383401E-3"/>
    <n v="0"/>
    <n v="2"/>
    <n v="0"/>
    <n v="0"/>
    <s v="Unnamed ProjectPaintQNumber WaitingQueue"/>
    <n v="10"/>
    <n v="6.2655374167183184E-2"/>
    <n v="1.297076259729802E-3"/>
    <n v="0.95"/>
    <n v="9.2787245996831338E-4"/>
    <n v="6.05919548276165E-2"/>
    <n v="6.4938397569822504E-2"/>
    <n v="9.2787245996831338E-4"/>
  </r>
  <r>
    <x v="0"/>
    <s v="2026-08-31 10:13:27"/>
    <n v="1"/>
    <x v="13"/>
    <x v="3"/>
    <x v="1"/>
    <n v="1.2132621095212501E-2"/>
    <n v="6.4520762144127904E-4"/>
    <n v="0"/>
    <n v="1"/>
    <n v="0"/>
    <n v="0"/>
    <s v="Unnamed ProjectPaintReqQNumber WaitingQueue"/>
    <n v="10"/>
    <n v="1.232491804183645E-2"/>
    <n v="4.2846031814523761E-4"/>
    <n v="0.95"/>
    <n v="3.0650204751958381E-4"/>
    <n v="1.1842209288638999E-2"/>
    <n v="1.30420022653657E-2"/>
    <n v="3.0650204751958381E-4"/>
  </r>
  <r>
    <x v="0"/>
    <s v="2026-08-31 10:13:27"/>
    <n v="1"/>
    <x v="14"/>
    <x v="5"/>
    <x v="3"/>
    <n v="0.81352170871654805"/>
    <n v="9.5250452292156805E-3"/>
    <n v="0"/>
    <n v="1"/>
    <n v="1"/>
    <n v="0"/>
    <s v="Unnamed ProjectWORKERInstantaneous UtilizationResource"/>
    <n v="10"/>
    <n v="0.82030090075893936"/>
    <n v="6.9684713894533476E-3"/>
    <n v="0.95"/>
    <n v="4.9849441325044447E-3"/>
    <n v="0.81151215762737705"/>
    <n v="0.832837691284112"/>
    <n v="4.9849441325044447E-3"/>
  </r>
  <r>
    <x v="0"/>
    <s v="2026-08-31 10:13:27"/>
    <n v="1"/>
    <x v="14"/>
    <x v="0"/>
    <x v="3"/>
    <n v="0.81352170871654805"/>
    <n v="9.5250452292156805E-3"/>
    <n v="0"/>
    <n v="1"/>
    <n v="1"/>
    <n v="0"/>
    <s v="Unnamed ProjectWORKERNumber BusyResource"/>
    <n v="10"/>
    <n v="0.82030090075893936"/>
    <n v="6.9684713894533476E-3"/>
    <n v="0.95"/>
    <n v="4.9849441325044447E-3"/>
    <n v="0.81151215762737705"/>
    <n v="0.832837691284112"/>
    <n v="4.9849441325044447E-3"/>
  </r>
  <r>
    <x v="0"/>
    <s v="2026-08-31 10:13:27"/>
    <n v="1"/>
    <x v="14"/>
    <x v="1"/>
    <x v="3"/>
    <n v="1"/>
    <n v="2E+20"/>
    <n v="1"/>
    <n v="1"/>
    <n v="1"/>
    <n v="0"/>
    <s v="Unnamed ProjectWORKERNumber ScheduledResource"/>
    <n v="10"/>
    <n v="1"/>
    <n v="0"/>
    <n v="0.95"/>
    <n v="0"/>
    <n v="1"/>
    <n v="1"/>
    <n v="0"/>
  </r>
  <r>
    <x v="0"/>
    <s v="2026-08-31 10:13:27"/>
    <n v="1"/>
    <x v="15"/>
    <x v="3"/>
    <x v="1"/>
    <n v="1.77118683588699"/>
    <n v="0.219926628109923"/>
    <n v="0"/>
    <n v="18"/>
    <n v="1"/>
    <n v="0"/>
    <s v="Unnamed ProjectWorkStationQNumber WaitingQueue"/>
    <n v="10"/>
    <n v="1.7984099951452888"/>
    <n v="9.41481017902569E-2"/>
    <n v="0.95"/>
    <n v="6.7349494799689366E-2"/>
    <n v="1.6808414073062801"/>
    <n v="1.96303981301246"/>
    <n v="6.7349494799689366E-2"/>
  </r>
  <r>
    <x v="0"/>
    <s v="2026-08-31 10:13:27"/>
    <n v="1"/>
    <x v="16"/>
    <x v="3"/>
    <x v="1"/>
    <n v="1.26185007852198E-2"/>
    <n v="7.7944160478668695E-4"/>
    <n v="0"/>
    <n v="1"/>
    <n v="0"/>
    <n v="0"/>
    <s v="Unnamed ProjectWorkStationReqQNumber WaitingQueue"/>
    <n v="10"/>
    <n v="1.2897450081583859E-2"/>
    <n v="4.2374090710035878E-4"/>
    <n v="0.95"/>
    <n v="3.0312598423651549E-4"/>
    <n v="1.2232643269307701E-2"/>
    <n v="1.34073753437328E-2"/>
    <n v="3.0312598423651549E-4"/>
  </r>
  <r>
    <x v="0"/>
    <s v="2026-08-31 10:13:27"/>
    <n v="1"/>
    <x v="17"/>
    <x v="6"/>
    <x v="4"/>
    <n v="0.67299420177859204"/>
    <n v="1.2869514794874E-2"/>
    <n v="0"/>
    <n v="6"/>
    <n v="1"/>
    <n v="0"/>
    <s v="Unnamed ProjectvNumWaitingRequestsVariableUser Specified"/>
    <n v="10"/>
    <n v="0.67697821611736619"/>
    <n v="6.3714899668086428E-3"/>
    <n v="0.95"/>
    <n v="4.5578893490793634E-3"/>
    <n v="0.66877542384053201"/>
    <n v="0.69059318471793496"/>
    <n v="4.5578893490793634E-3"/>
  </r>
  <r>
    <x v="0"/>
    <s v="2026-08-31 10:13:27"/>
    <n v="2"/>
    <x v="0"/>
    <x v="0"/>
    <x v="0"/>
    <n v="2.0777177110846301"/>
    <n v="1.00100819685116E-2"/>
    <n v="0"/>
    <n v="3"/>
    <n v="2"/>
    <n v="0"/>
    <s v="Unnamed ProjectAGVNumber BusyTransporter"/>
    <n v="10"/>
    <n v="2.078872627125893"/>
    <n v="5.2787009755182E-3"/>
    <n v="0.95"/>
    <n v="3.7761551973910287E-3"/>
    <n v="2.07228794584704"/>
    <n v="2.08892452747873"/>
    <n v="3.7761551973910287E-3"/>
  </r>
  <r>
    <x v="0"/>
    <s v="2026-08-31 10:13:27"/>
    <n v="2"/>
    <x v="0"/>
    <x v="1"/>
    <x v="0"/>
    <n v="3"/>
    <n v="2E+20"/>
    <n v="3"/>
    <n v="3"/>
    <n v="3"/>
    <n v="0"/>
    <s v="Unnamed ProjectAGVNumber ScheduledTransporter"/>
    <n v="10"/>
    <n v="3"/>
    <n v="0"/>
    <n v="0.95"/>
    <n v="0"/>
    <n v="3"/>
    <n v="3"/>
    <n v="0"/>
  </r>
  <r>
    <x v="0"/>
    <s v="2026-08-31 10:13:27"/>
    <n v="2"/>
    <x v="0"/>
    <x v="2"/>
    <x v="0"/>
    <n v="0.69257257036155095"/>
    <n v="3.3366939895038898E-3"/>
    <n v="0"/>
    <n v="1"/>
    <n v="0.66666666666666696"/>
    <n v="0"/>
    <s v="Unnamed ProjectAGVUtilizationTransporter"/>
    <n v="10"/>
    <n v="0.69295754237529772"/>
    <n v="1.759566991837834E-3"/>
    <n v="0.95"/>
    <n v="1.2587183991292225E-3"/>
    <n v="0.69076264861567704"/>
    <n v="0.69630817582623705"/>
    <n v="1.2587183991292225E-3"/>
  </r>
  <r>
    <x v="0"/>
    <s v="2026-08-31 10:13:27"/>
    <n v="2"/>
    <x v="1"/>
    <x v="3"/>
    <x v="1"/>
    <n v="3.1873960157486003E-2"/>
    <n v="3E+20"/>
    <n v="0"/>
    <n v="4"/>
    <n v="0"/>
    <n v="0"/>
    <s v="Unnamed ProjectEnter Request AGV.QueueNumber WaitingQueue"/>
    <n v="10"/>
    <n v="3.1035047783347335E-2"/>
    <n v="1.214427597616889E-3"/>
    <n v="0.95"/>
    <n v="8.6874916875660508E-4"/>
    <n v="2.9772007867277201E-2"/>
    <n v="3.3809532279706102E-2"/>
    <n v="8.6874916875660508E-4"/>
  </r>
  <r>
    <x v="0"/>
    <s v="2026-08-31 10:13:27"/>
    <n v="2"/>
    <x v="2"/>
    <x v="4"/>
    <x v="2"/>
    <n v="0"/>
    <n v="2E+20"/>
    <n v="0"/>
    <n v="1"/>
    <n v="0"/>
    <n v="0"/>
    <s v="Unnamed ProjectEntity 1WIPEntity"/>
    <n v="10"/>
    <n v="0"/>
    <n v="0"/>
    <n v="0.95"/>
    <n v="0"/>
    <n v="0"/>
    <n v="0"/>
    <n v="0"/>
  </r>
  <r>
    <x v="0"/>
    <s v="2026-08-31 10:13:27"/>
    <n v="2"/>
    <x v="3"/>
    <x v="5"/>
    <x v="3"/>
    <n v="0.52546237694032205"/>
    <n v="1.48794592855653E-2"/>
    <n v="0"/>
    <n v="1"/>
    <n v="1"/>
    <n v="0"/>
    <s v="Unnamed ProjectNEWPAINTERInstantaneous UtilizationResource"/>
    <n v="10"/>
    <n v="0.52518723279433455"/>
    <n v="8.4087502405714581E-3"/>
    <n v="0.95"/>
    <n v="6.0152575551752803E-3"/>
    <n v="0.51150896826018899"/>
    <n v="0.54003281556404203"/>
    <n v="6.0152575551752803E-3"/>
  </r>
  <r>
    <x v="0"/>
    <s v="2026-08-31 10:13:27"/>
    <n v="2"/>
    <x v="3"/>
    <x v="0"/>
    <x v="3"/>
    <n v="0.52546237694032205"/>
    <n v="1.48794592855653E-2"/>
    <n v="0"/>
    <n v="1"/>
    <n v="1"/>
    <n v="0"/>
    <s v="Unnamed ProjectNEWPAINTERNumber BusyResource"/>
    <n v="10"/>
    <n v="0.52518723279433455"/>
    <n v="8.4087502405714581E-3"/>
    <n v="0.95"/>
    <n v="6.0152575551752803E-3"/>
    <n v="0.51150896826018899"/>
    <n v="0.54003281556404203"/>
    <n v="6.0152575551752803E-3"/>
  </r>
  <r>
    <x v="0"/>
    <s v="2026-08-31 10:13:27"/>
    <n v="2"/>
    <x v="3"/>
    <x v="1"/>
    <x v="3"/>
    <n v="1"/>
    <n v="2E+20"/>
    <n v="1"/>
    <n v="1"/>
    <n v="1"/>
    <n v="0"/>
    <s v="Unnamed ProjectNEWPAINTERNumber ScheduledResource"/>
    <n v="10"/>
    <n v="1"/>
    <n v="0"/>
    <n v="0.95"/>
    <n v="0"/>
    <n v="1"/>
    <n v="1"/>
    <n v="0"/>
  </r>
  <r>
    <x v="0"/>
    <s v="2026-08-31 10:13:27"/>
    <n v="2"/>
    <x v="4"/>
    <x v="3"/>
    <x v="1"/>
    <n v="0.18486927804829001"/>
    <n v="2.0142246007519401E-2"/>
    <n v="0"/>
    <n v="5"/>
    <n v="1"/>
    <n v="0"/>
    <s v="Unnamed ProjectNewPaintQNumber WaitingQueue"/>
    <n v="10"/>
    <n v="0.19175082727765341"/>
    <n v="1.5966644693782381E-2"/>
    <n v="0.95"/>
    <n v="1.1421849546877095E-2"/>
    <n v="0.17015628683515099"/>
    <n v="0.217869952503708"/>
    <n v="1.1421849546877095E-2"/>
  </r>
  <r>
    <x v="0"/>
    <s v="2026-08-31 10:13:27"/>
    <n v="2"/>
    <x v="5"/>
    <x v="3"/>
    <x v="1"/>
    <n v="4.77627187882984E-3"/>
    <n v="4.3317423888514402E-4"/>
    <n v="0"/>
    <n v="1"/>
    <n v="0"/>
    <n v="0"/>
    <s v="Unnamed ProjectNewPaintReqQNumber WaitingQueue"/>
    <n v="10"/>
    <n v="4.7461022101932173E-3"/>
    <n v="2.0643575159293872E-4"/>
    <n v="0.95"/>
    <n v="1.4767524054125336E-4"/>
    <n v="4.3438456155572196E-3"/>
    <n v="5.0878342070728201E-3"/>
    <n v="1.4767524054125336E-4"/>
  </r>
  <r>
    <x v="0"/>
    <s v="2026-08-31 10:13:27"/>
    <n v="2"/>
    <x v="6"/>
    <x v="4"/>
    <x v="2"/>
    <n v="2.5543067505235699"/>
    <n v="0.122884152043677"/>
    <n v="0"/>
    <n v="12"/>
    <n v="6"/>
    <n v="0"/>
    <s v="Unnamed ProjectNewPartWIPEntity"/>
    <n v="10"/>
    <n v="2.5498900061729541"/>
    <n v="7.472159430415927E-2"/>
    <n v="0.95"/>
    <n v="5.3452608510618609E-2"/>
    <n v="2.4192292508998099"/>
    <n v="2.6620431560013098"/>
    <n v="5.3452608510618609E-2"/>
  </r>
  <r>
    <x v="0"/>
    <s v="2026-08-31 10:13:27"/>
    <n v="2"/>
    <x v="7"/>
    <x v="4"/>
    <x v="2"/>
    <n v="4.9281142216463296"/>
    <n v="0.18380791862376999"/>
    <n v="0"/>
    <n v="19"/>
    <n v="5"/>
    <n v="0"/>
    <s v="Unnamed ProjectOldPartWIPEntity"/>
    <n v="10"/>
    <n v="4.9513834264802963"/>
    <n v="0.10244397191297382"/>
    <n v="0.95"/>
    <n v="7.3284002783010616E-2"/>
    <n v="4.82855853416822"/>
    <n v="5.1212851674768203"/>
    <n v="7.3284002783010616E-2"/>
  </r>
  <r>
    <x v="0"/>
    <s v="2026-08-31 10:13:27"/>
    <n v="2"/>
    <x v="8"/>
    <x v="5"/>
    <x v="3"/>
    <n v="0.81535143894389805"/>
    <n v="1.10605756123923E-2"/>
    <n v="0"/>
    <n v="1"/>
    <n v="1"/>
    <n v="0"/>
    <s v="Unnamed ProjectPACKERInstantaneous UtilizationResource"/>
    <n v="10"/>
    <n v="0.81557194281027567"/>
    <n v="6.9416851287817331E-3"/>
    <n v="0.95"/>
    <n v="4.9657823959478754E-3"/>
    <n v="0.80675605099888203"/>
    <n v="0.82818429749007605"/>
    <n v="4.9657823959478754E-3"/>
  </r>
  <r>
    <x v="0"/>
    <s v="2026-08-31 10:13:27"/>
    <n v="2"/>
    <x v="8"/>
    <x v="0"/>
    <x v="3"/>
    <n v="0.81535143894389805"/>
    <n v="1.10605756123923E-2"/>
    <n v="0"/>
    <n v="1"/>
    <n v="1"/>
    <n v="0"/>
    <s v="Unnamed ProjectPACKERNumber BusyResource"/>
    <n v="10"/>
    <n v="0.81557194281027567"/>
    <n v="6.9416851287817331E-3"/>
    <n v="0.95"/>
    <n v="4.9657823959478754E-3"/>
    <n v="0.80675605099888203"/>
    <n v="0.82818429749007605"/>
    <n v="4.9657823959478754E-3"/>
  </r>
  <r>
    <x v="0"/>
    <s v="2026-08-31 10:13:27"/>
    <n v="2"/>
    <x v="8"/>
    <x v="1"/>
    <x v="3"/>
    <n v="1"/>
    <n v="2E+20"/>
    <n v="1"/>
    <n v="1"/>
    <n v="1"/>
    <n v="0"/>
    <s v="Unnamed ProjectPACKERNumber ScheduledResource"/>
    <n v="10"/>
    <n v="1"/>
    <n v="0"/>
    <n v="0.95"/>
    <n v="0"/>
    <n v="1"/>
    <n v="1"/>
    <n v="0"/>
  </r>
  <r>
    <x v="0"/>
    <s v="2026-08-31 10:13:27"/>
    <n v="2"/>
    <x v="9"/>
    <x v="5"/>
    <x v="3"/>
    <n v="0.54952995359370704"/>
    <n v="7.3426992012372398E-3"/>
    <n v="0"/>
    <n v="1"/>
    <n v="1"/>
    <n v="0"/>
    <s v="Unnamed ProjectPAINTERInstantaneous UtilizationResource"/>
    <n v="10"/>
    <n v="0.54938142053560801"/>
    <n v="4.5196387022068685E-3"/>
    <n v="0.95"/>
    <n v="3.2331547581159752E-3"/>
    <n v="0.54030874063430001"/>
    <n v="0.55566835138728998"/>
    <n v="3.2331547581159752E-3"/>
  </r>
  <r>
    <x v="0"/>
    <s v="2026-08-31 10:13:27"/>
    <n v="2"/>
    <x v="9"/>
    <x v="0"/>
    <x v="3"/>
    <n v="0.54952995359370704"/>
    <n v="7.3426992012372398E-3"/>
    <n v="0"/>
    <n v="1"/>
    <n v="1"/>
    <n v="0"/>
    <s v="Unnamed ProjectPAINTERNumber BusyResource"/>
    <n v="10"/>
    <n v="0.54938142053560801"/>
    <n v="4.5196387022068685E-3"/>
    <n v="0.95"/>
    <n v="3.2331547581159752E-3"/>
    <n v="0.54030874063430001"/>
    <n v="0.55566835138728998"/>
    <n v="3.2331547581159752E-3"/>
  </r>
  <r>
    <x v="0"/>
    <s v="2026-08-31 10:13:27"/>
    <n v="2"/>
    <x v="9"/>
    <x v="1"/>
    <x v="3"/>
    <n v="1"/>
    <n v="2E+20"/>
    <n v="1"/>
    <n v="1"/>
    <n v="1"/>
    <n v="0"/>
    <s v="Unnamed ProjectPAINTERNumber ScheduledResource"/>
    <n v="10"/>
    <n v="1"/>
    <n v="0"/>
    <n v="0.95"/>
    <n v="0"/>
    <n v="1"/>
    <n v="1"/>
    <n v="0"/>
  </r>
  <r>
    <x v="0"/>
    <s v="2026-08-31 10:13:27"/>
    <n v="2"/>
    <x v="10"/>
    <x v="3"/>
    <x v="1"/>
    <n v="0.57231546081115303"/>
    <n v="4.6295326065614699E-2"/>
    <n v="0"/>
    <n v="6"/>
    <n v="0"/>
    <n v="0"/>
    <s v="Unnamed ProjectPackQNumber WaitingQueue"/>
    <n v="10"/>
    <n v="0.5830563488318371"/>
    <n v="3.7349781067397253E-2"/>
    <n v="0.95"/>
    <n v="2.6718423823055008E-2"/>
    <n v="0.51031500523829298"/>
    <n v="0.63800950130876"/>
    <n v="2.6718423823055008E-2"/>
  </r>
  <r>
    <x v="0"/>
    <s v="2026-08-31 10:13:27"/>
    <n v="2"/>
    <x v="11"/>
    <x v="3"/>
    <x v="1"/>
    <n v="1.5173342107537799E-2"/>
    <n v="1.09848106016786E-3"/>
    <n v="0"/>
    <n v="1"/>
    <n v="0"/>
    <n v="0"/>
    <s v="Unnamed ProjectPackReqQNumber WaitingQueue"/>
    <n v="10"/>
    <n v="1.5083245089254998E-2"/>
    <n v="5.836712228493759E-4"/>
    <n v="0.95"/>
    <n v="4.1753324008164384E-4"/>
    <n v="1.41054163109371E-2"/>
    <n v="1.6052913612351699E-2"/>
    <n v="4.1753324008164384E-4"/>
  </r>
  <r>
    <x v="0"/>
    <s v="2026-08-31 10:13:27"/>
    <n v="2"/>
    <x v="12"/>
    <x v="3"/>
    <x v="1"/>
    <n v="6.2670383448837505E-2"/>
    <n v="4.3458227901772102E-3"/>
    <n v="0"/>
    <n v="2"/>
    <n v="0"/>
    <n v="0"/>
    <s v="Unnamed ProjectPaintQNumber WaitingQueue"/>
    <n v="10"/>
    <n v="6.2655374167183184E-2"/>
    <n v="1.297076259729802E-3"/>
    <n v="0.95"/>
    <n v="9.2787245996831338E-4"/>
    <n v="6.05919548276165E-2"/>
    <n v="6.4938397569822504E-2"/>
    <n v="9.2787245996831338E-4"/>
  </r>
  <r>
    <x v="0"/>
    <s v="2026-08-31 10:13:27"/>
    <n v="2"/>
    <x v="13"/>
    <x v="3"/>
    <x v="1"/>
    <n v="1.22979909200178E-2"/>
    <n v="7.6879483676487402E-4"/>
    <n v="0"/>
    <n v="1"/>
    <n v="0"/>
    <n v="0"/>
    <s v="Unnamed ProjectPaintReqQNumber WaitingQueue"/>
    <n v="10"/>
    <n v="1.232491804183645E-2"/>
    <n v="4.2846031814523761E-4"/>
    <n v="0.95"/>
    <n v="3.0650204751958381E-4"/>
    <n v="1.1842209288638999E-2"/>
    <n v="1.30420022653657E-2"/>
    <n v="3.0650204751958381E-4"/>
  </r>
  <r>
    <x v="0"/>
    <s v="2026-08-31 10:13:27"/>
    <n v="2"/>
    <x v="14"/>
    <x v="5"/>
    <x v="3"/>
    <n v="0.82062387365982303"/>
    <n v="1.0602974959016499E-2"/>
    <n v="0"/>
    <n v="1"/>
    <n v="1"/>
    <n v="0"/>
    <s v="Unnamed ProjectWORKERInstantaneous UtilizationResource"/>
    <n v="10"/>
    <n v="0.82030090075893936"/>
    <n v="6.9684713894533476E-3"/>
    <n v="0.95"/>
    <n v="4.9849441325044447E-3"/>
    <n v="0.81151215762737705"/>
    <n v="0.832837691284112"/>
    <n v="4.9849441325044447E-3"/>
  </r>
  <r>
    <x v="0"/>
    <s v="2026-08-31 10:13:27"/>
    <n v="2"/>
    <x v="14"/>
    <x v="0"/>
    <x v="3"/>
    <n v="0.82062387365982303"/>
    <n v="1.0602974959016499E-2"/>
    <n v="0"/>
    <n v="1"/>
    <n v="1"/>
    <n v="0"/>
    <s v="Unnamed ProjectWORKERNumber BusyResource"/>
    <n v="10"/>
    <n v="0.82030090075893936"/>
    <n v="6.9684713894533476E-3"/>
    <n v="0.95"/>
    <n v="4.9849441325044447E-3"/>
    <n v="0.81151215762737705"/>
    <n v="0.832837691284112"/>
    <n v="4.9849441325044447E-3"/>
  </r>
  <r>
    <x v="0"/>
    <s v="2026-08-31 10:13:27"/>
    <n v="2"/>
    <x v="14"/>
    <x v="1"/>
    <x v="3"/>
    <n v="1"/>
    <n v="2E+20"/>
    <n v="1"/>
    <n v="1"/>
    <n v="1"/>
    <n v="0"/>
    <s v="Unnamed ProjectWORKERNumber ScheduledResource"/>
    <n v="10"/>
    <n v="1"/>
    <n v="0"/>
    <n v="0.95"/>
    <n v="0"/>
    <n v="1"/>
    <n v="1"/>
    <n v="0"/>
  </r>
  <r>
    <x v="0"/>
    <s v="2026-08-31 10:13:27"/>
    <n v="2"/>
    <x v="15"/>
    <x v="3"/>
    <x v="1"/>
    <n v="1.7963575421831699"/>
    <n v="0.20709738184115301"/>
    <n v="0"/>
    <n v="17"/>
    <n v="4"/>
    <n v="0"/>
    <s v="Unnamed ProjectWorkStationQNumber WaitingQueue"/>
    <n v="10"/>
    <n v="1.7984099951452888"/>
    <n v="9.41481017902569E-2"/>
    <n v="0.95"/>
    <n v="6.7349494799689366E-2"/>
    <n v="1.6808414073062801"/>
    <n v="1.96303981301246"/>
    <n v="6.7349494799689366E-2"/>
  </r>
  <r>
    <x v="0"/>
    <s v="2026-08-31 10:13:27"/>
    <n v="2"/>
    <x v="16"/>
    <x v="3"/>
    <x v="1"/>
    <n v="1.3401388392202E-2"/>
    <n v="3E+20"/>
    <n v="0"/>
    <n v="1"/>
    <n v="0"/>
    <n v="0"/>
    <s v="Unnamed ProjectWorkStationReqQNumber WaitingQueue"/>
    <n v="10"/>
    <n v="1.2897450081583859E-2"/>
    <n v="4.2374090710035878E-4"/>
    <n v="0.95"/>
    <n v="3.0312598423651549E-4"/>
    <n v="1.2232643269307701E-2"/>
    <n v="1.34073753437328E-2"/>
    <n v="3.0312598423651549E-4"/>
  </r>
  <r>
    <x v="0"/>
    <s v="2026-08-31 10:13:27"/>
    <n v="2"/>
    <x v="17"/>
    <x v="6"/>
    <x v="4"/>
    <n v="0.67552827082670397"/>
    <n v="3E+20"/>
    <n v="0"/>
    <n v="7"/>
    <n v="0"/>
    <n v="0"/>
    <s v="Unnamed ProjectvNumWaitingRequestsVariableUser Specified"/>
    <n v="10"/>
    <n v="0.67697821611736619"/>
    <n v="6.3714899668086428E-3"/>
    <n v="0.95"/>
    <n v="4.5578893490793634E-3"/>
    <n v="0.66877542384053201"/>
    <n v="0.69059318471793496"/>
    <n v="4.5578893490793634E-3"/>
  </r>
  <r>
    <x v="0"/>
    <s v="2026-08-31 10:13:27"/>
    <n v="3"/>
    <x v="0"/>
    <x v="0"/>
    <x v="0"/>
    <n v="2.07228794584704"/>
    <n v="9.9907195658982106E-3"/>
    <n v="0"/>
    <n v="3"/>
    <n v="2"/>
    <n v="0"/>
    <s v="Unnamed ProjectAGVNumber BusyTransporter"/>
    <n v="10"/>
    <n v="2.078872627125893"/>
    <n v="5.2787009755182E-3"/>
    <n v="0.95"/>
    <n v="3.7761551973910287E-3"/>
    <n v="2.07228794584704"/>
    <n v="2.08892452747873"/>
    <n v="3.7761551973910287E-3"/>
  </r>
  <r>
    <x v="0"/>
    <s v="2026-08-31 10:13:27"/>
    <n v="3"/>
    <x v="0"/>
    <x v="1"/>
    <x v="0"/>
    <n v="3"/>
    <n v="2E+20"/>
    <n v="3"/>
    <n v="3"/>
    <n v="3"/>
    <n v="0"/>
    <s v="Unnamed ProjectAGVNumber ScheduledTransporter"/>
    <n v="10"/>
    <n v="3"/>
    <n v="0"/>
    <n v="0.95"/>
    <n v="0"/>
    <n v="3"/>
    <n v="3"/>
    <n v="0"/>
  </r>
  <r>
    <x v="0"/>
    <s v="2026-08-31 10:13:27"/>
    <n v="3"/>
    <x v="0"/>
    <x v="2"/>
    <x v="0"/>
    <n v="0.69076264861567704"/>
    <n v="3.33023985529936E-3"/>
    <n v="0"/>
    <n v="1"/>
    <n v="0.66666666666666696"/>
    <n v="0"/>
    <s v="Unnamed ProjectAGVUtilizationTransporter"/>
    <n v="10"/>
    <n v="0.69295754237529772"/>
    <n v="1.759566991837834E-3"/>
    <n v="0.95"/>
    <n v="1.2587183991292225E-3"/>
    <n v="0.69076264861567704"/>
    <n v="0.69630817582623705"/>
    <n v="1.2587183991292225E-3"/>
  </r>
  <r>
    <x v="0"/>
    <s v="2026-08-31 10:13:27"/>
    <n v="3"/>
    <x v="1"/>
    <x v="3"/>
    <x v="1"/>
    <n v="3.0428923380721701E-2"/>
    <n v="1.9444240615327799E-3"/>
    <n v="0"/>
    <n v="5"/>
    <n v="0"/>
    <n v="0"/>
    <s v="Unnamed ProjectEnter Request AGV.QueueNumber WaitingQueue"/>
    <n v="10"/>
    <n v="3.1035047783347335E-2"/>
    <n v="1.214427597616889E-3"/>
    <n v="0.95"/>
    <n v="8.6874916875660508E-4"/>
    <n v="2.9772007867277201E-2"/>
    <n v="3.3809532279706102E-2"/>
    <n v="8.6874916875660508E-4"/>
  </r>
  <r>
    <x v="0"/>
    <s v="2026-08-31 10:13:27"/>
    <n v="3"/>
    <x v="2"/>
    <x v="4"/>
    <x v="2"/>
    <n v="0"/>
    <n v="2E+20"/>
    <n v="0"/>
    <n v="1"/>
    <n v="0"/>
    <n v="0"/>
    <s v="Unnamed ProjectEntity 1WIPEntity"/>
    <n v="10"/>
    <n v="0"/>
    <n v="0"/>
    <n v="0.95"/>
    <n v="0"/>
    <n v="0"/>
    <n v="0"/>
    <n v="0"/>
  </r>
  <r>
    <x v="0"/>
    <s v="2026-08-31 10:13:27"/>
    <n v="3"/>
    <x v="3"/>
    <x v="5"/>
    <x v="3"/>
    <n v="0.51150896826018899"/>
    <n v="3E+20"/>
    <n v="0"/>
    <n v="1"/>
    <n v="0"/>
    <n v="0"/>
    <s v="Unnamed ProjectNEWPAINTERInstantaneous UtilizationResource"/>
    <n v="10"/>
    <n v="0.52518723279433455"/>
    <n v="8.4087502405714581E-3"/>
    <n v="0.95"/>
    <n v="6.0152575551752803E-3"/>
    <n v="0.51150896826018899"/>
    <n v="0.54003281556404203"/>
    <n v="6.0152575551752803E-3"/>
  </r>
  <r>
    <x v="0"/>
    <s v="2026-08-31 10:13:27"/>
    <n v="3"/>
    <x v="3"/>
    <x v="0"/>
    <x v="3"/>
    <n v="0.51150896826018899"/>
    <n v="3E+20"/>
    <n v="0"/>
    <n v="1"/>
    <n v="0"/>
    <n v="0"/>
    <s v="Unnamed ProjectNEWPAINTERNumber BusyResource"/>
    <n v="10"/>
    <n v="0.52518723279433455"/>
    <n v="8.4087502405714581E-3"/>
    <n v="0.95"/>
    <n v="6.0152575551752803E-3"/>
    <n v="0.51150896826018899"/>
    <n v="0.54003281556404203"/>
    <n v="6.0152575551752803E-3"/>
  </r>
  <r>
    <x v="0"/>
    <s v="2026-08-31 10:13:27"/>
    <n v="3"/>
    <x v="3"/>
    <x v="1"/>
    <x v="3"/>
    <n v="1"/>
    <n v="2E+20"/>
    <n v="1"/>
    <n v="1"/>
    <n v="1"/>
    <n v="0"/>
    <s v="Unnamed ProjectNEWPAINTERNumber ScheduledResource"/>
    <n v="10"/>
    <n v="1"/>
    <n v="0"/>
    <n v="0.95"/>
    <n v="0"/>
    <n v="1"/>
    <n v="1"/>
    <n v="0"/>
  </r>
  <r>
    <x v="0"/>
    <s v="2026-08-31 10:13:27"/>
    <n v="3"/>
    <x v="4"/>
    <x v="3"/>
    <x v="1"/>
    <n v="0.17015628683515099"/>
    <n v="1.52378578788782E-2"/>
    <n v="0"/>
    <n v="5"/>
    <n v="0"/>
    <n v="0"/>
    <s v="Unnamed ProjectNewPaintQNumber WaitingQueue"/>
    <n v="10"/>
    <n v="0.19175082727765341"/>
    <n v="1.5966644693782381E-2"/>
    <n v="0.95"/>
    <n v="1.1421849546877095E-2"/>
    <n v="0.17015628683515099"/>
    <n v="0.217869952503708"/>
    <n v="1.1421849546877095E-2"/>
  </r>
  <r>
    <x v="0"/>
    <s v="2026-08-31 10:13:27"/>
    <n v="3"/>
    <x v="5"/>
    <x v="3"/>
    <x v="1"/>
    <n v="4.3438456155572196E-3"/>
    <n v="3.8837510581683402E-4"/>
    <n v="0"/>
    <n v="1"/>
    <n v="0"/>
    <n v="0"/>
    <s v="Unnamed ProjectNewPaintReqQNumber WaitingQueue"/>
    <n v="10"/>
    <n v="4.7461022101932173E-3"/>
    <n v="2.0643575159293872E-4"/>
    <n v="0.95"/>
    <n v="1.4767524054125336E-4"/>
    <n v="4.3438456155572196E-3"/>
    <n v="5.0878342070728201E-3"/>
    <n v="1.4767524054125336E-4"/>
  </r>
  <r>
    <x v="0"/>
    <s v="2026-08-31 10:13:27"/>
    <n v="3"/>
    <x v="6"/>
    <x v="4"/>
    <x v="2"/>
    <n v="2.4192292508998099"/>
    <n v="0.114747107767339"/>
    <n v="0"/>
    <n v="11"/>
    <n v="2"/>
    <n v="0"/>
    <s v="Unnamed ProjectNewPartWIPEntity"/>
    <n v="10"/>
    <n v="2.5498900061729541"/>
    <n v="7.472159430415927E-2"/>
    <n v="0.95"/>
    <n v="5.3452608510618609E-2"/>
    <n v="2.4192292508998099"/>
    <n v="2.6620431560013098"/>
    <n v="5.3452608510618609E-2"/>
  </r>
  <r>
    <x v="0"/>
    <s v="2026-08-31 10:13:27"/>
    <n v="3"/>
    <x v="7"/>
    <x v="4"/>
    <x v="2"/>
    <n v="4.82855853416822"/>
    <n v="0.16524719819306899"/>
    <n v="0"/>
    <n v="20"/>
    <n v="5"/>
    <n v="0"/>
    <s v="Unnamed ProjectOldPartWIPEntity"/>
    <n v="10"/>
    <n v="4.9513834264802963"/>
    <n v="0.10244397191297382"/>
    <n v="0.95"/>
    <n v="7.3284002783010616E-2"/>
    <n v="4.82855853416822"/>
    <n v="5.1212851674768203"/>
    <n v="7.3284002783010616E-2"/>
  </r>
  <r>
    <x v="0"/>
    <s v="2026-08-31 10:13:27"/>
    <n v="3"/>
    <x v="8"/>
    <x v="5"/>
    <x v="3"/>
    <n v="0.80675605099888203"/>
    <n v="9.8207395166317497E-3"/>
    <n v="0"/>
    <n v="1"/>
    <n v="1"/>
    <n v="0"/>
    <s v="Unnamed ProjectPACKERInstantaneous UtilizationResource"/>
    <n v="10"/>
    <n v="0.81557194281027567"/>
    <n v="6.9416851287817331E-3"/>
    <n v="0.95"/>
    <n v="4.9657823959478754E-3"/>
    <n v="0.80675605099888203"/>
    <n v="0.82818429749007605"/>
    <n v="4.9657823959478754E-3"/>
  </r>
  <r>
    <x v="0"/>
    <s v="2026-08-31 10:13:27"/>
    <n v="3"/>
    <x v="8"/>
    <x v="0"/>
    <x v="3"/>
    <n v="0.80675605099888203"/>
    <n v="9.8207395166317497E-3"/>
    <n v="0"/>
    <n v="1"/>
    <n v="1"/>
    <n v="0"/>
    <s v="Unnamed ProjectPACKERNumber BusyResource"/>
    <n v="10"/>
    <n v="0.81557194281027567"/>
    <n v="6.9416851287817331E-3"/>
    <n v="0.95"/>
    <n v="4.9657823959478754E-3"/>
    <n v="0.80675605099888203"/>
    <n v="0.82818429749007605"/>
    <n v="4.9657823959478754E-3"/>
  </r>
  <r>
    <x v="0"/>
    <s v="2026-08-31 10:13:27"/>
    <n v="3"/>
    <x v="8"/>
    <x v="1"/>
    <x v="3"/>
    <n v="1"/>
    <n v="2E+20"/>
    <n v="1"/>
    <n v="1"/>
    <n v="1"/>
    <n v="0"/>
    <s v="Unnamed ProjectPACKERNumber ScheduledResource"/>
    <n v="10"/>
    <n v="1"/>
    <n v="0"/>
    <n v="0.95"/>
    <n v="0"/>
    <n v="1"/>
    <n v="1"/>
    <n v="0"/>
  </r>
  <r>
    <x v="0"/>
    <s v="2026-08-31 10:13:27"/>
    <n v="3"/>
    <x v="9"/>
    <x v="5"/>
    <x v="3"/>
    <n v="0.54839420860655197"/>
    <n v="8.5479010544104103E-3"/>
    <n v="0"/>
    <n v="1"/>
    <n v="0"/>
    <n v="0"/>
    <s v="Unnamed ProjectPAINTERInstantaneous UtilizationResource"/>
    <n v="10"/>
    <n v="0.54938142053560801"/>
    <n v="4.5196387022068685E-3"/>
    <n v="0.95"/>
    <n v="3.2331547581159752E-3"/>
    <n v="0.54030874063430001"/>
    <n v="0.55566835138728998"/>
    <n v="3.2331547581159752E-3"/>
  </r>
  <r>
    <x v="0"/>
    <s v="2026-08-31 10:13:27"/>
    <n v="3"/>
    <x v="9"/>
    <x v="0"/>
    <x v="3"/>
    <n v="0.54839420860655197"/>
    <n v="8.5479010544104103E-3"/>
    <n v="0"/>
    <n v="1"/>
    <n v="0"/>
    <n v="0"/>
    <s v="Unnamed ProjectPAINTERNumber BusyResource"/>
    <n v="10"/>
    <n v="0.54938142053560801"/>
    <n v="4.5196387022068685E-3"/>
    <n v="0.95"/>
    <n v="3.2331547581159752E-3"/>
    <n v="0.54030874063430001"/>
    <n v="0.55566835138728998"/>
    <n v="3.2331547581159752E-3"/>
  </r>
  <r>
    <x v="0"/>
    <s v="2026-08-31 10:13:27"/>
    <n v="3"/>
    <x v="9"/>
    <x v="1"/>
    <x v="3"/>
    <n v="1"/>
    <n v="2E+20"/>
    <n v="1"/>
    <n v="1"/>
    <n v="1"/>
    <n v="0"/>
    <s v="Unnamed ProjectPAINTERNumber ScheduledResource"/>
    <n v="10"/>
    <n v="1"/>
    <n v="0"/>
    <n v="0.95"/>
    <n v="0"/>
    <n v="1"/>
    <n v="1"/>
    <n v="0"/>
  </r>
  <r>
    <x v="0"/>
    <s v="2026-08-31 10:13:27"/>
    <n v="3"/>
    <x v="10"/>
    <x v="3"/>
    <x v="1"/>
    <n v="0.51031500523829298"/>
    <n v="3.4370687501294003E-2"/>
    <n v="0"/>
    <n v="4"/>
    <n v="0"/>
    <n v="0"/>
    <s v="Unnamed ProjectPackQNumber WaitingQueue"/>
    <n v="10"/>
    <n v="0.5830563488318371"/>
    <n v="3.7349781067397253E-2"/>
    <n v="0.95"/>
    <n v="2.6718423823055008E-2"/>
    <n v="0.51031500523829298"/>
    <n v="0.63800950130876"/>
    <n v="2.6718423823055008E-2"/>
  </r>
  <r>
    <x v="0"/>
    <s v="2026-08-31 10:13:27"/>
    <n v="3"/>
    <x v="11"/>
    <x v="3"/>
    <x v="1"/>
    <n v="1.4661618233928799E-2"/>
    <n v="3E+20"/>
    <n v="0"/>
    <n v="1"/>
    <n v="0"/>
    <n v="0"/>
    <s v="Unnamed ProjectPackReqQNumber WaitingQueue"/>
    <n v="10"/>
    <n v="1.5083245089254998E-2"/>
    <n v="5.836712228493759E-4"/>
    <n v="0.95"/>
    <n v="4.1753324008164384E-4"/>
    <n v="1.41054163109371E-2"/>
    <n v="1.6052913612351699E-2"/>
    <n v="4.1753324008164384E-4"/>
  </r>
  <r>
    <x v="0"/>
    <s v="2026-08-31 10:13:27"/>
    <n v="3"/>
    <x v="12"/>
    <x v="3"/>
    <x v="1"/>
    <n v="6.22895872462082E-2"/>
    <n v="5.00420245179655E-3"/>
    <n v="0"/>
    <n v="2"/>
    <n v="0"/>
    <n v="0"/>
    <s v="Unnamed ProjectPaintQNumber WaitingQueue"/>
    <n v="10"/>
    <n v="6.2655374167183184E-2"/>
    <n v="1.297076259729802E-3"/>
    <n v="0.95"/>
    <n v="9.2787245996831338E-4"/>
    <n v="6.05919548276165E-2"/>
    <n v="6.4938397569822504E-2"/>
    <n v="9.2787245996831338E-4"/>
  </r>
  <r>
    <x v="0"/>
    <s v="2026-08-31 10:13:27"/>
    <n v="3"/>
    <x v="13"/>
    <x v="3"/>
    <x v="1"/>
    <n v="1.20591366025815E-2"/>
    <n v="5.95596310749353E-4"/>
    <n v="0"/>
    <n v="1"/>
    <n v="0"/>
    <n v="0"/>
    <s v="Unnamed ProjectPaintReqQNumber WaitingQueue"/>
    <n v="10"/>
    <n v="1.232491804183645E-2"/>
    <n v="4.2846031814523761E-4"/>
    <n v="0.95"/>
    <n v="3.0650204751958381E-4"/>
    <n v="1.1842209288638999E-2"/>
    <n v="1.30420022653657E-2"/>
    <n v="3.0650204751958381E-4"/>
  </r>
  <r>
    <x v="0"/>
    <s v="2026-08-31 10:13:27"/>
    <n v="3"/>
    <x v="14"/>
    <x v="5"/>
    <x v="3"/>
    <n v="0.81151215762737705"/>
    <n v="9.9080165837114997E-3"/>
    <n v="0"/>
    <n v="1"/>
    <n v="1"/>
    <n v="0"/>
    <s v="Unnamed ProjectWORKERInstantaneous UtilizationResource"/>
    <n v="10"/>
    <n v="0.82030090075893936"/>
    <n v="6.9684713894533476E-3"/>
    <n v="0.95"/>
    <n v="4.9849441325044447E-3"/>
    <n v="0.81151215762737705"/>
    <n v="0.832837691284112"/>
    <n v="4.9849441325044447E-3"/>
  </r>
  <r>
    <x v="0"/>
    <s v="2026-08-31 10:13:27"/>
    <n v="3"/>
    <x v="14"/>
    <x v="0"/>
    <x v="3"/>
    <n v="0.81151215762737705"/>
    <n v="9.9080165837114997E-3"/>
    <n v="0"/>
    <n v="1"/>
    <n v="1"/>
    <n v="0"/>
    <s v="Unnamed ProjectWORKERNumber BusyResource"/>
    <n v="10"/>
    <n v="0.82030090075893936"/>
    <n v="6.9684713894533476E-3"/>
    <n v="0.95"/>
    <n v="4.9849441325044447E-3"/>
    <n v="0.81151215762737705"/>
    <n v="0.832837691284112"/>
    <n v="4.9849441325044447E-3"/>
  </r>
  <r>
    <x v="0"/>
    <s v="2026-08-31 10:13:27"/>
    <n v="3"/>
    <x v="14"/>
    <x v="1"/>
    <x v="3"/>
    <n v="1"/>
    <n v="2E+20"/>
    <n v="1"/>
    <n v="1"/>
    <n v="1"/>
    <n v="0"/>
    <s v="Unnamed ProjectWORKERNumber ScheduledResource"/>
    <n v="10"/>
    <n v="1"/>
    <n v="0"/>
    <n v="0.95"/>
    <n v="0"/>
    <n v="1"/>
    <n v="1"/>
    <n v="0"/>
  </r>
  <r>
    <x v="0"/>
    <s v="2026-08-31 10:13:27"/>
    <n v="3"/>
    <x v="15"/>
    <x v="3"/>
    <x v="1"/>
    <n v="1.6808414073062801"/>
    <n v="0.167470382709382"/>
    <n v="0"/>
    <n v="17"/>
    <n v="3"/>
    <n v="0"/>
    <s v="Unnamed ProjectWorkStationQNumber WaitingQueue"/>
    <n v="10"/>
    <n v="1.7984099951452888"/>
    <n v="9.41481017902569E-2"/>
    <n v="0.95"/>
    <n v="6.7349494799689366E-2"/>
    <n v="1.6808414073062801"/>
    <n v="1.96303981301246"/>
    <n v="6.7349494799689366E-2"/>
  </r>
  <r>
    <x v="0"/>
    <s v="2026-08-31 10:13:27"/>
    <n v="3"/>
    <x v="16"/>
    <x v="3"/>
    <x v="1"/>
    <n v="1.2232643269307701E-2"/>
    <n v="7.4276068551014504E-4"/>
    <n v="0"/>
    <n v="1"/>
    <n v="0"/>
    <n v="0"/>
    <s v="Unnamed ProjectWorkStationReqQNumber WaitingQueue"/>
    <n v="10"/>
    <n v="1.2897450081583859E-2"/>
    <n v="4.2374090710035878E-4"/>
    <n v="0.95"/>
    <n v="3.0312598423651549E-4"/>
    <n v="1.2232643269307701E-2"/>
    <n v="1.34073753437328E-2"/>
    <n v="3.0312598423651549E-4"/>
  </r>
  <r>
    <x v="0"/>
    <s v="2026-08-31 10:13:27"/>
    <n v="3"/>
    <x v="17"/>
    <x v="6"/>
    <x v="4"/>
    <n v="0.66877542384053201"/>
    <n v="1.18784879418725E-2"/>
    <n v="0"/>
    <n v="7"/>
    <n v="0"/>
    <n v="0"/>
    <s v="Unnamed ProjectvNumWaitingRequestsVariableUser Specified"/>
    <n v="10"/>
    <n v="0.67697821611736619"/>
    <n v="6.3714899668086428E-3"/>
    <n v="0.95"/>
    <n v="4.5578893490793634E-3"/>
    <n v="0.66877542384053201"/>
    <n v="0.69059318471793496"/>
    <n v="4.5578893490793634E-3"/>
  </r>
  <r>
    <x v="0"/>
    <s v="2026-08-31 10:13:27"/>
    <n v="4"/>
    <x v="0"/>
    <x v="0"/>
    <x v="0"/>
    <n v="2.08892452747873"/>
    <n v="8.4145591233374794E-3"/>
    <n v="0"/>
    <n v="3"/>
    <n v="3"/>
    <n v="0"/>
    <s v="Unnamed ProjectAGVNumber BusyTransporter"/>
    <n v="10"/>
    <n v="2.078872627125893"/>
    <n v="5.2787009755182E-3"/>
    <n v="0.95"/>
    <n v="3.7761551973910287E-3"/>
    <n v="2.07228794584704"/>
    <n v="2.08892452747873"/>
    <n v="3.7761551973910287E-3"/>
  </r>
  <r>
    <x v="0"/>
    <s v="2026-08-31 10:13:27"/>
    <n v="4"/>
    <x v="0"/>
    <x v="1"/>
    <x v="0"/>
    <n v="3"/>
    <n v="2E+20"/>
    <n v="3"/>
    <n v="3"/>
    <n v="3"/>
    <n v="0"/>
    <s v="Unnamed ProjectAGVNumber ScheduledTransporter"/>
    <n v="10"/>
    <n v="3"/>
    <n v="0"/>
    <n v="0.95"/>
    <n v="0"/>
    <n v="3"/>
    <n v="3"/>
    <n v="0"/>
  </r>
  <r>
    <x v="0"/>
    <s v="2026-08-31 10:13:27"/>
    <n v="4"/>
    <x v="0"/>
    <x v="2"/>
    <x v="0"/>
    <n v="0.69630817582623705"/>
    <n v="2.8048530411124801E-3"/>
    <n v="0"/>
    <n v="1"/>
    <n v="1"/>
    <n v="0"/>
    <s v="Unnamed ProjectAGVUtilizationTransporter"/>
    <n v="10"/>
    <n v="0.69295754237529772"/>
    <n v="1.759566991837834E-3"/>
    <n v="0.95"/>
    <n v="1.2587183991292225E-3"/>
    <n v="0.69076264861567704"/>
    <n v="0.69630817582623705"/>
    <n v="1.2587183991292225E-3"/>
  </r>
  <r>
    <x v="0"/>
    <s v="2026-08-31 10:13:27"/>
    <n v="4"/>
    <x v="1"/>
    <x v="3"/>
    <x v="1"/>
    <n v="3.3809532279706102E-2"/>
    <n v="2.6270502429466E-3"/>
    <n v="0"/>
    <n v="4"/>
    <n v="0"/>
    <n v="0"/>
    <s v="Unnamed ProjectEnter Request AGV.QueueNumber WaitingQueue"/>
    <n v="10"/>
    <n v="3.1035047783347335E-2"/>
    <n v="1.214427597616889E-3"/>
    <n v="0.95"/>
    <n v="8.6874916875660508E-4"/>
    <n v="2.9772007867277201E-2"/>
    <n v="3.3809532279706102E-2"/>
    <n v="8.6874916875660508E-4"/>
  </r>
  <r>
    <x v="0"/>
    <s v="2026-08-31 10:13:27"/>
    <n v="4"/>
    <x v="2"/>
    <x v="4"/>
    <x v="2"/>
    <n v="0"/>
    <n v="2E+20"/>
    <n v="0"/>
    <n v="1"/>
    <n v="0"/>
    <n v="0"/>
    <s v="Unnamed ProjectEntity 1WIPEntity"/>
    <n v="10"/>
    <n v="0"/>
    <n v="0"/>
    <n v="0.95"/>
    <n v="0"/>
    <n v="0"/>
    <n v="0"/>
    <n v="0"/>
  </r>
  <r>
    <x v="0"/>
    <s v="2026-08-31 10:13:27"/>
    <n v="4"/>
    <x v="3"/>
    <x v="5"/>
    <x v="3"/>
    <n v="0.54003281556404203"/>
    <n v="1.31441548382734E-2"/>
    <n v="0"/>
    <n v="1"/>
    <n v="1"/>
    <n v="0"/>
    <s v="Unnamed ProjectNEWPAINTERInstantaneous UtilizationResource"/>
    <n v="10"/>
    <n v="0.52518723279433455"/>
    <n v="8.4087502405714581E-3"/>
    <n v="0.95"/>
    <n v="6.0152575551752803E-3"/>
    <n v="0.51150896826018899"/>
    <n v="0.54003281556404203"/>
    <n v="6.0152575551752803E-3"/>
  </r>
  <r>
    <x v="0"/>
    <s v="2026-08-31 10:13:27"/>
    <n v="4"/>
    <x v="3"/>
    <x v="0"/>
    <x v="3"/>
    <n v="0.54003281556404203"/>
    <n v="1.31441548382734E-2"/>
    <n v="0"/>
    <n v="1"/>
    <n v="1"/>
    <n v="0"/>
    <s v="Unnamed ProjectNEWPAINTERNumber BusyResource"/>
    <n v="10"/>
    <n v="0.52518723279433455"/>
    <n v="8.4087502405714581E-3"/>
    <n v="0.95"/>
    <n v="6.0152575551752803E-3"/>
    <n v="0.51150896826018899"/>
    <n v="0.54003281556404203"/>
    <n v="6.0152575551752803E-3"/>
  </r>
  <r>
    <x v="0"/>
    <s v="2026-08-31 10:13:27"/>
    <n v="4"/>
    <x v="3"/>
    <x v="1"/>
    <x v="3"/>
    <n v="1"/>
    <n v="2E+20"/>
    <n v="1"/>
    <n v="1"/>
    <n v="1"/>
    <n v="0"/>
    <s v="Unnamed ProjectNEWPAINTERNumber ScheduledResource"/>
    <n v="10"/>
    <n v="1"/>
    <n v="0"/>
    <n v="0.95"/>
    <n v="0"/>
    <n v="1"/>
    <n v="1"/>
    <n v="0"/>
  </r>
  <r>
    <x v="0"/>
    <s v="2026-08-31 10:13:27"/>
    <n v="4"/>
    <x v="4"/>
    <x v="3"/>
    <x v="1"/>
    <n v="0.217869952503708"/>
    <n v="2.1451887005095701E-2"/>
    <n v="0"/>
    <n v="7"/>
    <n v="0"/>
    <n v="0"/>
    <s v="Unnamed ProjectNewPaintQNumber WaitingQueue"/>
    <n v="10"/>
    <n v="0.19175082727765341"/>
    <n v="1.5966644693782381E-2"/>
    <n v="0.95"/>
    <n v="1.1421849546877095E-2"/>
    <n v="0.17015628683515099"/>
    <n v="0.217869952503708"/>
    <n v="1.1421849546877095E-2"/>
  </r>
  <r>
    <x v="0"/>
    <s v="2026-08-31 10:13:27"/>
    <n v="4"/>
    <x v="5"/>
    <x v="3"/>
    <x v="1"/>
    <n v="4.8970817656162902E-3"/>
    <n v="3.7285605198012899E-4"/>
    <n v="0"/>
    <n v="1"/>
    <n v="0"/>
    <n v="0"/>
    <s v="Unnamed ProjectNewPaintReqQNumber WaitingQueue"/>
    <n v="10"/>
    <n v="4.7461022101932173E-3"/>
    <n v="2.0643575159293872E-4"/>
    <n v="0.95"/>
    <n v="1.4767524054125336E-4"/>
    <n v="4.3438456155572196E-3"/>
    <n v="5.0878342070728201E-3"/>
    <n v="1.4767524054125336E-4"/>
  </r>
  <r>
    <x v="0"/>
    <s v="2026-08-31 10:13:27"/>
    <n v="4"/>
    <x v="6"/>
    <x v="4"/>
    <x v="2"/>
    <n v="2.6620431560013098"/>
    <n v="0.110297806852357"/>
    <n v="0"/>
    <n v="12"/>
    <n v="3"/>
    <n v="0"/>
    <s v="Unnamed ProjectNewPartWIPEntity"/>
    <n v="10"/>
    <n v="2.5498900061729541"/>
    <n v="7.472159430415927E-2"/>
    <n v="0.95"/>
    <n v="5.3452608510618609E-2"/>
    <n v="2.4192292508998099"/>
    <n v="2.6620431560013098"/>
    <n v="5.3452608510618609E-2"/>
  </r>
  <r>
    <x v="0"/>
    <s v="2026-08-31 10:13:27"/>
    <n v="4"/>
    <x v="7"/>
    <x v="4"/>
    <x v="2"/>
    <n v="5.1165789280388001"/>
    <n v="0.20368015516591301"/>
    <n v="0"/>
    <n v="23"/>
    <n v="6"/>
    <n v="0"/>
    <s v="Unnamed ProjectOldPartWIPEntity"/>
    <n v="10"/>
    <n v="4.9513834264802963"/>
    <n v="0.10244397191297382"/>
    <n v="0.95"/>
    <n v="7.3284002783010616E-2"/>
    <n v="4.82855853416822"/>
    <n v="5.1212851674768203"/>
    <n v="7.3284002783010616E-2"/>
  </r>
  <r>
    <x v="0"/>
    <s v="2026-08-31 10:13:27"/>
    <n v="4"/>
    <x v="8"/>
    <x v="5"/>
    <x v="3"/>
    <n v="0.82818429749007605"/>
    <n v="9.4920175409153196E-3"/>
    <n v="0"/>
    <n v="1"/>
    <n v="1"/>
    <n v="0"/>
    <s v="Unnamed ProjectPACKERInstantaneous UtilizationResource"/>
    <n v="10"/>
    <n v="0.81557194281027567"/>
    <n v="6.9416851287817331E-3"/>
    <n v="0.95"/>
    <n v="4.9657823959478754E-3"/>
    <n v="0.80675605099888203"/>
    <n v="0.82818429749007605"/>
    <n v="4.9657823959478754E-3"/>
  </r>
  <r>
    <x v="0"/>
    <s v="2026-08-31 10:13:27"/>
    <n v="4"/>
    <x v="8"/>
    <x v="0"/>
    <x v="3"/>
    <n v="0.82818429749007605"/>
    <n v="9.4920175409153196E-3"/>
    <n v="0"/>
    <n v="1"/>
    <n v="1"/>
    <n v="0"/>
    <s v="Unnamed ProjectPACKERNumber BusyResource"/>
    <n v="10"/>
    <n v="0.81557194281027567"/>
    <n v="6.9416851287817331E-3"/>
    <n v="0.95"/>
    <n v="4.9657823959478754E-3"/>
    <n v="0.80675605099888203"/>
    <n v="0.82818429749007605"/>
    <n v="4.9657823959478754E-3"/>
  </r>
  <r>
    <x v="0"/>
    <s v="2026-08-31 10:13:27"/>
    <n v="4"/>
    <x v="8"/>
    <x v="1"/>
    <x v="3"/>
    <n v="1"/>
    <n v="2E+20"/>
    <n v="1"/>
    <n v="1"/>
    <n v="1"/>
    <n v="0"/>
    <s v="Unnamed ProjectPACKERNumber ScheduledResource"/>
    <n v="10"/>
    <n v="1"/>
    <n v="0"/>
    <n v="0.95"/>
    <n v="0"/>
    <n v="1"/>
    <n v="1"/>
    <n v="0"/>
  </r>
  <r>
    <x v="0"/>
    <s v="2026-08-31 10:13:27"/>
    <n v="4"/>
    <x v="9"/>
    <x v="5"/>
    <x v="3"/>
    <n v="0.55566835138728998"/>
    <n v="8.9413657783000006E-3"/>
    <n v="0"/>
    <n v="1"/>
    <n v="1"/>
    <n v="0"/>
    <s v="Unnamed ProjectPAINTERInstantaneous UtilizationResource"/>
    <n v="10"/>
    <n v="0.54938142053560801"/>
    <n v="4.5196387022068685E-3"/>
    <n v="0.95"/>
    <n v="3.2331547581159752E-3"/>
    <n v="0.54030874063430001"/>
    <n v="0.55566835138728998"/>
    <n v="3.2331547581159752E-3"/>
  </r>
  <r>
    <x v="0"/>
    <s v="2026-08-31 10:13:27"/>
    <n v="4"/>
    <x v="9"/>
    <x v="0"/>
    <x v="3"/>
    <n v="0.55566835138728998"/>
    <n v="8.9413657783000006E-3"/>
    <n v="0"/>
    <n v="1"/>
    <n v="1"/>
    <n v="0"/>
    <s v="Unnamed ProjectPAINTERNumber BusyResource"/>
    <n v="10"/>
    <n v="0.54938142053560801"/>
    <n v="4.5196387022068685E-3"/>
    <n v="0.95"/>
    <n v="3.2331547581159752E-3"/>
    <n v="0.54030874063430001"/>
    <n v="0.55566835138728998"/>
    <n v="3.2331547581159752E-3"/>
  </r>
  <r>
    <x v="0"/>
    <s v="2026-08-31 10:13:27"/>
    <n v="4"/>
    <x v="9"/>
    <x v="1"/>
    <x v="3"/>
    <n v="1"/>
    <n v="2E+20"/>
    <n v="1"/>
    <n v="1"/>
    <n v="1"/>
    <n v="0"/>
    <s v="Unnamed ProjectPAINTERNumber ScheduledResource"/>
    <n v="10"/>
    <n v="1"/>
    <n v="0"/>
    <n v="0.95"/>
    <n v="0"/>
    <n v="1"/>
    <n v="1"/>
    <n v="0"/>
  </r>
  <r>
    <x v="0"/>
    <s v="2026-08-31 10:13:27"/>
    <n v="4"/>
    <x v="10"/>
    <x v="3"/>
    <x v="1"/>
    <n v="0.63408009794909104"/>
    <n v="5.4466837571421199E-2"/>
    <n v="0"/>
    <n v="5"/>
    <n v="0"/>
    <n v="0"/>
    <s v="Unnamed ProjectPackQNumber WaitingQueue"/>
    <n v="10"/>
    <n v="0.5830563488318371"/>
    <n v="3.7349781067397253E-2"/>
    <n v="0.95"/>
    <n v="2.6718423823055008E-2"/>
    <n v="0.51031500523829298"/>
    <n v="0.63800950130876"/>
    <n v="2.6718423823055008E-2"/>
  </r>
  <r>
    <x v="0"/>
    <s v="2026-08-31 10:13:27"/>
    <n v="4"/>
    <x v="11"/>
    <x v="3"/>
    <x v="1"/>
    <n v="1.57334948286714E-2"/>
    <n v="1.1174697050778499E-3"/>
    <n v="0"/>
    <n v="1"/>
    <n v="0"/>
    <n v="0"/>
    <s v="Unnamed ProjectPackReqQNumber WaitingQueue"/>
    <n v="10"/>
    <n v="1.5083245089254998E-2"/>
    <n v="5.836712228493759E-4"/>
    <n v="0.95"/>
    <n v="4.1753324008164384E-4"/>
    <n v="1.41054163109371E-2"/>
    <n v="1.6052913612351699E-2"/>
    <n v="4.1753324008164384E-4"/>
  </r>
  <r>
    <x v="0"/>
    <s v="2026-08-31 10:13:27"/>
    <n v="4"/>
    <x v="12"/>
    <x v="3"/>
    <x v="1"/>
    <n v="6.4938397569822504E-2"/>
    <n v="4.8780584898509196E-3"/>
    <n v="0"/>
    <n v="2"/>
    <n v="0"/>
    <n v="0"/>
    <s v="Unnamed ProjectPaintQNumber WaitingQueue"/>
    <n v="10"/>
    <n v="6.2655374167183184E-2"/>
    <n v="1.297076259729802E-3"/>
    <n v="0.95"/>
    <n v="9.2787245996831338E-4"/>
    <n v="6.05919548276165E-2"/>
    <n v="6.4938397569822504E-2"/>
    <n v="9.2787245996831338E-4"/>
  </r>
  <r>
    <x v="0"/>
    <s v="2026-08-31 10:13:27"/>
    <n v="4"/>
    <x v="13"/>
    <x v="3"/>
    <x v="1"/>
    <n v="1.3029195011615801E-2"/>
    <n v="9.0579081544141997E-4"/>
    <n v="0"/>
    <n v="1"/>
    <n v="0"/>
    <n v="0"/>
    <s v="Unnamed ProjectPaintReqQNumber WaitingQueue"/>
    <n v="10"/>
    <n v="1.232491804183645E-2"/>
    <n v="4.2846031814523761E-4"/>
    <n v="0.95"/>
    <n v="3.0650204751958381E-4"/>
    <n v="1.1842209288638999E-2"/>
    <n v="1.30420022653657E-2"/>
    <n v="3.0650204751958381E-4"/>
  </r>
  <r>
    <x v="0"/>
    <s v="2026-08-31 10:13:27"/>
    <n v="4"/>
    <x v="14"/>
    <x v="5"/>
    <x v="3"/>
    <n v="0.832837691284112"/>
    <n v="9.4023122289677401E-3"/>
    <n v="0"/>
    <n v="1"/>
    <n v="1"/>
    <n v="0"/>
    <s v="Unnamed ProjectWORKERInstantaneous UtilizationResource"/>
    <n v="10"/>
    <n v="0.82030090075893936"/>
    <n v="6.9684713894533476E-3"/>
    <n v="0.95"/>
    <n v="4.9849441325044447E-3"/>
    <n v="0.81151215762737705"/>
    <n v="0.832837691284112"/>
    <n v="4.9849441325044447E-3"/>
  </r>
  <r>
    <x v="0"/>
    <s v="2026-08-31 10:13:27"/>
    <n v="4"/>
    <x v="14"/>
    <x v="0"/>
    <x v="3"/>
    <n v="0.832837691284112"/>
    <n v="9.4023122289677401E-3"/>
    <n v="0"/>
    <n v="1"/>
    <n v="1"/>
    <n v="0"/>
    <s v="Unnamed ProjectWORKERNumber BusyResource"/>
    <n v="10"/>
    <n v="0.82030090075893936"/>
    <n v="6.9684713894533476E-3"/>
    <n v="0.95"/>
    <n v="4.9849441325044447E-3"/>
    <n v="0.81151215762737705"/>
    <n v="0.832837691284112"/>
    <n v="4.9849441325044447E-3"/>
  </r>
  <r>
    <x v="0"/>
    <s v="2026-08-31 10:13:27"/>
    <n v="4"/>
    <x v="14"/>
    <x v="1"/>
    <x v="3"/>
    <n v="1"/>
    <n v="2E+20"/>
    <n v="1"/>
    <n v="1"/>
    <n v="1"/>
    <n v="0"/>
    <s v="Unnamed ProjectWORKERNumber ScheduledResource"/>
    <n v="10"/>
    <n v="1"/>
    <n v="0"/>
    <n v="0.95"/>
    <n v="0"/>
    <n v="1"/>
    <n v="1"/>
    <n v="0"/>
  </r>
  <r>
    <x v="0"/>
    <s v="2026-08-31 10:13:27"/>
    <n v="4"/>
    <x v="15"/>
    <x v="3"/>
    <x v="1"/>
    <n v="1.9352092735838999"/>
    <n v="0.21621789460753299"/>
    <n v="0"/>
    <n v="19"/>
    <n v="1"/>
    <n v="0"/>
    <s v="Unnamed ProjectWorkStationQNumber WaitingQueue"/>
    <n v="10"/>
    <n v="1.7984099951452888"/>
    <n v="9.41481017902569E-2"/>
    <n v="0.95"/>
    <n v="6.7349494799689366E-2"/>
    <n v="1.6808414073062801"/>
    <n v="1.96303981301246"/>
    <n v="6.7349494799689366E-2"/>
  </r>
  <r>
    <x v="0"/>
    <s v="2026-08-31 10:13:27"/>
    <n v="4"/>
    <x v="16"/>
    <x v="3"/>
    <x v="1"/>
    <n v="1.34073753437328E-2"/>
    <n v="6.9966719080714998E-4"/>
    <n v="0"/>
    <n v="1"/>
    <n v="1"/>
    <n v="0"/>
    <s v="Unnamed ProjectWorkStationReqQNumber WaitingQueue"/>
    <n v="10"/>
    <n v="1.2897450081583859E-2"/>
    <n v="4.2374090710035878E-4"/>
    <n v="0.95"/>
    <n v="3.0312598423651549E-4"/>
    <n v="1.2232643269307701E-2"/>
    <n v="1.34073753437328E-2"/>
    <n v="3.0312598423651549E-4"/>
  </r>
  <r>
    <x v="0"/>
    <s v="2026-08-31 10:13:27"/>
    <n v="4"/>
    <x v="17"/>
    <x v="6"/>
    <x v="4"/>
    <n v="0.69059318471793496"/>
    <n v="1.2904340400500701E-2"/>
    <n v="0"/>
    <n v="7"/>
    <n v="2"/>
    <n v="0"/>
    <s v="Unnamed ProjectvNumWaitingRequestsVariableUser Specified"/>
    <n v="10"/>
    <n v="0.67697821611736619"/>
    <n v="6.3714899668086428E-3"/>
    <n v="0.95"/>
    <n v="4.5578893490793634E-3"/>
    <n v="0.66877542384053201"/>
    <n v="0.69059318471793496"/>
    <n v="4.5578893490793634E-3"/>
  </r>
  <r>
    <x v="0"/>
    <s v="2026-08-31 10:13:27"/>
    <n v="5"/>
    <x v="0"/>
    <x v="0"/>
    <x v="0"/>
    <n v="2.0792376537549502"/>
    <n v="8.7666012121340696E-3"/>
    <n v="0"/>
    <n v="3"/>
    <n v="2"/>
    <n v="0"/>
    <s v="Unnamed ProjectAGVNumber BusyTransporter"/>
    <n v="10"/>
    <n v="2.078872627125893"/>
    <n v="5.2787009755182E-3"/>
    <n v="0.95"/>
    <n v="3.7761551973910287E-3"/>
    <n v="2.07228794584704"/>
    <n v="2.08892452747873"/>
    <n v="3.7761551973910287E-3"/>
  </r>
  <r>
    <x v="0"/>
    <s v="2026-08-31 10:13:27"/>
    <n v="5"/>
    <x v="0"/>
    <x v="1"/>
    <x v="0"/>
    <n v="3"/>
    <n v="2E+20"/>
    <n v="3"/>
    <n v="3"/>
    <n v="3"/>
    <n v="0"/>
    <s v="Unnamed ProjectAGVNumber ScheduledTransporter"/>
    <n v="10"/>
    <n v="3"/>
    <n v="0"/>
    <n v="0.95"/>
    <n v="0"/>
    <n v="3"/>
    <n v="3"/>
    <n v="0"/>
  </r>
  <r>
    <x v="0"/>
    <s v="2026-08-31 10:13:27"/>
    <n v="5"/>
    <x v="0"/>
    <x v="2"/>
    <x v="0"/>
    <n v="0.69307921791832405"/>
    <n v="2.9222004040447302E-3"/>
    <n v="0"/>
    <n v="1"/>
    <n v="0.66666666666666696"/>
    <n v="0"/>
    <s v="Unnamed ProjectAGVUtilizationTransporter"/>
    <n v="10"/>
    <n v="0.69295754237529772"/>
    <n v="1.759566991837834E-3"/>
    <n v="0.95"/>
    <n v="1.2587183991292225E-3"/>
    <n v="0.69076264861567704"/>
    <n v="0.69630817582623705"/>
    <n v="1.2587183991292225E-3"/>
  </r>
  <r>
    <x v="0"/>
    <s v="2026-08-31 10:13:27"/>
    <n v="5"/>
    <x v="1"/>
    <x v="3"/>
    <x v="1"/>
    <n v="3.0385003528422001E-2"/>
    <n v="2.4396522301830502E-3"/>
    <n v="0"/>
    <n v="4"/>
    <n v="0"/>
    <n v="0"/>
    <s v="Unnamed ProjectEnter Request AGV.QueueNumber WaitingQueue"/>
    <n v="10"/>
    <n v="3.1035047783347335E-2"/>
    <n v="1.214427597616889E-3"/>
    <n v="0.95"/>
    <n v="8.6874916875660508E-4"/>
    <n v="2.9772007867277201E-2"/>
    <n v="3.3809532279706102E-2"/>
    <n v="8.6874916875660508E-4"/>
  </r>
  <r>
    <x v="0"/>
    <s v="2026-08-31 10:13:27"/>
    <n v="5"/>
    <x v="2"/>
    <x v="4"/>
    <x v="2"/>
    <n v="0"/>
    <n v="2E+20"/>
    <n v="0"/>
    <n v="1"/>
    <n v="0"/>
    <n v="0"/>
    <s v="Unnamed ProjectEntity 1WIPEntity"/>
    <n v="10"/>
    <n v="0"/>
    <n v="0"/>
    <n v="0.95"/>
    <n v="0"/>
    <n v="0"/>
    <n v="0"/>
    <n v="0"/>
  </r>
  <r>
    <x v="0"/>
    <s v="2026-08-31 10:13:27"/>
    <n v="5"/>
    <x v="3"/>
    <x v="5"/>
    <x v="3"/>
    <n v="0.51888120912242897"/>
    <n v="1.36811010762296E-2"/>
    <n v="0"/>
    <n v="1"/>
    <n v="0"/>
    <n v="0"/>
    <s v="Unnamed ProjectNEWPAINTERInstantaneous UtilizationResource"/>
    <n v="10"/>
    <n v="0.52518723279433455"/>
    <n v="8.4087502405714581E-3"/>
    <n v="0.95"/>
    <n v="6.0152575551752803E-3"/>
    <n v="0.51150896826018899"/>
    <n v="0.54003281556404203"/>
    <n v="6.0152575551752803E-3"/>
  </r>
  <r>
    <x v="0"/>
    <s v="2026-08-31 10:13:27"/>
    <n v="5"/>
    <x v="3"/>
    <x v="0"/>
    <x v="3"/>
    <n v="0.51888120912242897"/>
    <n v="1.36811010762296E-2"/>
    <n v="0"/>
    <n v="1"/>
    <n v="0"/>
    <n v="0"/>
    <s v="Unnamed ProjectNEWPAINTERNumber BusyResource"/>
    <n v="10"/>
    <n v="0.52518723279433455"/>
    <n v="8.4087502405714581E-3"/>
    <n v="0.95"/>
    <n v="6.0152575551752803E-3"/>
    <n v="0.51150896826018899"/>
    <n v="0.54003281556404203"/>
    <n v="6.0152575551752803E-3"/>
  </r>
  <r>
    <x v="0"/>
    <s v="2026-08-31 10:13:27"/>
    <n v="5"/>
    <x v="3"/>
    <x v="1"/>
    <x v="3"/>
    <n v="1"/>
    <n v="2E+20"/>
    <n v="1"/>
    <n v="1"/>
    <n v="1"/>
    <n v="0"/>
    <s v="Unnamed ProjectNEWPAINTERNumber ScheduledResource"/>
    <n v="10"/>
    <n v="1"/>
    <n v="0"/>
    <n v="0.95"/>
    <n v="0"/>
    <n v="1"/>
    <n v="1"/>
    <n v="0"/>
  </r>
  <r>
    <x v="0"/>
    <s v="2026-08-31 10:13:27"/>
    <n v="5"/>
    <x v="4"/>
    <x v="3"/>
    <x v="1"/>
    <n v="0.18571864926252701"/>
    <n v="1.9566154024624E-2"/>
    <n v="0"/>
    <n v="5"/>
    <n v="0"/>
    <n v="0"/>
    <s v="Unnamed ProjectNewPaintQNumber WaitingQueue"/>
    <n v="10"/>
    <n v="0.19175082727765341"/>
    <n v="1.5966644693782381E-2"/>
    <n v="0.95"/>
    <n v="1.1421849546877095E-2"/>
    <n v="0.17015628683515099"/>
    <n v="0.217869952503708"/>
    <n v="1.1421849546877095E-2"/>
  </r>
  <r>
    <x v="0"/>
    <s v="2026-08-31 10:13:27"/>
    <n v="5"/>
    <x v="5"/>
    <x v="3"/>
    <x v="1"/>
    <n v="4.6579112687443504E-3"/>
    <n v="4.0153798829135098E-4"/>
    <n v="0"/>
    <n v="1"/>
    <n v="0"/>
    <n v="0"/>
    <s v="Unnamed ProjectNewPaintReqQNumber WaitingQueue"/>
    <n v="10"/>
    <n v="4.7461022101932173E-3"/>
    <n v="2.0643575159293872E-4"/>
    <n v="0.95"/>
    <n v="1.4767524054125336E-4"/>
    <n v="4.3438456155572196E-3"/>
    <n v="5.0878342070728201E-3"/>
    <n v="1.4767524054125336E-4"/>
  </r>
  <r>
    <x v="0"/>
    <s v="2026-08-31 10:13:27"/>
    <n v="5"/>
    <x v="6"/>
    <x v="4"/>
    <x v="2"/>
    <n v="2.5477865384754801"/>
    <n v="0.167138713785802"/>
    <n v="0"/>
    <n v="15"/>
    <n v="1"/>
    <n v="0"/>
    <s v="Unnamed ProjectNewPartWIPEntity"/>
    <n v="10"/>
    <n v="2.5498900061729541"/>
    <n v="7.472159430415927E-2"/>
    <n v="0.95"/>
    <n v="5.3452608510618609E-2"/>
    <n v="2.4192292508998099"/>
    <n v="2.6620431560013098"/>
    <n v="5.3452608510618609E-2"/>
  </r>
  <r>
    <x v="0"/>
    <s v="2026-08-31 10:13:27"/>
    <n v="5"/>
    <x v="7"/>
    <x v="4"/>
    <x v="2"/>
    <n v="4.9818609634118598"/>
    <n v="0.29855907284878302"/>
    <n v="0"/>
    <n v="26"/>
    <n v="2"/>
    <n v="0"/>
    <s v="Unnamed ProjectOldPartWIPEntity"/>
    <n v="10"/>
    <n v="4.9513834264802963"/>
    <n v="0.10244397191297382"/>
    <n v="0.95"/>
    <n v="7.3284002783010616E-2"/>
    <n v="4.82855853416822"/>
    <n v="5.1212851674768203"/>
    <n v="7.3284002783010616E-2"/>
  </r>
  <r>
    <x v="0"/>
    <s v="2026-08-31 10:13:27"/>
    <n v="5"/>
    <x v="8"/>
    <x v="5"/>
    <x v="3"/>
    <n v="0.81071013184483298"/>
    <n v="1.0994126075742299E-2"/>
    <n v="0"/>
    <n v="1"/>
    <n v="0"/>
    <n v="0"/>
    <s v="Unnamed ProjectPACKERInstantaneous UtilizationResource"/>
    <n v="10"/>
    <n v="0.81557194281027567"/>
    <n v="6.9416851287817331E-3"/>
    <n v="0.95"/>
    <n v="4.9657823959478754E-3"/>
    <n v="0.80675605099888203"/>
    <n v="0.82818429749007605"/>
    <n v="4.9657823959478754E-3"/>
  </r>
  <r>
    <x v="0"/>
    <s v="2026-08-31 10:13:27"/>
    <n v="5"/>
    <x v="8"/>
    <x v="0"/>
    <x v="3"/>
    <n v="0.81071013184483298"/>
    <n v="1.0994126075742299E-2"/>
    <n v="0"/>
    <n v="1"/>
    <n v="0"/>
    <n v="0"/>
    <s v="Unnamed ProjectPACKERNumber BusyResource"/>
    <n v="10"/>
    <n v="0.81557194281027567"/>
    <n v="6.9416851287817331E-3"/>
    <n v="0.95"/>
    <n v="4.9657823959478754E-3"/>
    <n v="0.80675605099888203"/>
    <n v="0.82818429749007605"/>
    <n v="4.9657823959478754E-3"/>
  </r>
  <r>
    <x v="0"/>
    <s v="2026-08-31 10:13:27"/>
    <n v="5"/>
    <x v="8"/>
    <x v="1"/>
    <x v="3"/>
    <n v="1"/>
    <n v="2E+20"/>
    <n v="1"/>
    <n v="1"/>
    <n v="1"/>
    <n v="0"/>
    <s v="Unnamed ProjectPACKERNumber ScheduledResource"/>
    <n v="10"/>
    <n v="1"/>
    <n v="0"/>
    <n v="0.95"/>
    <n v="0"/>
    <n v="1"/>
    <n v="1"/>
    <n v="0"/>
  </r>
  <r>
    <x v="0"/>
    <s v="2026-08-31 10:13:27"/>
    <n v="5"/>
    <x v="9"/>
    <x v="5"/>
    <x v="3"/>
    <n v="0.54726193256515798"/>
    <n v="7.9358027693312606E-3"/>
    <n v="0"/>
    <n v="1"/>
    <n v="1"/>
    <n v="0"/>
    <s v="Unnamed ProjectPAINTERInstantaneous UtilizationResource"/>
    <n v="10"/>
    <n v="0.54938142053560801"/>
    <n v="4.5196387022068685E-3"/>
    <n v="0.95"/>
    <n v="3.2331547581159752E-3"/>
    <n v="0.54030874063430001"/>
    <n v="0.55566835138728998"/>
    <n v="3.2331547581159752E-3"/>
  </r>
  <r>
    <x v="0"/>
    <s v="2026-08-31 10:13:27"/>
    <n v="5"/>
    <x v="9"/>
    <x v="0"/>
    <x v="3"/>
    <n v="0.54726193256515798"/>
    <n v="7.9358027693312606E-3"/>
    <n v="0"/>
    <n v="1"/>
    <n v="1"/>
    <n v="0"/>
    <s v="Unnamed ProjectPAINTERNumber BusyResource"/>
    <n v="10"/>
    <n v="0.54938142053560801"/>
    <n v="4.5196387022068685E-3"/>
    <n v="0.95"/>
    <n v="3.2331547581159752E-3"/>
    <n v="0.54030874063430001"/>
    <n v="0.55566835138728998"/>
    <n v="3.2331547581159752E-3"/>
  </r>
  <r>
    <x v="0"/>
    <s v="2026-08-31 10:13:27"/>
    <n v="5"/>
    <x v="9"/>
    <x v="1"/>
    <x v="3"/>
    <n v="1"/>
    <n v="2E+20"/>
    <n v="1"/>
    <n v="1"/>
    <n v="1"/>
    <n v="0"/>
    <s v="Unnamed ProjectPAINTERNumber ScheduledResource"/>
    <n v="10"/>
    <n v="1"/>
    <n v="0"/>
    <n v="0.95"/>
    <n v="0"/>
    <n v="1"/>
    <n v="1"/>
    <n v="0"/>
  </r>
  <r>
    <x v="0"/>
    <s v="2026-08-31 10:13:27"/>
    <n v="5"/>
    <x v="10"/>
    <x v="3"/>
    <x v="1"/>
    <n v="0.57085887662766899"/>
    <n v="4.9239408831063099E-2"/>
    <n v="0"/>
    <n v="4"/>
    <n v="0"/>
    <n v="0"/>
    <s v="Unnamed ProjectPackQNumber WaitingQueue"/>
    <n v="10"/>
    <n v="0.5830563488318371"/>
    <n v="3.7349781067397253E-2"/>
    <n v="0.95"/>
    <n v="2.6718423823055008E-2"/>
    <n v="0.51031500523829298"/>
    <n v="0.63800950130876"/>
    <n v="2.6718423823055008E-2"/>
  </r>
  <r>
    <x v="0"/>
    <s v="2026-08-31 10:13:27"/>
    <n v="5"/>
    <x v="11"/>
    <x v="3"/>
    <x v="1"/>
    <n v="1.49737108336188E-2"/>
    <n v="9.93905209829483E-4"/>
    <n v="0"/>
    <n v="1"/>
    <n v="0"/>
    <n v="0"/>
    <s v="Unnamed ProjectPackReqQNumber WaitingQueue"/>
    <n v="10"/>
    <n v="1.5083245089254998E-2"/>
    <n v="5.836712228493759E-4"/>
    <n v="0.95"/>
    <n v="4.1753324008164384E-4"/>
    <n v="1.41054163109371E-2"/>
    <n v="1.6052913612351699E-2"/>
    <n v="4.1753324008164384E-4"/>
  </r>
  <r>
    <x v="0"/>
    <s v="2026-08-31 10:13:27"/>
    <n v="5"/>
    <x v="12"/>
    <x v="3"/>
    <x v="1"/>
    <n v="6.2737197148405005E-2"/>
    <n v="3.8208619427841498E-3"/>
    <n v="0"/>
    <n v="3"/>
    <n v="0"/>
    <n v="0"/>
    <s v="Unnamed ProjectPaintQNumber WaitingQueue"/>
    <n v="10"/>
    <n v="6.2655374167183184E-2"/>
    <n v="1.297076259729802E-3"/>
    <n v="0.95"/>
    <n v="9.2787245996831338E-4"/>
    <n v="6.05919548276165E-2"/>
    <n v="6.4938397569822504E-2"/>
    <n v="9.2787245996831338E-4"/>
  </r>
  <r>
    <x v="0"/>
    <s v="2026-08-31 10:13:27"/>
    <n v="5"/>
    <x v="13"/>
    <x v="3"/>
    <x v="1"/>
    <n v="1.24283877799877E-2"/>
    <n v="6.6580464158781801E-4"/>
    <n v="0"/>
    <n v="1"/>
    <n v="0"/>
    <n v="0"/>
    <s v="Unnamed ProjectPaintReqQNumber WaitingQueue"/>
    <n v="10"/>
    <n v="1.232491804183645E-2"/>
    <n v="4.2846031814523761E-4"/>
    <n v="0.95"/>
    <n v="3.0650204751958381E-4"/>
    <n v="1.1842209288638999E-2"/>
    <n v="1.30420022653657E-2"/>
    <n v="3.0650204751958381E-4"/>
  </r>
  <r>
    <x v="0"/>
    <s v="2026-08-31 10:13:27"/>
    <n v="5"/>
    <x v="14"/>
    <x v="5"/>
    <x v="3"/>
    <n v="0.814901604024725"/>
    <n v="1.08795277348536E-2"/>
    <n v="0"/>
    <n v="1"/>
    <n v="0"/>
    <n v="0"/>
    <s v="Unnamed ProjectWORKERInstantaneous UtilizationResource"/>
    <n v="10"/>
    <n v="0.82030090075893936"/>
    <n v="6.9684713894533476E-3"/>
    <n v="0.95"/>
    <n v="4.9849441325044447E-3"/>
    <n v="0.81151215762737705"/>
    <n v="0.832837691284112"/>
    <n v="4.9849441325044447E-3"/>
  </r>
  <r>
    <x v="0"/>
    <s v="2026-08-31 10:13:27"/>
    <n v="5"/>
    <x v="14"/>
    <x v="0"/>
    <x v="3"/>
    <n v="0.814901604024725"/>
    <n v="1.08795277348536E-2"/>
    <n v="0"/>
    <n v="1"/>
    <n v="0"/>
    <n v="0"/>
    <s v="Unnamed ProjectWORKERNumber BusyResource"/>
    <n v="10"/>
    <n v="0.82030090075893936"/>
    <n v="6.9684713894533476E-3"/>
    <n v="0.95"/>
    <n v="4.9849441325044447E-3"/>
    <n v="0.81151215762737705"/>
    <n v="0.832837691284112"/>
    <n v="4.9849441325044447E-3"/>
  </r>
  <r>
    <x v="0"/>
    <s v="2026-08-31 10:13:27"/>
    <n v="5"/>
    <x v="14"/>
    <x v="1"/>
    <x v="3"/>
    <n v="1"/>
    <n v="2E+20"/>
    <n v="1"/>
    <n v="1"/>
    <n v="1"/>
    <n v="0"/>
    <s v="Unnamed ProjectWORKERNumber ScheduledResource"/>
    <n v="10"/>
    <n v="1"/>
    <n v="0"/>
    <n v="0.95"/>
    <n v="0"/>
    <n v="1"/>
    <n v="1"/>
    <n v="0"/>
  </r>
  <r>
    <x v="0"/>
    <s v="2026-08-31 10:13:27"/>
    <n v="5"/>
    <x v="15"/>
    <x v="3"/>
    <x v="1"/>
    <n v="1.8641769252650999"/>
    <n v="0.372376311859202"/>
    <n v="0"/>
    <n v="28"/>
    <n v="0"/>
    <n v="0"/>
    <s v="Unnamed ProjectWorkStationQNumber WaitingQueue"/>
    <n v="10"/>
    <n v="1.7984099951452888"/>
    <n v="9.41481017902569E-2"/>
    <n v="0.95"/>
    <n v="6.7349494799689366E-2"/>
    <n v="1.6808414073062801"/>
    <n v="1.96303981301246"/>
    <n v="6.7349494799689366E-2"/>
  </r>
  <r>
    <x v="0"/>
    <s v="2026-08-31 10:13:27"/>
    <n v="5"/>
    <x v="16"/>
    <x v="3"/>
    <x v="1"/>
    <n v="1.27183088606762E-2"/>
    <n v="8.4054554196470797E-4"/>
    <n v="0"/>
    <n v="1"/>
    <n v="0"/>
    <n v="0"/>
    <s v="Unnamed ProjectWorkStationReqQNumber WaitingQueue"/>
    <n v="10"/>
    <n v="1.2897450081583859E-2"/>
    <n v="4.2374090710035878E-4"/>
    <n v="0.95"/>
    <n v="3.0312598423651549E-4"/>
    <n v="1.2232643269307701E-2"/>
    <n v="1.34073753437328E-2"/>
    <n v="3.0312598423651549E-4"/>
  </r>
  <r>
    <x v="0"/>
    <s v="2026-08-31 10:13:27"/>
    <n v="5"/>
    <x v="17"/>
    <x v="6"/>
    <x v="4"/>
    <n v="0.67554894532282606"/>
    <n v="1.606533884571E-2"/>
    <n v="0"/>
    <n v="7"/>
    <n v="1"/>
    <n v="0"/>
    <s v="Unnamed ProjectvNumWaitingRequestsVariableUser Specified"/>
    <n v="10"/>
    <n v="0.67697821611736619"/>
    <n v="6.3714899668086428E-3"/>
    <n v="0.95"/>
    <n v="4.5578893490793634E-3"/>
    <n v="0.66877542384053201"/>
    <n v="0.69059318471793496"/>
    <n v="4.5578893490793634E-3"/>
  </r>
  <r>
    <x v="0"/>
    <s v="2026-08-31 10:13:27"/>
    <n v="6"/>
    <x v="0"/>
    <x v="0"/>
    <x v="0"/>
    <n v="2.0852372958757099"/>
    <n v="1.06627894145179E-2"/>
    <n v="0"/>
    <n v="3"/>
    <n v="2"/>
    <n v="0"/>
    <s v="Unnamed ProjectAGVNumber BusyTransporter"/>
    <n v="10"/>
    <n v="2.078872627125893"/>
    <n v="5.2787009755182E-3"/>
    <n v="0.95"/>
    <n v="3.7761551973910287E-3"/>
    <n v="2.07228794584704"/>
    <n v="2.08892452747873"/>
    <n v="3.7761551973910287E-3"/>
  </r>
  <r>
    <x v="0"/>
    <s v="2026-08-31 10:13:27"/>
    <n v="6"/>
    <x v="0"/>
    <x v="1"/>
    <x v="0"/>
    <n v="3"/>
    <n v="2E+20"/>
    <n v="3"/>
    <n v="3"/>
    <n v="3"/>
    <n v="0"/>
    <s v="Unnamed ProjectAGVNumber ScheduledTransporter"/>
    <n v="10"/>
    <n v="3"/>
    <n v="0"/>
    <n v="0.95"/>
    <n v="0"/>
    <n v="3"/>
    <n v="3"/>
    <n v="0"/>
  </r>
  <r>
    <x v="0"/>
    <s v="2026-08-31 10:13:27"/>
    <n v="6"/>
    <x v="0"/>
    <x v="2"/>
    <x v="0"/>
    <n v="0.69507909862523998"/>
    <n v="3.5542631381726298E-3"/>
    <n v="0"/>
    <n v="1"/>
    <n v="0.66666666666666696"/>
    <n v="0"/>
    <s v="Unnamed ProjectAGVUtilizationTransporter"/>
    <n v="10"/>
    <n v="0.69295754237529772"/>
    <n v="1.759566991837834E-3"/>
    <n v="0.95"/>
    <n v="1.2587183991292225E-3"/>
    <n v="0.69076264861567704"/>
    <n v="0.69630817582623705"/>
    <n v="1.2587183991292225E-3"/>
  </r>
  <r>
    <x v="0"/>
    <s v="2026-08-31 10:13:27"/>
    <n v="6"/>
    <x v="1"/>
    <x v="3"/>
    <x v="1"/>
    <n v="3.1526773130254801E-2"/>
    <n v="2.6488649404284902E-3"/>
    <n v="0"/>
    <n v="5"/>
    <n v="0"/>
    <n v="0"/>
    <s v="Unnamed ProjectEnter Request AGV.QueueNumber WaitingQueue"/>
    <n v="10"/>
    <n v="3.1035047783347335E-2"/>
    <n v="1.214427597616889E-3"/>
    <n v="0.95"/>
    <n v="8.6874916875660508E-4"/>
    <n v="2.9772007867277201E-2"/>
    <n v="3.3809532279706102E-2"/>
    <n v="8.6874916875660508E-4"/>
  </r>
  <r>
    <x v="0"/>
    <s v="2026-08-31 10:13:27"/>
    <n v="6"/>
    <x v="2"/>
    <x v="4"/>
    <x v="2"/>
    <n v="0"/>
    <n v="2E+20"/>
    <n v="0"/>
    <n v="1"/>
    <n v="0"/>
    <n v="0"/>
    <s v="Unnamed ProjectEntity 1WIPEntity"/>
    <n v="10"/>
    <n v="0"/>
    <n v="0"/>
    <n v="0.95"/>
    <n v="0"/>
    <n v="0"/>
    <n v="0"/>
    <n v="0"/>
  </r>
  <r>
    <x v="0"/>
    <s v="2026-08-31 10:13:27"/>
    <n v="6"/>
    <x v="3"/>
    <x v="5"/>
    <x v="3"/>
    <n v="0.53340234367730699"/>
    <n v="1.6374919692767598E-2"/>
    <n v="0"/>
    <n v="1"/>
    <n v="1"/>
    <n v="0"/>
    <s v="Unnamed ProjectNEWPAINTERInstantaneous UtilizationResource"/>
    <n v="10"/>
    <n v="0.52518723279433455"/>
    <n v="8.4087502405714581E-3"/>
    <n v="0.95"/>
    <n v="6.0152575551752803E-3"/>
    <n v="0.51150896826018899"/>
    <n v="0.54003281556404203"/>
    <n v="6.0152575551752803E-3"/>
  </r>
  <r>
    <x v="0"/>
    <s v="2026-08-31 10:13:27"/>
    <n v="6"/>
    <x v="3"/>
    <x v="0"/>
    <x v="3"/>
    <n v="0.53340234367730699"/>
    <n v="1.6374919692767598E-2"/>
    <n v="0"/>
    <n v="1"/>
    <n v="1"/>
    <n v="0"/>
    <s v="Unnamed ProjectNEWPAINTERNumber BusyResource"/>
    <n v="10"/>
    <n v="0.52518723279433455"/>
    <n v="8.4087502405714581E-3"/>
    <n v="0.95"/>
    <n v="6.0152575551752803E-3"/>
    <n v="0.51150896826018899"/>
    <n v="0.54003281556404203"/>
    <n v="6.0152575551752803E-3"/>
  </r>
  <r>
    <x v="0"/>
    <s v="2026-08-31 10:13:27"/>
    <n v="6"/>
    <x v="3"/>
    <x v="1"/>
    <x v="3"/>
    <n v="1"/>
    <n v="2E+20"/>
    <n v="1"/>
    <n v="1"/>
    <n v="1"/>
    <n v="0"/>
    <s v="Unnamed ProjectNEWPAINTERNumber ScheduledResource"/>
    <n v="10"/>
    <n v="1"/>
    <n v="0"/>
    <n v="0.95"/>
    <n v="0"/>
    <n v="1"/>
    <n v="1"/>
    <n v="0"/>
  </r>
  <r>
    <x v="0"/>
    <s v="2026-08-31 10:13:27"/>
    <n v="6"/>
    <x v="4"/>
    <x v="3"/>
    <x v="1"/>
    <n v="0.20721028610620801"/>
    <n v="2.3211767608432399E-2"/>
    <n v="0"/>
    <n v="5"/>
    <n v="0"/>
    <n v="0"/>
    <s v="Unnamed ProjectNewPaintQNumber WaitingQueue"/>
    <n v="10"/>
    <n v="0.19175082727765341"/>
    <n v="1.5966644693782381E-2"/>
    <n v="0.95"/>
    <n v="1.1421849546877095E-2"/>
    <n v="0.17015628683515099"/>
    <n v="0.217869952503708"/>
    <n v="1.1421849546877095E-2"/>
  </r>
  <r>
    <x v="0"/>
    <s v="2026-08-31 10:13:27"/>
    <n v="6"/>
    <x v="5"/>
    <x v="3"/>
    <x v="1"/>
    <n v="4.9073526616410998E-3"/>
    <n v="4.95382644807772E-4"/>
    <n v="0"/>
    <n v="1"/>
    <n v="0"/>
    <n v="0"/>
    <s v="Unnamed ProjectNewPaintReqQNumber WaitingQueue"/>
    <n v="10"/>
    <n v="4.7461022101932173E-3"/>
    <n v="2.0643575159293872E-4"/>
    <n v="0.95"/>
    <n v="1.4767524054125336E-4"/>
    <n v="4.3438456155572196E-3"/>
    <n v="5.0878342070728201E-3"/>
    <n v="1.4767524054125336E-4"/>
  </r>
  <r>
    <x v="0"/>
    <s v="2026-08-31 10:13:27"/>
    <n v="6"/>
    <x v="6"/>
    <x v="4"/>
    <x v="2"/>
    <n v="2.6578937699381"/>
    <n v="0.13935844181360099"/>
    <n v="0"/>
    <n v="15"/>
    <n v="5"/>
    <n v="0"/>
    <s v="Unnamed ProjectNewPartWIPEntity"/>
    <n v="10"/>
    <n v="2.5498900061729541"/>
    <n v="7.472159430415927E-2"/>
    <n v="0.95"/>
    <n v="5.3452608510618609E-2"/>
    <n v="2.4192292508998099"/>
    <n v="2.6620431560013098"/>
    <n v="5.3452608510618609E-2"/>
  </r>
  <r>
    <x v="0"/>
    <s v="2026-08-31 10:13:27"/>
    <n v="6"/>
    <x v="7"/>
    <x v="4"/>
    <x v="2"/>
    <n v="5.1212851674768203"/>
    <n v="0.18979132390419801"/>
    <n v="0"/>
    <n v="20"/>
    <n v="9"/>
    <n v="0"/>
    <s v="Unnamed ProjectOldPartWIPEntity"/>
    <n v="10"/>
    <n v="4.9513834264802963"/>
    <n v="0.10244397191297382"/>
    <n v="0.95"/>
    <n v="7.3284002783010616E-2"/>
    <n v="4.82855853416822"/>
    <n v="5.1212851674768203"/>
    <n v="7.3284002783010616E-2"/>
  </r>
  <r>
    <x v="0"/>
    <s v="2026-08-31 10:13:27"/>
    <n v="6"/>
    <x v="8"/>
    <x v="5"/>
    <x v="3"/>
    <n v="0.82572369910156995"/>
    <n v="1.19044688860446E-2"/>
    <n v="0"/>
    <n v="1"/>
    <n v="1"/>
    <n v="0"/>
    <s v="Unnamed ProjectPACKERInstantaneous UtilizationResource"/>
    <n v="10"/>
    <n v="0.81557194281027567"/>
    <n v="6.9416851287817331E-3"/>
    <n v="0.95"/>
    <n v="4.9657823959478754E-3"/>
    <n v="0.80675605099888203"/>
    <n v="0.82818429749007605"/>
    <n v="4.9657823959478754E-3"/>
  </r>
  <r>
    <x v="0"/>
    <s v="2026-08-31 10:13:27"/>
    <n v="6"/>
    <x v="8"/>
    <x v="0"/>
    <x v="3"/>
    <n v="0.82572369910156995"/>
    <n v="1.19044688860446E-2"/>
    <n v="0"/>
    <n v="1"/>
    <n v="1"/>
    <n v="0"/>
    <s v="Unnamed ProjectPACKERNumber BusyResource"/>
    <n v="10"/>
    <n v="0.81557194281027567"/>
    <n v="6.9416851287817331E-3"/>
    <n v="0.95"/>
    <n v="4.9657823959478754E-3"/>
    <n v="0.80675605099888203"/>
    <n v="0.82818429749007605"/>
    <n v="4.9657823959478754E-3"/>
  </r>
  <r>
    <x v="0"/>
    <s v="2026-08-31 10:13:27"/>
    <n v="6"/>
    <x v="8"/>
    <x v="1"/>
    <x v="3"/>
    <n v="1"/>
    <n v="2E+20"/>
    <n v="1"/>
    <n v="1"/>
    <n v="1"/>
    <n v="0"/>
    <s v="Unnamed ProjectPACKERNumber ScheduledResource"/>
    <n v="10"/>
    <n v="1"/>
    <n v="0"/>
    <n v="0.95"/>
    <n v="0"/>
    <n v="1"/>
    <n v="1"/>
    <n v="0"/>
  </r>
  <r>
    <x v="0"/>
    <s v="2026-08-31 10:13:27"/>
    <n v="6"/>
    <x v="9"/>
    <x v="5"/>
    <x v="3"/>
    <n v="0.55480881547008698"/>
    <n v="8.6778511355980505E-3"/>
    <n v="0"/>
    <n v="1"/>
    <n v="0"/>
    <n v="0"/>
    <s v="Unnamed ProjectPAINTERInstantaneous UtilizationResource"/>
    <n v="10"/>
    <n v="0.54938142053560801"/>
    <n v="4.5196387022068685E-3"/>
    <n v="0.95"/>
    <n v="3.2331547581159752E-3"/>
    <n v="0.54030874063430001"/>
    <n v="0.55566835138728998"/>
    <n v="3.2331547581159752E-3"/>
  </r>
  <r>
    <x v="0"/>
    <s v="2026-08-31 10:13:27"/>
    <n v="6"/>
    <x v="9"/>
    <x v="0"/>
    <x v="3"/>
    <n v="0.55480881547008698"/>
    <n v="8.6778511355980505E-3"/>
    <n v="0"/>
    <n v="1"/>
    <n v="0"/>
    <n v="0"/>
    <s v="Unnamed ProjectPAINTERNumber BusyResource"/>
    <n v="10"/>
    <n v="0.54938142053560801"/>
    <n v="4.5196387022068685E-3"/>
    <n v="0.95"/>
    <n v="3.2331547581159752E-3"/>
    <n v="0.54030874063430001"/>
    <n v="0.55566835138728998"/>
    <n v="3.2331547581159752E-3"/>
  </r>
  <r>
    <x v="0"/>
    <s v="2026-08-31 10:13:27"/>
    <n v="6"/>
    <x v="9"/>
    <x v="1"/>
    <x v="3"/>
    <n v="1"/>
    <n v="2E+20"/>
    <n v="1"/>
    <n v="1"/>
    <n v="1"/>
    <n v="0"/>
    <s v="Unnamed ProjectPAINTERNumber ScheduledResource"/>
    <n v="10"/>
    <n v="1"/>
    <n v="0"/>
    <n v="0.95"/>
    <n v="0"/>
    <n v="1"/>
    <n v="1"/>
    <n v="0"/>
  </r>
  <r>
    <x v="0"/>
    <s v="2026-08-31 10:13:27"/>
    <n v="6"/>
    <x v="10"/>
    <x v="3"/>
    <x v="1"/>
    <n v="0.63800950130876"/>
    <n v="4.9106401249005303E-2"/>
    <n v="0"/>
    <n v="6"/>
    <n v="1"/>
    <n v="0"/>
    <s v="Unnamed ProjectPackQNumber WaitingQueue"/>
    <n v="10"/>
    <n v="0.5830563488318371"/>
    <n v="3.7349781067397253E-2"/>
    <n v="0.95"/>
    <n v="2.6718423823055008E-2"/>
    <n v="0.51031500523829298"/>
    <n v="0.63800950130876"/>
    <n v="2.6718423823055008E-2"/>
  </r>
  <r>
    <x v="0"/>
    <s v="2026-08-31 10:13:27"/>
    <n v="6"/>
    <x v="11"/>
    <x v="3"/>
    <x v="1"/>
    <n v="1.6052913612351699E-2"/>
    <n v="1.1160656540343901E-3"/>
    <n v="0"/>
    <n v="1"/>
    <n v="0"/>
    <n v="0"/>
    <s v="Unnamed ProjectPackReqQNumber WaitingQueue"/>
    <n v="10"/>
    <n v="1.5083245089254998E-2"/>
    <n v="5.836712228493759E-4"/>
    <n v="0.95"/>
    <n v="4.1753324008164384E-4"/>
    <n v="1.41054163109371E-2"/>
    <n v="1.6052913612351699E-2"/>
    <n v="4.1753324008164384E-4"/>
  </r>
  <r>
    <x v="0"/>
    <s v="2026-08-31 10:13:27"/>
    <n v="6"/>
    <x v="12"/>
    <x v="3"/>
    <x v="1"/>
    <n v="6.2688911415734697E-2"/>
    <n v="4.3764325643511999E-3"/>
    <n v="0"/>
    <n v="3"/>
    <n v="0"/>
    <n v="0"/>
    <s v="Unnamed ProjectPaintQNumber WaitingQueue"/>
    <n v="10"/>
    <n v="6.2655374167183184E-2"/>
    <n v="1.297076259729802E-3"/>
    <n v="0.95"/>
    <n v="9.2787245996831338E-4"/>
    <n v="6.05919548276165E-2"/>
    <n v="6.4938397569822504E-2"/>
    <n v="9.2787245996831338E-4"/>
  </r>
  <r>
    <x v="0"/>
    <s v="2026-08-31 10:13:27"/>
    <n v="6"/>
    <x v="13"/>
    <x v="3"/>
    <x v="1"/>
    <n v="1.30420022653657E-2"/>
    <n v="8.60770879310465E-4"/>
    <n v="0"/>
    <n v="1"/>
    <n v="0"/>
    <n v="0"/>
    <s v="Unnamed ProjectPaintReqQNumber WaitingQueue"/>
    <n v="10"/>
    <n v="1.232491804183645E-2"/>
    <n v="4.2846031814523761E-4"/>
    <n v="0.95"/>
    <n v="3.0650204751958381E-4"/>
    <n v="1.1842209288638999E-2"/>
    <n v="1.30420022653657E-2"/>
    <n v="3.0650204751958381E-4"/>
  </r>
  <r>
    <x v="0"/>
    <s v="2026-08-31 10:13:27"/>
    <n v="6"/>
    <x v="14"/>
    <x v="5"/>
    <x v="3"/>
    <n v="0.83018197609076905"/>
    <n v="1.2494394952055799E-2"/>
    <n v="0"/>
    <n v="1"/>
    <n v="1"/>
    <n v="0"/>
    <s v="Unnamed ProjectWORKERInstantaneous UtilizationResource"/>
    <n v="10"/>
    <n v="0.82030090075893936"/>
    <n v="6.9684713894533476E-3"/>
    <n v="0.95"/>
    <n v="4.9849441325044447E-3"/>
    <n v="0.81151215762737705"/>
    <n v="0.832837691284112"/>
    <n v="4.9849441325044447E-3"/>
  </r>
  <r>
    <x v="0"/>
    <s v="2026-08-31 10:13:27"/>
    <n v="6"/>
    <x v="14"/>
    <x v="0"/>
    <x v="3"/>
    <n v="0.83018197609076905"/>
    <n v="1.2494394952055799E-2"/>
    <n v="0"/>
    <n v="1"/>
    <n v="1"/>
    <n v="0"/>
    <s v="Unnamed ProjectWORKERNumber BusyResource"/>
    <n v="10"/>
    <n v="0.82030090075893936"/>
    <n v="6.9684713894533476E-3"/>
    <n v="0.95"/>
    <n v="4.9849441325044447E-3"/>
    <n v="0.81151215762737705"/>
    <n v="0.832837691284112"/>
    <n v="4.9849441325044447E-3"/>
  </r>
  <r>
    <x v="0"/>
    <s v="2026-08-31 10:13:27"/>
    <n v="6"/>
    <x v="14"/>
    <x v="1"/>
    <x v="3"/>
    <n v="1"/>
    <n v="2E+20"/>
    <n v="1"/>
    <n v="1"/>
    <n v="1"/>
    <n v="0"/>
    <s v="Unnamed ProjectWORKERNumber ScheduledResource"/>
    <n v="10"/>
    <n v="1"/>
    <n v="0"/>
    <n v="0.95"/>
    <n v="0"/>
    <n v="1"/>
    <n v="1"/>
    <n v="0"/>
  </r>
  <r>
    <x v="0"/>
    <s v="2026-08-31 10:13:27"/>
    <n v="6"/>
    <x v="15"/>
    <x v="3"/>
    <x v="1"/>
    <n v="1.96303981301246"/>
    <n v="0.20073811374525299"/>
    <n v="0"/>
    <n v="17"/>
    <n v="8"/>
    <n v="0"/>
    <s v="Unnamed ProjectWorkStationQNumber WaitingQueue"/>
    <n v="10"/>
    <n v="1.7984099951452888"/>
    <n v="9.41481017902569E-2"/>
    <n v="0.95"/>
    <n v="6.7349494799689366E-2"/>
    <n v="1.6808414073062801"/>
    <n v="1.96303981301246"/>
    <n v="6.7349494799689366E-2"/>
  </r>
  <r>
    <x v="0"/>
    <s v="2026-08-31 10:13:27"/>
    <n v="6"/>
    <x v="16"/>
    <x v="3"/>
    <x v="1"/>
    <n v="1.3347253686633601E-2"/>
    <n v="8.9097649476591902E-4"/>
    <n v="0"/>
    <n v="1"/>
    <n v="0"/>
    <n v="0"/>
    <s v="Unnamed ProjectWorkStationReqQNumber WaitingQueue"/>
    <n v="10"/>
    <n v="1.2897450081583859E-2"/>
    <n v="4.2374090710035878E-4"/>
    <n v="0.95"/>
    <n v="3.0312598423651549E-4"/>
    <n v="1.2232643269307701E-2"/>
    <n v="1.34073753437328E-2"/>
    <n v="3.0312598423651549E-4"/>
  </r>
  <r>
    <x v="0"/>
    <s v="2026-08-31 10:13:27"/>
    <n v="6"/>
    <x v="17"/>
    <x v="6"/>
    <x v="4"/>
    <n v="0.684272814785996"/>
    <n v="1.4448732274339101E-2"/>
    <n v="0"/>
    <n v="7"/>
    <n v="1"/>
    <n v="0"/>
    <s v="Unnamed ProjectvNumWaitingRequestsVariableUser Specified"/>
    <n v="10"/>
    <n v="0.67697821611736619"/>
    <n v="6.3714899668086428E-3"/>
    <n v="0.95"/>
    <n v="4.5578893490793634E-3"/>
    <n v="0.66877542384053201"/>
    <n v="0.69059318471793496"/>
    <n v="4.5578893490793634E-3"/>
  </r>
  <r>
    <x v="0"/>
    <s v="2026-08-31 10:13:27"/>
    <n v="7"/>
    <x v="0"/>
    <x v="0"/>
    <x v="0"/>
    <n v="2.07440579456172"/>
    <n v="7.7964736310668697E-3"/>
    <n v="0"/>
    <n v="3"/>
    <n v="2"/>
    <n v="0"/>
    <s v="Unnamed ProjectAGVNumber BusyTransporter"/>
    <n v="10"/>
    <n v="2.078872627125893"/>
    <n v="5.2787009755182E-3"/>
    <n v="0.95"/>
    <n v="3.7761551973910287E-3"/>
    <n v="2.07228794584704"/>
    <n v="2.08892452747873"/>
    <n v="3.7761551973910287E-3"/>
  </r>
  <r>
    <x v="0"/>
    <s v="2026-08-31 10:13:27"/>
    <n v="7"/>
    <x v="0"/>
    <x v="1"/>
    <x v="0"/>
    <n v="3"/>
    <n v="2E+20"/>
    <n v="3"/>
    <n v="3"/>
    <n v="3"/>
    <n v="0"/>
    <s v="Unnamed ProjectAGVNumber ScheduledTransporter"/>
    <n v="10"/>
    <n v="3"/>
    <n v="0"/>
    <n v="0.95"/>
    <n v="0"/>
    <n v="3"/>
    <n v="3"/>
    <n v="0"/>
  </r>
  <r>
    <x v="0"/>
    <s v="2026-08-31 10:13:27"/>
    <n v="7"/>
    <x v="0"/>
    <x v="2"/>
    <x v="0"/>
    <n v="0.69146859818724804"/>
    <n v="2.5988245436889502E-3"/>
    <n v="0"/>
    <n v="1"/>
    <n v="0.66666666666666696"/>
    <n v="0"/>
    <s v="Unnamed ProjectAGVUtilizationTransporter"/>
    <n v="10"/>
    <n v="0.69295754237529772"/>
    <n v="1.759566991837834E-3"/>
    <n v="0.95"/>
    <n v="1.2587183991292225E-3"/>
    <n v="0.69076264861567704"/>
    <n v="0.69630817582623705"/>
    <n v="1.2587183991292225E-3"/>
  </r>
  <r>
    <x v="0"/>
    <s v="2026-08-31 10:13:27"/>
    <n v="7"/>
    <x v="1"/>
    <x v="3"/>
    <x v="1"/>
    <n v="3.0363255152727399E-2"/>
    <n v="2.3577647433282501E-3"/>
    <n v="0"/>
    <n v="5"/>
    <n v="0"/>
    <n v="0"/>
    <s v="Unnamed ProjectEnter Request AGV.QueueNumber WaitingQueue"/>
    <n v="10"/>
    <n v="3.1035047783347335E-2"/>
    <n v="1.214427597616889E-3"/>
    <n v="0.95"/>
    <n v="8.6874916875660508E-4"/>
    <n v="2.9772007867277201E-2"/>
    <n v="3.3809532279706102E-2"/>
    <n v="8.6874916875660508E-4"/>
  </r>
  <r>
    <x v="0"/>
    <s v="2026-08-31 10:13:27"/>
    <n v="7"/>
    <x v="2"/>
    <x v="4"/>
    <x v="2"/>
    <n v="0"/>
    <n v="2E+20"/>
    <n v="0"/>
    <n v="1"/>
    <n v="0"/>
    <n v="0"/>
    <s v="Unnamed ProjectEntity 1WIPEntity"/>
    <n v="10"/>
    <n v="0"/>
    <n v="0"/>
    <n v="0.95"/>
    <n v="0"/>
    <n v="0"/>
    <n v="0"/>
    <n v="0"/>
  </r>
  <r>
    <x v="0"/>
    <s v="2026-08-31 10:13:27"/>
    <n v="7"/>
    <x v="3"/>
    <x v="5"/>
    <x v="3"/>
    <n v="0.52708130347938897"/>
    <n v="1.09994157303718E-2"/>
    <n v="0"/>
    <n v="1"/>
    <n v="1"/>
    <n v="0"/>
    <s v="Unnamed ProjectNEWPAINTERInstantaneous UtilizationResource"/>
    <n v="10"/>
    <n v="0.52518723279433455"/>
    <n v="8.4087502405714581E-3"/>
    <n v="0.95"/>
    <n v="6.0152575551752803E-3"/>
    <n v="0.51150896826018899"/>
    <n v="0.54003281556404203"/>
    <n v="6.0152575551752803E-3"/>
  </r>
  <r>
    <x v="0"/>
    <s v="2026-08-31 10:13:27"/>
    <n v="7"/>
    <x v="3"/>
    <x v="0"/>
    <x v="3"/>
    <n v="0.52708130347938897"/>
    <n v="1.09994157303718E-2"/>
    <n v="0"/>
    <n v="1"/>
    <n v="1"/>
    <n v="0"/>
    <s v="Unnamed ProjectNEWPAINTERNumber BusyResource"/>
    <n v="10"/>
    <n v="0.52518723279433455"/>
    <n v="8.4087502405714581E-3"/>
    <n v="0.95"/>
    <n v="6.0152575551752803E-3"/>
    <n v="0.51150896826018899"/>
    <n v="0.54003281556404203"/>
    <n v="6.0152575551752803E-3"/>
  </r>
  <r>
    <x v="0"/>
    <s v="2026-08-31 10:13:27"/>
    <n v="7"/>
    <x v="3"/>
    <x v="1"/>
    <x v="3"/>
    <n v="1"/>
    <n v="2E+20"/>
    <n v="1"/>
    <n v="1"/>
    <n v="1"/>
    <n v="0"/>
    <s v="Unnamed ProjectNEWPAINTERNumber ScheduledResource"/>
    <n v="10"/>
    <n v="1"/>
    <n v="0"/>
    <n v="0.95"/>
    <n v="0"/>
    <n v="1"/>
    <n v="1"/>
    <n v="0"/>
  </r>
  <r>
    <x v="0"/>
    <s v="2026-08-31 10:13:27"/>
    <n v="7"/>
    <x v="4"/>
    <x v="3"/>
    <x v="1"/>
    <n v="0.194935842880541"/>
    <n v="1.8823251227943299E-2"/>
    <n v="0"/>
    <n v="4"/>
    <n v="0"/>
    <n v="0"/>
    <s v="Unnamed ProjectNewPaintQNumber WaitingQueue"/>
    <n v="10"/>
    <n v="0.19175082727765341"/>
    <n v="1.5966644693782381E-2"/>
    <n v="0.95"/>
    <n v="1.1421849546877095E-2"/>
    <n v="0.17015628683515099"/>
    <n v="0.217869952503708"/>
    <n v="1.1421849546877095E-2"/>
  </r>
  <r>
    <x v="0"/>
    <s v="2026-08-31 10:13:27"/>
    <n v="7"/>
    <x v="5"/>
    <x v="3"/>
    <x v="1"/>
    <n v="4.5669137563844799E-3"/>
    <n v="3.8735645611493298E-4"/>
    <n v="0"/>
    <n v="1"/>
    <n v="0"/>
    <n v="0"/>
    <s v="Unnamed ProjectNewPaintReqQNumber WaitingQueue"/>
    <n v="10"/>
    <n v="4.7461022101932173E-3"/>
    <n v="2.0643575159293872E-4"/>
    <n v="0.95"/>
    <n v="1.4767524054125336E-4"/>
    <n v="4.3438456155572196E-3"/>
    <n v="5.0878342070728201E-3"/>
    <n v="1.4767524054125336E-4"/>
  </r>
  <r>
    <x v="0"/>
    <s v="2026-08-31 10:13:27"/>
    <n v="7"/>
    <x v="6"/>
    <x v="4"/>
    <x v="2"/>
    <n v="2.5411010107593199"/>
    <n v="9.4914637288693607E-2"/>
    <n v="0"/>
    <n v="12"/>
    <n v="1"/>
    <n v="0"/>
    <s v="Unnamed ProjectNewPartWIPEntity"/>
    <n v="10"/>
    <n v="2.5498900061729541"/>
    <n v="7.472159430415927E-2"/>
    <n v="0.95"/>
    <n v="5.3452608510618609E-2"/>
    <n v="2.4192292508998099"/>
    <n v="2.6620431560013098"/>
    <n v="5.3452608510618609E-2"/>
  </r>
  <r>
    <x v="0"/>
    <s v="2026-08-31 10:13:27"/>
    <n v="7"/>
    <x v="7"/>
    <x v="4"/>
    <x v="2"/>
    <n v="4.8620272665245103"/>
    <n v="0.20729057286574001"/>
    <n v="0"/>
    <n v="25"/>
    <n v="6"/>
    <n v="0"/>
    <s v="Unnamed ProjectOldPartWIPEntity"/>
    <n v="10"/>
    <n v="4.9513834264802963"/>
    <n v="0.10244397191297382"/>
    <n v="0.95"/>
    <n v="7.3284002783010616E-2"/>
    <n v="4.82855853416822"/>
    <n v="5.1212851674768203"/>
    <n v="7.3284002783010616E-2"/>
  </r>
  <r>
    <x v="0"/>
    <s v="2026-08-31 10:13:27"/>
    <n v="7"/>
    <x v="8"/>
    <x v="5"/>
    <x v="3"/>
    <n v="0.81393386067525597"/>
    <n v="8.5444575100425205E-3"/>
    <n v="0"/>
    <n v="1"/>
    <n v="1"/>
    <n v="0"/>
    <s v="Unnamed ProjectPACKERInstantaneous UtilizationResource"/>
    <n v="10"/>
    <n v="0.81557194281027567"/>
    <n v="6.9416851287817331E-3"/>
    <n v="0.95"/>
    <n v="4.9657823959478754E-3"/>
    <n v="0.80675605099888203"/>
    <n v="0.82818429749007605"/>
    <n v="4.9657823959478754E-3"/>
  </r>
  <r>
    <x v="0"/>
    <s v="2026-08-31 10:13:27"/>
    <n v="7"/>
    <x v="8"/>
    <x v="0"/>
    <x v="3"/>
    <n v="0.81393386067525597"/>
    <n v="8.5444575100425205E-3"/>
    <n v="0"/>
    <n v="1"/>
    <n v="1"/>
    <n v="0"/>
    <s v="Unnamed ProjectPACKERNumber BusyResource"/>
    <n v="10"/>
    <n v="0.81557194281027567"/>
    <n v="6.9416851287817331E-3"/>
    <n v="0.95"/>
    <n v="4.9657823959478754E-3"/>
    <n v="0.80675605099888203"/>
    <n v="0.82818429749007605"/>
    <n v="4.9657823959478754E-3"/>
  </r>
  <r>
    <x v="0"/>
    <s v="2026-08-31 10:13:27"/>
    <n v="7"/>
    <x v="8"/>
    <x v="1"/>
    <x v="3"/>
    <n v="1"/>
    <n v="2E+20"/>
    <n v="1"/>
    <n v="1"/>
    <n v="1"/>
    <n v="0"/>
    <s v="Unnamed ProjectPACKERNumber ScheduledResource"/>
    <n v="10"/>
    <n v="1"/>
    <n v="0"/>
    <n v="0.95"/>
    <n v="0"/>
    <n v="1"/>
    <n v="1"/>
    <n v="0"/>
  </r>
  <r>
    <x v="0"/>
    <s v="2026-08-31 10:13:27"/>
    <n v="7"/>
    <x v="9"/>
    <x v="5"/>
    <x v="3"/>
    <n v="0.54549381403427999"/>
    <n v="9.16559732611677E-3"/>
    <n v="0"/>
    <n v="1"/>
    <n v="1"/>
    <n v="0"/>
    <s v="Unnamed ProjectPAINTERInstantaneous UtilizationResource"/>
    <n v="10"/>
    <n v="0.54938142053560801"/>
    <n v="4.5196387022068685E-3"/>
    <n v="0.95"/>
    <n v="3.2331547581159752E-3"/>
    <n v="0.54030874063430001"/>
    <n v="0.55566835138728998"/>
    <n v="3.2331547581159752E-3"/>
  </r>
  <r>
    <x v="0"/>
    <s v="2026-08-31 10:13:27"/>
    <n v="7"/>
    <x v="9"/>
    <x v="0"/>
    <x v="3"/>
    <n v="0.54549381403427999"/>
    <n v="9.16559732611677E-3"/>
    <n v="0"/>
    <n v="1"/>
    <n v="1"/>
    <n v="0"/>
    <s v="Unnamed ProjectPAINTERNumber BusyResource"/>
    <n v="10"/>
    <n v="0.54938142053560801"/>
    <n v="4.5196387022068685E-3"/>
    <n v="0.95"/>
    <n v="3.2331547581159752E-3"/>
    <n v="0.54030874063430001"/>
    <n v="0.55566835138728998"/>
    <n v="3.2331547581159752E-3"/>
  </r>
  <r>
    <x v="0"/>
    <s v="2026-08-31 10:13:27"/>
    <n v="7"/>
    <x v="9"/>
    <x v="1"/>
    <x v="3"/>
    <n v="1"/>
    <n v="2E+20"/>
    <n v="1"/>
    <n v="1"/>
    <n v="1"/>
    <n v="0"/>
    <s v="Unnamed ProjectPAINTERNumber ScheduledResource"/>
    <n v="10"/>
    <n v="1"/>
    <n v="0"/>
    <n v="0.95"/>
    <n v="0"/>
    <n v="1"/>
    <n v="1"/>
    <n v="0"/>
  </r>
  <r>
    <x v="0"/>
    <s v="2026-08-31 10:13:27"/>
    <n v="7"/>
    <x v="10"/>
    <x v="3"/>
    <x v="1"/>
    <n v="0.56887017224764702"/>
    <n v="4.41156238148298E-2"/>
    <n v="0"/>
    <n v="5"/>
    <n v="1"/>
    <n v="0"/>
    <s v="Unnamed ProjectPackQNumber WaitingQueue"/>
    <n v="10"/>
    <n v="0.5830563488318371"/>
    <n v="3.7349781067397253E-2"/>
    <n v="0.95"/>
    <n v="2.6718423823055008E-2"/>
    <n v="0.51031500523829298"/>
    <n v="0.63800950130876"/>
    <n v="2.6718423823055008E-2"/>
  </r>
  <r>
    <x v="0"/>
    <s v="2026-08-31 10:13:27"/>
    <n v="7"/>
    <x v="11"/>
    <x v="3"/>
    <x v="1"/>
    <n v="1.49055484366607E-2"/>
    <n v="9.6782737987291404E-4"/>
    <n v="0"/>
    <n v="1"/>
    <n v="0"/>
    <n v="0"/>
    <s v="Unnamed ProjectPackReqQNumber WaitingQueue"/>
    <n v="10"/>
    <n v="1.5083245089254998E-2"/>
    <n v="5.836712228493759E-4"/>
    <n v="0.95"/>
    <n v="4.1753324008164384E-4"/>
    <n v="1.41054163109371E-2"/>
    <n v="1.6052913612351699E-2"/>
    <n v="4.1753324008164384E-4"/>
  </r>
  <r>
    <x v="0"/>
    <s v="2026-08-31 10:13:27"/>
    <n v="7"/>
    <x v="12"/>
    <x v="3"/>
    <x v="1"/>
    <n v="6.4245360251208694E-2"/>
    <n v="6.0296658508374699E-3"/>
    <n v="0"/>
    <n v="2"/>
    <n v="0"/>
    <n v="0"/>
    <s v="Unnamed ProjectPaintQNumber WaitingQueue"/>
    <n v="10"/>
    <n v="6.2655374167183184E-2"/>
    <n v="1.297076259729802E-3"/>
    <n v="0.95"/>
    <n v="9.2787245996831338E-4"/>
    <n v="6.05919548276165E-2"/>
    <n v="6.4938397569822504E-2"/>
    <n v="9.2787245996831338E-4"/>
  </r>
  <r>
    <x v="0"/>
    <s v="2026-08-31 10:13:27"/>
    <n v="7"/>
    <x v="13"/>
    <x v="3"/>
    <x v="1"/>
    <n v="1.1842209288638999E-2"/>
    <n v="7.6659448910728798E-4"/>
    <n v="0"/>
    <n v="1"/>
    <n v="0"/>
    <n v="0"/>
    <s v="Unnamed ProjectPaintReqQNumber WaitingQueue"/>
    <n v="10"/>
    <n v="1.232491804183645E-2"/>
    <n v="4.2846031814523761E-4"/>
    <n v="0.95"/>
    <n v="3.0650204751958381E-4"/>
    <n v="1.1842209288638999E-2"/>
    <n v="1.30420022653657E-2"/>
    <n v="3.0650204751958381E-4"/>
  </r>
  <r>
    <x v="0"/>
    <s v="2026-08-31 10:13:27"/>
    <n v="7"/>
    <x v="14"/>
    <x v="5"/>
    <x v="3"/>
    <n v="0.81843938720675102"/>
    <n v="8.9595626229451095E-3"/>
    <n v="0"/>
    <n v="1"/>
    <n v="1"/>
    <n v="0"/>
    <s v="Unnamed ProjectWORKERInstantaneous UtilizationResource"/>
    <n v="10"/>
    <n v="0.82030090075893936"/>
    <n v="6.9684713894533476E-3"/>
    <n v="0.95"/>
    <n v="4.9849441325044447E-3"/>
    <n v="0.81151215762737705"/>
    <n v="0.832837691284112"/>
    <n v="4.9849441325044447E-3"/>
  </r>
  <r>
    <x v="0"/>
    <s v="2026-08-31 10:13:27"/>
    <n v="7"/>
    <x v="14"/>
    <x v="0"/>
    <x v="3"/>
    <n v="0.81843938720675102"/>
    <n v="8.9595626229451095E-3"/>
    <n v="0"/>
    <n v="1"/>
    <n v="1"/>
    <n v="0"/>
    <s v="Unnamed ProjectWORKERNumber BusyResource"/>
    <n v="10"/>
    <n v="0.82030090075893936"/>
    <n v="6.9684713894533476E-3"/>
    <n v="0.95"/>
    <n v="4.9849441325044447E-3"/>
    <n v="0.81151215762737705"/>
    <n v="0.832837691284112"/>
    <n v="4.9849441325044447E-3"/>
  </r>
  <r>
    <x v="0"/>
    <s v="2026-08-31 10:13:27"/>
    <n v="7"/>
    <x v="14"/>
    <x v="1"/>
    <x v="3"/>
    <n v="1"/>
    <n v="2E+20"/>
    <n v="1"/>
    <n v="1"/>
    <n v="1"/>
    <n v="0"/>
    <s v="Unnamed ProjectWORKERNumber ScheduledResource"/>
    <n v="10"/>
    <n v="1"/>
    <n v="0"/>
    <n v="0.95"/>
    <n v="0"/>
    <n v="1"/>
    <n v="1"/>
    <n v="0"/>
  </r>
  <r>
    <x v="0"/>
    <s v="2026-08-31 10:13:27"/>
    <n v="7"/>
    <x v="15"/>
    <x v="3"/>
    <x v="1"/>
    <n v="1.7213564115286"/>
    <n v="0.20988556442564901"/>
    <n v="0"/>
    <n v="23"/>
    <n v="0"/>
    <n v="0"/>
    <s v="Unnamed ProjectWorkStationQNumber WaitingQueue"/>
    <n v="10"/>
    <n v="1.7984099951452888"/>
    <n v="9.41481017902569E-2"/>
    <n v="0.95"/>
    <n v="6.7349494799689366E-2"/>
    <n v="1.6808414073062801"/>
    <n v="1.96303981301246"/>
    <n v="6.7349494799689366E-2"/>
  </r>
  <r>
    <x v="0"/>
    <s v="2026-08-31 10:13:27"/>
    <n v="7"/>
    <x v="16"/>
    <x v="3"/>
    <x v="1"/>
    <n v="1.2688403784002201E-2"/>
    <n v="7.4366155620411798E-4"/>
    <n v="0"/>
    <n v="1"/>
    <n v="0"/>
    <n v="0"/>
    <s v="Unnamed ProjectWorkStationReqQNumber WaitingQueue"/>
    <n v="10"/>
    <n v="1.2897450081583859E-2"/>
    <n v="4.2374090710035878E-4"/>
    <n v="0.95"/>
    <n v="3.0312598423651549E-4"/>
    <n v="1.2232643269307701E-2"/>
    <n v="1.34073753437328E-2"/>
    <n v="3.0312598423651549E-4"/>
  </r>
  <r>
    <x v="0"/>
    <s v="2026-08-31 10:13:27"/>
    <n v="7"/>
    <x v="17"/>
    <x v="6"/>
    <x v="4"/>
    <n v="0.67558225348834999"/>
    <n v="1.1683114059277499E-2"/>
    <n v="0"/>
    <n v="7"/>
    <n v="0"/>
    <n v="0"/>
    <s v="Unnamed ProjectvNumWaitingRequestsVariableUser Specified"/>
    <n v="10"/>
    <n v="0.67697821611736619"/>
    <n v="6.3714899668086428E-3"/>
    <n v="0.95"/>
    <n v="4.5578893490793634E-3"/>
    <n v="0.66877542384053201"/>
    <n v="0.69059318471793496"/>
    <n v="4.5578893490793634E-3"/>
  </r>
  <r>
    <x v="0"/>
    <s v="2026-08-31 10:13:27"/>
    <n v="8"/>
    <x v="0"/>
    <x v="0"/>
    <x v="0"/>
    <n v="2.08083237435687"/>
    <n v="9.9234034513247301E-3"/>
    <n v="0"/>
    <n v="3"/>
    <n v="2"/>
    <n v="0"/>
    <s v="Unnamed ProjectAGVNumber BusyTransporter"/>
    <n v="10"/>
    <n v="2.078872627125893"/>
    <n v="5.2787009755182E-3"/>
    <n v="0.95"/>
    <n v="3.7761551973910287E-3"/>
    <n v="2.07228794584704"/>
    <n v="2.08892452747873"/>
    <n v="3.7761551973910287E-3"/>
  </r>
  <r>
    <x v="0"/>
    <s v="2026-08-31 10:13:27"/>
    <n v="8"/>
    <x v="0"/>
    <x v="1"/>
    <x v="0"/>
    <n v="3"/>
    <n v="2E+20"/>
    <n v="3"/>
    <n v="3"/>
    <n v="3"/>
    <n v="0"/>
    <s v="Unnamed ProjectAGVNumber ScheduledTransporter"/>
    <n v="10"/>
    <n v="3"/>
    <n v="0"/>
    <n v="0.95"/>
    <n v="0"/>
    <n v="3"/>
    <n v="3"/>
    <n v="0"/>
  </r>
  <r>
    <x v="0"/>
    <s v="2026-08-31 10:13:27"/>
    <n v="8"/>
    <x v="0"/>
    <x v="2"/>
    <x v="0"/>
    <n v="0.69361079145228"/>
    <n v="3.3078011504414999E-3"/>
    <n v="0"/>
    <n v="1"/>
    <n v="0.66666666666666696"/>
    <n v="0"/>
    <s v="Unnamed ProjectAGVUtilizationTransporter"/>
    <n v="10"/>
    <n v="0.69295754237529772"/>
    <n v="1.759566991837834E-3"/>
    <n v="0.95"/>
    <n v="1.2587183991292225E-3"/>
    <n v="0.69076264861567704"/>
    <n v="0.69630817582623705"/>
    <n v="1.2587183991292225E-3"/>
  </r>
  <r>
    <x v="0"/>
    <s v="2026-08-31 10:13:27"/>
    <n v="8"/>
    <x v="1"/>
    <x v="3"/>
    <x v="1"/>
    <n v="3.1716417798791398E-2"/>
    <n v="2.5976859223695802E-3"/>
    <n v="0"/>
    <n v="4"/>
    <n v="0"/>
    <n v="0"/>
    <s v="Unnamed ProjectEnter Request AGV.QueueNumber WaitingQueue"/>
    <n v="10"/>
    <n v="3.1035047783347335E-2"/>
    <n v="1.214427597616889E-3"/>
    <n v="0.95"/>
    <n v="8.6874916875660508E-4"/>
    <n v="2.9772007867277201E-2"/>
    <n v="3.3809532279706102E-2"/>
    <n v="8.6874916875660508E-4"/>
  </r>
  <r>
    <x v="0"/>
    <s v="2026-08-31 10:13:27"/>
    <n v="8"/>
    <x v="2"/>
    <x v="4"/>
    <x v="2"/>
    <n v="0"/>
    <n v="2E+20"/>
    <n v="0"/>
    <n v="1"/>
    <n v="0"/>
    <n v="0"/>
    <s v="Unnamed ProjectEntity 1WIPEntity"/>
    <n v="10"/>
    <n v="0"/>
    <n v="0"/>
    <n v="0.95"/>
    <n v="0"/>
    <n v="0"/>
    <n v="0"/>
    <n v="0"/>
  </r>
  <r>
    <x v="0"/>
    <s v="2026-08-31 10:13:27"/>
    <n v="8"/>
    <x v="3"/>
    <x v="5"/>
    <x v="3"/>
    <n v="0.52474220708409902"/>
    <n v="1.40998119277499E-2"/>
    <n v="0"/>
    <n v="1"/>
    <n v="0"/>
    <n v="0"/>
    <s v="Unnamed ProjectNEWPAINTERInstantaneous UtilizationResource"/>
    <n v="10"/>
    <n v="0.52518723279433455"/>
    <n v="8.4087502405714581E-3"/>
    <n v="0.95"/>
    <n v="6.0152575551752803E-3"/>
    <n v="0.51150896826018899"/>
    <n v="0.54003281556404203"/>
    <n v="6.0152575551752803E-3"/>
  </r>
  <r>
    <x v="0"/>
    <s v="2026-08-31 10:13:27"/>
    <n v="8"/>
    <x v="3"/>
    <x v="0"/>
    <x v="3"/>
    <n v="0.52474220708409902"/>
    <n v="1.40998119277499E-2"/>
    <n v="0"/>
    <n v="1"/>
    <n v="0"/>
    <n v="0"/>
    <s v="Unnamed ProjectNEWPAINTERNumber BusyResource"/>
    <n v="10"/>
    <n v="0.52518723279433455"/>
    <n v="8.4087502405714581E-3"/>
    <n v="0.95"/>
    <n v="6.0152575551752803E-3"/>
    <n v="0.51150896826018899"/>
    <n v="0.54003281556404203"/>
    <n v="6.0152575551752803E-3"/>
  </r>
  <r>
    <x v="0"/>
    <s v="2026-08-31 10:13:27"/>
    <n v="8"/>
    <x v="3"/>
    <x v="1"/>
    <x v="3"/>
    <n v="1"/>
    <n v="2E+20"/>
    <n v="1"/>
    <n v="1"/>
    <n v="1"/>
    <n v="0"/>
    <s v="Unnamed ProjectNEWPAINTERNumber ScheduledResource"/>
    <n v="10"/>
    <n v="1"/>
    <n v="0"/>
    <n v="0.95"/>
    <n v="0"/>
    <n v="1"/>
    <n v="1"/>
    <n v="0"/>
  </r>
  <r>
    <x v="0"/>
    <s v="2026-08-31 10:13:27"/>
    <n v="8"/>
    <x v="4"/>
    <x v="3"/>
    <x v="1"/>
    <n v="0.19021192736628301"/>
    <n v="3E+20"/>
    <n v="0"/>
    <n v="5"/>
    <n v="0"/>
    <n v="0"/>
    <s v="Unnamed ProjectNewPaintQNumber WaitingQueue"/>
    <n v="10"/>
    <n v="0.19175082727765341"/>
    <n v="1.5966644693782381E-2"/>
    <n v="0.95"/>
    <n v="1.1421849546877095E-2"/>
    <n v="0.17015628683515099"/>
    <n v="0.217869952503708"/>
    <n v="1.1421849546877095E-2"/>
  </r>
  <r>
    <x v="0"/>
    <s v="2026-08-31 10:13:27"/>
    <n v="8"/>
    <x v="5"/>
    <x v="3"/>
    <x v="1"/>
    <n v="4.6662912112384299E-3"/>
    <n v="4.3472247236290299E-4"/>
    <n v="0"/>
    <n v="1"/>
    <n v="0"/>
    <n v="0"/>
    <s v="Unnamed ProjectNewPaintReqQNumber WaitingQueue"/>
    <n v="10"/>
    <n v="4.7461022101932173E-3"/>
    <n v="2.0643575159293872E-4"/>
    <n v="0.95"/>
    <n v="1.4767524054125336E-4"/>
    <n v="4.3438456155572196E-3"/>
    <n v="5.0878342070728201E-3"/>
    <n v="1.4767524054125336E-4"/>
  </r>
  <r>
    <x v="0"/>
    <s v="2026-08-31 10:13:27"/>
    <n v="8"/>
    <x v="6"/>
    <x v="4"/>
    <x v="2"/>
    <n v="2.5355085097002199"/>
    <n v="0.114128442369172"/>
    <n v="0"/>
    <n v="13"/>
    <n v="3"/>
    <n v="0"/>
    <s v="Unnamed ProjectNewPartWIPEntity"/>
    <n v="10"/>
    <n v="2.5498900061729541"/>
    <n v="7.472159430415927E-2"/>
    <n v="0.95"/>
    <n v="5.3452608510618609E-2"/>
    <n v="2.4192292508998099"/>
    <n v="2.6620431560013098"/>
    <n v="5.3452608510618609E-2"/>
  </r>
  <r>
    <x v="0"/>
    <s v="2026-08-31 10:13:27"/>
    <n v="8"/>
    <x v="7"/>
    <x v="4"/>
    <x v="2"/>
    <n v="4.9947907719369598"/>
    <n v="0.16919177156719301"/>
    <n v="0"/>
    <n v="23"/>
    <n v="6"/>
    <n v="0"/>
    <s v="Unnamed ProjectOldPartWIPEntity"/>
    <n v="10"/>
    <n v="4.9513834264802963"/>
    <n v="0.10244397191297382"/>
    <n v="0.95"/>
    <n v="7.3284002783010616E-2"/>
    <n v="4.82855853416822"/>
    <n v="5.1212851674768203"/>
    <n v="7.3284002783010616E-2"/>
  </r>
  <r>
    <x v="0"/>
    <s v="2026-08-31 10:13:27"/>
    <n v="8"/>
    <x v="8"/>
    <x v="5"/>
    <x v="3"/>
    <n v="0.81848735620133495"/>
    <n v="1.06265214313719E-2"/>
    <n v="0"/>
    <n v="1"/>
    <n v="1"/>
    <n v="0"/>
    <s v="Unnamed ProjectPACKERInstantaneous UtilizationResource"/>
    <n v="10"/>
    <n v="0.81557194281027567"/>
    <n v="6.9416851287817331E-3"/>
    <n v="0.95"/>
    <n v="4.9657823959478754E-3"/>
    <n v="0.80675605099888203"/>
    <n v="0.82818429749007605"/>
    <n v="4.9657823959478754E-3"/>
  </r>
  <r>
    <x v="0"/>
    <s v="2026-08-31 10:13:27"/>
    <n v="8"/>
    <x v="8"/>
    <x v="0"/>
    <x v="3"/>
    <n v="0.81848735620133495"/>
    <n v="1.06265214313719E-2"/>
    <n v="0"/>
    <n v="1"/>
    <n v="1"/>
    <n v="0"/>
    <s v="Unnamed ProjectPACKERNumber BusyResource"/>
    <n v="10"/>
    <n v="0.81557194281027567"/>
    <n v="6.9416851287817331E-3"/>
    <n v="0.95"/>
    <n v="4.9657823959478754E-3"/>
    <n v="0.80675605099888203"/>
    <n v="0.82818429749007605"/>
    <n v="4.9657823959478754E-3"/>
  </r>
  <r>
    <x v="0"/>
    <s v="2026-08-31 10:13:27"/>
    <n v="8"/>
    <x v="8"/>
    <x v="1"/>
    <x v="3"/>
    <n v="1"/>
    <n v="2E+20"/>
    <n v="1"/>
    <n v="1"/>
    <n v="1"/>
    <n v="0"/>
    <s v="Unnamed ProjectPACKERNumber ScheduledResource"/>
    <n v="10"/>
    <n v="1"/>
    <n v="0"/>
    <n v="0.95"/>
    <n v="0"/>
    <n v="1"/>
    <n v="1"/>
    <n v="0"/>
  </r>
  <r>
    <x v="0"/>
    <s v="2026-08-31 10:13:27"/>
    <n v="8"/>
    <x v="9"/>
    <x v="5"/>
    <x v="3"/>
    <n v="0.55186795556101498"/>
    <n v="8.7033417430335998E-3"/>
    <n v="0"/>
    <n v="1"/>
    <n v="1"/>
    <n v="0"/>
    <s v="Unnamed ProjectPAINTERInstantaneous UtilizationResource"/>
    <n v="10"/>
    <n v="0.54938142053560801"/>
    <n v="4.5196387022068685E-3"/>
    <n v="0.95"/>
    <n v="3.2331547581159752E-3"/>
    <n v="0.54030874063430001"/>
    <n v="0.55566835138728998"/>
    <n v="3.2331547581159752E-3"/>
  </r>
  <r>
    <x v="0"/>
    <s v="2026-08-31 10:13:27"/>
    <n v="8"/>
    <x v="9"/>
    <x v="0"/>
    <x v="3"/>
    <n v="0.55186795556101498"/>
    <n v="8.7033417430335998E-3"/>
    <n v="0"/>
    <n v="1"/>
    <n v="1"/>
    <n v="0"/>
    <s v="Unnamed ProjectPAINTERNumber BusyResource"/>
    <n v="10"/>
    <n v="0.54938142053560801"/>
    <n v="4.5196387022068685E-3"/>
    <n v="0.95"/>
    <n v="3.2331547581159752E-3"/>
    <n v="0.54030874063430001"/>
    <n v="0.55566835138728998"/>
    <n v="3.2331547581159752E-3"/>
  </r>
  <r>
    <x v="0"/>
    <s v="2026-08-31 10:13:27"/>
    <n v="8"/>
    <x v="9"/>
    <x v="1"/>
    <x v="3"/>
    <n v="1"/>
    <n v="2E+20"/>
    <n v="1"/>
    <n v="1"/>
    <n v="1"/>
    <n v="0"/>
    <s v="Unnamed ProjectPAINTERNumber ScheduledResource"/>
    <n v="10"/>
    <n v="1"/>
    <n v="0"/>
    <n v="0.95"/>
    <n v="0"/>
    <n v="1"/>
    <n v="1"/>
    <n v="0"/>
  </r>
  <r>
    <x v="0"/>
    <s v="2026-08-31 10:13:27"/>
    <n v="8"/>
    <x v="10"/>
    <x v="3"/>
    <x v="1"/>
    <n v="0.61345457047356799"/>
    <n v="5.2631393540587303E-2"/>
    <n v="0"/>
    <n v="5"/>
    <n v="1"/>
    <n v="0"/>
    <s v="Unnamed ProjectPackQNumber WaitingQueue"/>
    <n v="10"/>
    <n v="0.5830563488318371"/>
    <n v="3.7349781067397253E-2"/>
    <n v="0.95"/>
    <n v="2.6718423823055008E-2"/>
    <n v="0.51031500523829298"/>
    <n v="0.63800950130876"/>
    <n v="2.6718423823055008E-2"/>
  </r>
  <r>
    <x v="0"/>
    <s v="2026-08-31 10:13:27"/>
    <n v="8"/>
    <x v="11"/>
    <x v="3"/>
    <x v="1"/>
    <n v="1.5184686380194601E-2"/>
    <n v="1.1101606051776699E-3"/>
    <n v="0"/>
    <n v="1"/>
    <n v="0"/>
    <n v="0"/>
    <s v="Unnamed ProjectPackReqQNumber WaitingQueue"/>
    <n v="10"/>
    <n v="1.5083245089254998E-2"/>
    <n v="5.836712228493759E-4"/>
    <n v="0.95"/>
    <n v="4.1753324008164384E-4"/>
    <n v="1.41054163109371E-2"/>
    <n v="1.6052913612351699E-2"/>
    <n v="4.1753324008164384E-4"/>
  </r>
  <r>
    <x v="0"/>
    <s v="2026-08-31 10:13:27"/>
    <n v="8"/>
    <x v="12"/>
    <x v="3"/>
    <x v="1"/>
    <n v="6.2032099653087598E-2"/>
    <n v="5.3586944362300597E-3"/>
    <n v="0"/>
    <n v="2"/>
    <n v="0"/>
    <n v="0"/>
    <s v="Unnamed ProjectPaintQNumber WaitingQueue"/>
    <n v="10"/>
    <n v="6.2655374167183184E-2"/>
    <n v="1.297076259729802E-3"/>
    <n v="0.95"/>
    <n v="9.2787245996831338E-4"/>
    <n v="6.05919548276165E-2"/>
    <n v="6.4938397569822504E-2"/>
    <n v="9.2787245996831338E-4"/>
  </r>
  <r>
    <x v="0"/>
    <s v="2026-08-31 10:13:27"/>
    <n v="8"/>
    <x v="13"/>
    <x v="3"/>
    <x v="1"/>
    <n v="1.2486039561954199E-2"/>
    <n v="7.55026622059471E-4"/>
    <n v="0"/>
    <n v="2"/>
    <n v="0"/>
    <n v="0"/>
    <s v="Unnamed ProjectPaintReqQNumber WaitingQueue"/>
    <n v="10"/>
    <n v="1.232491804183645E-2"/>
    <n v="4.2846031814523761E-4"/>
    <n v="0.95"/>
    <n v="3.0650204751958381E-4"/>
    <n v="1.1842209288638999E-2"/>
    <n v="1.30420022653657E-2"/>
    <n v="3.0650204751958381E-4"/>
  </r>
  <r>
    <x v="0"/>
    <s v="2026-08-31 10:13:27"/>
    <n v="8"/>
    <x v="14"/>
    <x v="5"/>
    <x v="3"/>
    <n v="0.82389862608839404"/>
    <n v="1.0921090655302701E-2"/>
    <n v="0"/>
    <n v="1"/>
    <n v="1"/>
    <n v="0"/>
    <s v="Unnamed ProjectWORKERInstantaneous UtilizationResource"/>
    <n v="10"/>
    <n v="0.82030090075893936"/>
    <n v="6.9684713894533476E-3"/>
    <n v="0.95"/>
    <n v="4.9849441325044447E-3"/>
    <n v="0.81151215762737705"/>
    <n v="0.832837691284112"/>
    <n v="4.9849441325044447E-3"/>
  </r>
  <r>
    <x v="0"/>
    <s v="2026-08-31 10:13:27"/>
    <n v="8"/>
    <x v="14"/>
    <x v="0"/>
    <x v="3"/>
    <n v="0.82389862608839404"/>
    <n v="1.0921090655302701E-2"/>
    <n v="0"/>
    <n v="1"/>
    <n v="1"/>
    <n v="0"/>
    <s v="Unnamed ProjectWORKERNumber BusyResource"/>
    <n v="10"/>
    <n v="0.82030090075893936"/>
    <n v="6.9684713894533476E-3"/>
    <n v="0.95"/>
    <n v="4.9849441325044447E-3"/>
    <n v="0.81151215762737705"/>
    <n v="0.832837691284112"/>
    <n v="4.9849441325044447E-3"/>
  </r>
  <r>
    <x v="0"/>
    <s v="2026-08-31 10:13:27"/>
    <n v="8"/>
    <x v="14"/>
    <x v="1"/>
    <x v="3"/>
    <n v="1"/>
    <n v="2E+20"/>
    <n v="1"/>
    <n v="1"/>
    <n v="1"/>
    <n v="0"/>
    <s v="Unnamed ProjectWORKERNumber ScheduledResource"/>
    <n v="10"/>
    <n v="1"/>
    <n v="0"/>
    <n v="0.95"/>
    <n v="0"/>
    <n v="1"/>
    <n v="1"/>
    <n v="0"/>
  </r>
  <r>
    <x v="0"/>
    <s v="2026-08-31 10:13:27"/>
    <n v="8"/>
    <x v="15"/>
    <x v="3"/>
    <x v="1"/>
    <n v="1.78767510227992"/>
    <n v="0.16778381856466901"/>
    <n v="0"/>
    <n v="20"/>
    <n v="3"/>
    <n v="0"/>
    <s v="Unnamed ProjectWorkStationQNumber WaitingQueue"/>
    <n v="10"/>
    <n v="1.7984099951452888"/>
    <n v="9.41481017902569E-2"/>
    <n v="0.95"/>
    <n v="6.7349494799689366E-2"/>
    <n v="1.6808414073062801"/>
    <n v="1.96303981301246"/>
    <n v="6.7349494799689366E-2"/>
  </r>
  <r>
    <x v="0"/>
    <s v="2026-08-31 10:13:27"/>
    <n v="8"/>
    <x v="16"/>
    <x v="3"/>
    <x v="1"/>
    <n v="1.3043627620443501E-2"/>
    <n v="8.8210703845838202E-4"/>
    <n v="0"/>
    <n v="1"/>
    <n v="0"/>
    <n v="0"/>
    <s v="Unnamed ProjectWorkStationReqQNumber WaitingQueue"/>
    <n v="10"/>
    <n v="1.2897450081583859E-2"/>
    <n v="4.2374090710035878E-4"/>
    <n v="0.95"/>
    <n v="3.0312598423651549E-4"/>
    <n v="1.2232643269307701E-2"/>
    <n v="1.34073753437328E-2"/>
    <n v="3.0312598423651549E-4"/>
  </r>
  <r>
    <x v="0"/>
    <s v="2026-08-31 10:13:27"/>
    <n v="8"/>
    <x v="17"/>
    <x v="6"/>
    <x v="4"/>
    <n v="0.67881807787146298"/>
    <n v="1.4673655558452899E-2"/>
    <n v="0"/>
    <n v="6"/>
    <n v="1"/>
    <n v="0"/>
    <s v="Unnamed ProjectvNumWaitingRequestsVariableUser Specified"/>
    <n v="10"/>
    <n v="0.67697821611736619"/>
    <n v="6.3714899668086428E-3"/>
    <n v="0.95"/>
    <n v="4.5578893490793634E-3"/>
    <n v="0.66877542384053201"/>
    <n v="0.69059318471793496"/>
    <n v="4.5578893490793634E-3"/>
  </r>
  <r>
    <x v="0"/>
    <s v="2026-08-31 10:13:27"/>
    <n v="9"/>
    <x v="0"/>
    <x v="0"/>
    <x v="0"/>
    <n v="2.0794068734910902"/>
    <n v="1.01906908734858E-2"/>
    <n v="0"/>
    <n v="3"/>
    <n v="2"/>
    <n v="0"/>
    <s v="Unnamed ProjectAGVNumber BusyTransporter"/>
    <n v="10"/>
    <n v="2.078872627125893"/>
    <n v="5.2787009755182E-3"/>
    <n v="0.95"/>
    <n v="3.7761551973910287E-3"/>
    <n v="2.07228794584704"/>
    <n v="2.08892452747873"/>
    <n v="3.7761551973910287E-3"/>
  </r>
  <r>
    <x v="0"/>
    <s v="2026-08-31 10:13:27"/>
    <n v="9"/>
    <x v="0"/>
    <x v="1"/>
    <x v="0"/>
    <n v="3"/>
    <n v="2E+20"/>
    <n v="3"/>
    <n v="3"/>
    <n v="3"/>
    <n v="0"/>
    <s v="Unnamed ProjectAGVNumber ScheduledTransporter"/>
    <n v="10"/>
    <n v="3"/>
    <n v="0"/>
    <n v="0.95"/>
    <n v="0"/>
    <n v="3"/>
    <n v="3"/>
    <n v="0"/>
  </r>
  <r>
    <x v="0"/>
    <s v="2026-08-31 10:13:27"/>
    <n v="9"/>
    <x v="0"/>
    <x v="2"/>
    <x v="0"/>
    <n v="0.69313562449703803"/>
    <n v="3.3968969578285001E-3"/>
    <n v="0"/>
    <n v="1"/>
    <n v="0.66666666666666696"/>
    <n v="0"/>
    <s v="Unnamed ProjectAGVUtilizationTransporter"/>
    <n v="10"/>
    <n v="0.69295754237529772"/>
    <n v="1.759566991837834E-3"/>
    <n v="0.95"/>
    <n v="1.2587183991292225E-3"/>
    <n v="0.69076264861567704"/>
    <n v="0.69630817582623705"/>
    <n v="1.2587183991292225E-3"/>
  </r>
  <r>
    <x v="0"/>
    <s v="2026-08-31 10:13:27"/>
    <n v="9"/>
    <x v="1"/>
    <x v="3"/>
    <x v="1"/>
    <n v="3.04055239944248E-2"/>
    <n v="2.3788988616007499E-3"/>
    <n v="0"/>
    <n v="4"/>
    <n v="0"/>
    <n v="0"/>
    <s v="Unnamed ProjectEnter Request AGV.QueueNumber WaitingQueue"/>
    <n v="10"/>
    <n v="3.1035047783347335E-2"/>
    <n v="1.214427597616889E-3"/>
    <n v="0.95"/>
    <n v="8.6874916875660508E-4"/>
    <n v="2.9772007867277201E-2"/>
    <n v="3.3809532279706102E-2"/>
    <n v="8.6874916875660508E-4"/>
  </r>
  <r>
    <x v="0"/>
    <s v="2026-08-31 10:13:27"/>
    <n v="9"/>
    <x v="2"/>
    <x v="4"/>
    <x v="2"/>
    <n v="0"/>
    <n v="2E+20"/>
    <n v="0"/>
    <n v="1"/>
    <n v="0"/>
    <n v="0"/>
    <s v="Unnamed ProjectEntity 1WIPEntity"/>
    <n v="10"/>
    <n v="0"/>
    <n v="0"/>
    <n v="0.95"/>
    <n v="0"/>
    <n v="0"/>
    <n v="0"/>
    <n v="0"/>
  </r>
  <r>
    <x v="0"/>
    <s v="2026-08-31 10:13:27"/>
    <n v="9"/>
    <x v="3"/>
    <x v="5"/>
    <x v="3"/>
    <n v="0.52047864599343696"/>
    <n v="1.22601301860078E-2"/>
    <n v="0"/>
    <n v="1"/>
    <n v="0"/>
    <n v="0"/>
    <s v="Unnamed ProjectNEWPAINTERInstantaneous UtilizationResource"/>
    <n v="10"/>
    <n v="0.52518723279433455"/>
    <n v="8.4087502405714581E-3"/>
    <n v="0.95"/>
    <n v="6.0152575551752803E-3"/>
    <n v="0.51150896826018899"/>
    <n v="0.54003281556404203"/>
    <n v="6.0152575551752803E-3"/>
  </r>
  <r>
    <x v="0"/>
    <s v="2026-08-31 10:13:27"/>
    <n v="9"/>
    <x v="3"/>
    <x v="0"/>
    <x v="3"/>
    <n v="0.52047864599343696"/>
    <n v="1.22601301860078E-2"/>
    <n v="0"/>
    <n v="1"/>
    <n v="0"/>
    <n v="0"/>
    <s v="Unnamed ProjectNEWPAINTERNumber BusyResource"/>
    <n v="10"/>
    <n v="0.52518723279433455"/>
    <n v="8.4087502405714581E-3"/>
    <n v="0.95"/>
    <n v="6.0152575551752803E-3"/>
    <n v="0.51150896826018899"/>
    <n v="0.54003281556404203"/>
    <n v="6.0152575551752803E-3"/>
  </r>
  <r>
    <x v="0"/>
    <s v="2026-08-31 10:13:27"/>
    <n v="9"/>
    <x v="3"/>
    <x v="1"/>
    <x v="3"/>
    <n v="1"/>
    <n v="2E+20"/>
    <n v="1"/>
    <n v="1"/>
    <n v="1"/>
    <n v="0"/>
    <s v="Unnamed ProjectNEWPAINTERNumber ScheduledResource"/>
    <n v="10"/>
    <n v="1"/>
    <n v="0"/>
    <n v="0.95"/>
    <n v="0"/>
    <n v="1"/>
    <n v="1"/>
    <n v="0"/>
  </r>
  <r>
    <x v="0"/>
    <s v="2026-08-31 10:13:27"/>
    <n v="9"/>
    <x v="4"/>
    <x v="3"/>
    <x v="1"/>
    <n v="0.173932894243709"/>
    <n v="1.9121617547237402E-2"/>
    <n v="0"/>
    <n v="4"/>
    <n v="0"/>
    <n v="0"/>
    <s v="Unnamed ProjectNewPaintQNumber WaitingQueue"/>
    <n v="10"/>
    <n v="0.19175082727765341"/>
    <n v="1.5966644693782381E-2"/>
    <n v="0.95"/>
    <n v="1.1421849546877095E-2"/>
    <n v="0.17015628683515099"/>
    <n v="0.217869952503708"/>
    <n v="1.1421849546877095E-2"/>
  </r>
  <r>
    <x v="0"/>
    <s v="2026-08-31 10:13:27"/>
    <n v="9"/>
    <x v="5"/>
    <x v="3"/>
    <x v="1"/>
    <n v="4.8373031091962903E-3"/>
    <n v="3.6066396962137299E-4"/>
    <n v="0"/>
    <n v="1"/>
    <n v="0"/>
    <n v="0"/>
    <s v="Unnamed ProjectNewPaintReqQNumber WaitingQueue"/>
    <n v="10"/>
    <n v="4.7461022101932173E-3"/>
    <n v="2.0643575159293872E-4"/>
    <n v="0.95"/>
    <n v="1.4767524054125336E-4"/>
    <n v="4.3438456155572196E-3"/>
    <n v="5.0878342070728201E-3"/>
    <n v="1.4767524054125336E-4"/>
  </r>
  <r>
    <x v="0"/>
    <s v="2026-08-31 10:13:27"/>
    <n v="9"/>
    <x v="6"/>
    <x v="4"/>
    <x v="2"/>
    <n v="2.4957350600538599"/>
    <n v="0.110842955258267"/>
    <n v="0"/>
    <n v="14"/>
    <n v="2"/>
    <n v="0"/>
    <s v="Unnamed ProjectNewPartWIPEntity"/>
    <n v="10"/>
    <n v="2.5498900061729541"/>
    <n v="7.472159430415927E-2"/>
    <n v="0.95"/>
    <n v="5.3452608510618609E-2"/>
    <n v="2.4192292508998099"/>
    <n v="2.6620431560013098"/>
    <n v="5.3452608510618609E-2"/>
  </r>
  <r>
    <x v="0"/>
    <s v="2026-08-31 10:13:27"/>
    <n v="9"/>
    <x v="7"/>
    <x v="4"/>
    <x v="2"/>
    <n v="4.9200206759892202"/>
    <n v="0.21917397006161701"/>
    <n v="0"/>
    <n v="20"/>
    <n v="4"/>
    <n v="0"/>
    <s v="Unnamed ProjectOldPartWIPEntity"/>
    <n v="10"/>
    <n v="4.9513834264802963"/>
    <n v="0.10244397191297382"/>
    <n v="0.95"/>
    <n v="7.3284002783010616E-2"/>
    <n v="4.82855853416822"/>
    <n v="5.1212851674768203"/>
    <n v="7.3284002783010616E-2"/>
  </r>
  <r>
    <x v="0"/>
    <s v="2026-08-31 10:13:27"/>
    <n v="9"/>
    <x v="8"/>
    <x v="5"/>
    <x v="3"/>
    <n v="0.815755455608563"/>
    <n v="1.11742129920092E-2"/>
    <n v="0"/>
    <n v="1"/>
    <n v="0"/>
    <n v="0"/>
    <s v="Unnamed ProjectPACKERInstantaneous UtilizationResource"/>
    <n v="10"/>
    <n v="0.81557194281027567"/>
    <n v="6.9416851287817331E-3"/>
    <n v="0.95"/>
    <n v="4.9657823959478754E-3"/>
    <n v="0.80675605099888203"/>
    <n v="0.82818429749007605"/>
    <n v="4.9657823959478754E-3"/>
  </r>
  <r>
    <x v="0"/>
    <s v="2026-08-31 10:13:27"/>
    <n v="9"/>
    <x v="8"/>
    <x v="0"/>
    <x v="3"/>
    <n v="0.815755455608563"/>
    <n v="1.11742129920092E-2"/>
    <n v="0"/>
    <n v="1"/>
    <n v="0"/>
    <n v="0"/>
    <s v="Unnamed ProjectPACKERNumber BusyResource"/>
    <n v="10"/>
    <n v="0.81557194281027567"/>
    <n v="6.9416851287817331E-3"/>
    <n v="0.95"/>
    <n v="4.9657823959478754E-3"/>
    <n v="0.80675605099888203"/>
    <n v="0.82818429749007605"/>
    <n v="4.9657823959478754E-3"/>
  </r>
  <r>
    <x v="0"/>
    <s v="2026-08-31 10:13:27"/>
    <n v="9"/>
    <x v="8"/>
    <x v="1"/>
    <x v="3"/>
    <n v="1"/>
    <n v="2E+20"/>
    <n v="1"/>
    <n v="1"/>
    <n v="1"/>
    <n v="0"/>
    <s v="Unnamed ProjectPACKERNumber ScheduledResource"/>
    <n v="10"/>
    <n v="1"/>
    <n v="0"/>
    <n v="0.95"/>
    <n v="0"/>
    <n v="1"/>
    <n v="1"/>
    <n v="0"/>
  </r>
  <r>
    <x v="0"/>
    <s v="2026-08-31 10:13:27"/>
    <n v="9"/>
    <x v="9"/>
    <x v="5"/>
    <x v="3"/>
    <n v="0.55170450646758595"/>
    <n v="9.2285510626745008E-3"/>
    <n v="0"/>
    <n v="1"/>
    <n v="1"/>
    <n v="0"/>
    <s v="Unnamed ProjectPAINTERInstantaneous UtilizationResource"/>
    <n v="10"/>
    <n v="0.54938142053560801"/>
    <n v="4.5196387022068685E-3"/>
    <n v="0.95"/>
    <n v="3.2331547581159752E-3"/>
    <n v="0.54030874063430001"/>
    <n v="0.55566835138728998"/>
    <n v="3.2331547581159752E-3"/>
  </r>
  <r>
    <x v="0"/>
    <s v="2026-08-31 10:13:27"/>
    <n v="9"/>
    <x v="9"/>
    <x v="0"/>
    <x v="3"/>
    <n v="0.55170450646758595"/>
    <n v="9.2285510626745008E-3"/>
    <n v="0"/>
    <n v="1"/>
    <n v="1"/>
    <n v="0"/>
    <s v="Unnamed ProjectPAINTERNumber BusyResource"/>
    <n v="10"/>
    <n v="0.54938142053560801"/>
    <n v="4.5196387022068685E-3"/>
    <n v="0.95"/>
    <n v="3.2331547581159752E-3"/>
    <n v="0.54030874063430001"/>
    <n v="0.55566835138728998"/>
    <n v="3.2331547581159752E-3"/>
  </r>
  <r>
    <x v="0"/>
    <s v="2026-08-31 10:13:27"/>
    <n v="9"/>
    <x v="9"/>
    <x v="1"/>
    <x v="3"/>
    <n v="1"/>
    <n v="2E+20"/>
    <n v="1"/>
    <n v="1"/>
    <n v="1"/>
    <n v="0"/>
    <s v="Unnamed ProjectPAINTERNumber ScheduledResource"/>
    <n v="10"/>
    <n v="1"/>
    <n v="0"/>
    <n v="0.95"/>
    <n v="0"/>
    <n v="1"/>
    <n v="1"/>
    <n v="0"/>
  </r>
  <r>
    <x v="0"/>
    <s v="2026-08-31 10:13:27"/>
    <n v="9"/>
    <x v="10"/>
    <x v="3"/>
    <x v="1"/>
    <n v="0.57424773747648605"/>
    <n v="4.8445716961909198E-2"/>
    <n v="0"/>
    <n v="6"/>
    <n v="0"/>
    <n v="0"/>
    <s v="Unnamed ProjectPackQNumber WaitingQueue"/>
    <n v="10"/>
    <n v="0.5830563488318371"/>
    <n v="3.7349781067397253E-2"/>
    <n v="0.95"/>
    <n v="2.6718423823055008E-2"/>
    <n v="0.51031500523829298"/>
    <n v="0.63800950130876"/>
    <n v="2.6718423823055008E-2"/>
  </r>
  <r>
    <x v="0"/>
    <s v="2026-08-31 10:13:27"/>
    <n v="9"/>
    <x v="11"/>
    <x v="3"/>
    <x v="1"/>
    <n v="1.5520501612039401E-2"/>
    <n v="9.7071693016636705E-4"/>
    <n v="0"/>
    <n v="1"/>
    <n v="0"/>
    <n v="0"/>
    <s v="Unnamed ProjectPackReqQNumber WaitingQueue"/>
    <n v="10"/>
    <n v="1.5083245089254998E-2"/>
    <n v="5.836712228493759E-4"/>
    <n v="0.95"/>
    <n v="4.1753324008164384E-4"/>
    <n v="1.41054163109371E-2"/>
    <n v="1.6052913612351699E-2"/>
    <n v="4.1753324008164384E-4"/>
  </r>
  <r>
    <x v="0"/>
    <s v="2026-08-31 10:13:27"/>
    <n v="9"/>
    <x v="12"/>
    <x v="3"/>
    <x v="1"/>
    <n v="6.1140384170327501E-2"/>
    <n v="4.18172842940905E-3"/>
    <n v="0"/>
    <n v="2"/>
    <n v="0"/>
    <n v="0"/>
    <s v="Unnamed ProjectPaintQNumber WaitingQueue"/>
    <n v="10"/>
    <n v="6.2655374167183184E-2"/>
    <n v="1.297076259729802E-3"/>
    <n v="0.95"/>
    <n v="9.2787245996831338E-4"/>
    <n v="6.05919548276165E-2"/>
    <n v="6.4938397569822504E-2"/>
    <n v="9.2787245996831338E-4"/>
  </r>
  <r>
    <x v="0"/>
    <s v="2026-08-31 10:13:27"/>
    <n v="9"/>
    <x v="13"/>
    <x v="3"/>
    <x v="1"/>
    <n v="1.2020746578646499E-2"/>
    <n v="7.06007599995309E-4"/>
    <n v="0"/>
    <n v="1"/>
    <n v="0"/>
    <n v="0"/>
    <s v="Unnamed ProjectPaintReqQNumber WaitingQueue"/>
    <n v="10"/>
    <n v="1.232491804183645E-2"/>
    <n v="4.2846031814523761E-4"/>
    <n v="0.95"/>
    <n v="3.0650204751958381E-4"/>
    <n v="1.1842209288638999E-2"/>
    <n v="1.30420022653657E-2"/>
    <n v="3.0650204751958381E-4"/>
  </r>
  <r>
    <x v="0"/>
    <s v="2026-08-31 10:13:27"/>
    <n v="9"/>
    <x v="14"/>
    <x v="5"/>
    <x v="3"/>
    <n v="0.82044403441360703"/>
    <n v="1.1486056725993199E-2"/>
    <n v="0"/>
    <n v="1"/>
    <n v="1"/>
    <n v="0"/>
    <s v="Unnamed ProjectWORKERInstantaneous UtilizationResource"/>
    <n v="10"/>
    <n v="0.82030090075893936"/>
    <n v="6.9684713894533476E-3"/>
    <n v="0.95"/>
    <n v="4.9849441325044447E-3"/>
    <n v="0.81151215762737705"/>
    <n v="0.832837691284112"/>
    <n v="4.9849441325044447E-3"/>
  </r>
  <r>
    <x v="0"/>
    <s v="2026-08-31 10:13:27"/>
    <n v="9"/>
    <x v="14"/>
    <x v="0"/>
    <x v="3"/>
    <n v="0.82044403441360703"/>
    <n v="1.1486056725993199E-2"/>
    <n v="0"/>
    <n v="1"/>
    <n v="1"/>
    <n v="0"/>
    <s v="Unnamed ProjectWORKERNumber BusyResource"/>
    <n v="10"/>
    <n v="0.82030090075893936"/>
    <n v="6.9684713894533476E-3"/>
    <n v="0.95"/>
    <n v="4.9849441325044447E-3"/>
    <n v="0.81151215762737705"/>
    <n v="0.832837691284112"/>
    <n v="4.9849441325044447E-3"/>
  </r>
  <r>
    <x v="0"/>
    <s v="2026-08-31 10:13:27"/>
    <n v="9"/>
    <x v="14"/>
    <x v="1"/>
    <x v="3"/>
    <n v="1"/>
    <n v="2E+20"/>
    <n v="1"/>
    <n v="1"/>
    <n v="1"/>
    <n v="0"/>
    <s v="Unnamed ProjectWORKERNumber ScheduledResource"/>
    <n v="10"/>
    <n v="1"/>
    <n v="0"/>
    <n v="0.95"/>
    <n v="0"/>
    <n v="1"/>
    <n v="1"/>
    <n v="0"/>
  </r>
  <r>
    <x v="0"/>
    <s v="2026-08-31 10:13:27"/>
    <n v="9"/>
    <x v="15"/>
    <x v="3"/>
    <x v="1"/>
    <n v="1.7427532361514699"/>
    <n v="0.21870801408086499"/>
    <n v="0"/>
    <n v="21"/>
    <n v="2"/>
    <n v="0"/>
    <s v="Unnamed ProjectWorkStationQNumber WaitingQueue"/>
    <n v="10"/>
    <n v="1.7984099951452888"/>
    <n v="9.41481017902569E-2"/>
    <n v="0.95"/>
    <n v="6.7349494799689366E-2"/>
    <n v="1.6808414073062801"/>
    <n v="1.96303981301246"/>
    <n v="6.7349494799689366E-2"/>
  </r>
  <r>
    <x v="0"/>
    <s v="2026-08-31 10:13:27"/>
    <n v="9"/>
    <x v="16"/>
    <x v="3"/>
    <x v="1"/>
    <n v="1.3107892732469401E-2"/>
    <n v="7.3081527663652001E-4"/>
    <n v="0"/>
    <n v="1"/>
    <n v="0"/>
    <n v="0"/>
    <s v="Unnamed ProjectWorkStationReqQNumber WaitingQueue"/>
    <n v="10"/>
    <n v="1.2897450081583859E-2"/>
    <n v="4.2374090710035878E-4"/>
    <n v="0.95"/>
    <n v="3.0312598423651549E-4"/>
    <n v="1.2232643269307701E-2"/>
    <n v="1.34073753437328E-2"/>
    <n v="3.0312598423651549E-4"/>
  </r>
  <r>
    <x v="0"/>
    <s v="2026-08-31 10:13:27"/>
    <n v="9"/>
    <x v="17"/>
    <x v="6"/>
    <x v="4"/>
    <n v="0.67651603441296504"/>
    <n v="1.4565639596001099E-2"/>
    <n v="0"/>
    <n v="6"/>
    <n v="0"/>
    <n v="0"/>
    <s v="Unnamed ProjectvNumWaitingRequestsVariableUser Specified"/>
    <n v="10"/>
    <n v="0.67697821611736619"/>
    <n v="6.3714899668086428E-3"/>
    <n v="0.95"/>
    <n v="4.5578893490793634E-3"/>
    <n v="0.66877542384053201"/>
    <n v="0.69059318471793496"/>
    <n v="4.5578893490793634E-3"/>
  </r>
  <r>
    <x v="0"/>
    <s v="2026-08-31 10:13:27"/>
    <n v="10"/>
    <x v="0"/>
    <x v="0"/>
    <x v="0"/>
    <n v="2.0781077238014301"/>
    <n v="1.0934354913332301E-2"/>
    <n v="0"/>
    <n v="3"/>
    <n v="2"/>
    <n v="0"/>
    <s v="Unnamed ProjectAGVNumber BusyTransporter"/>
    <n v="10"/>
    <n v="2.078872627125893"/>
    <n v="5.2787009755182E-3"/>
    <n v="0.95"/>
    <n v="3.7761551973910287E-3"/>
    <n v="2.07228794584704"/>
    <n v="2.08892452747873"/>
    <n v="3.7761551973910287E-3"/>
  </r>
  <r>
    <x v="0"/>
    <s v="2026-08-31 10:13:27"/>
    <n v="10"/>
    <x v="0"/>
    <x v="1"/>
    <x v="0"/>
    <n v="3"/>
    <n v="2E+20"/>
    <n v="3"/>
    <n v="3"/>
    <n v="3"/>
    <n v="0"/>
    <s v="Unnamed ProjectAGVNumber ScheduledTransporter"/>
    <n v="10"/>
    <n v="3"/>
    <n v="0"/>
    <n v="0.95"/>
    <n v="0"/>
    <n v="3"/>
    <n v="3"/>
    <n v="0"/>
  </r>
  <r>
    <x v="0"/>
    <s v="2026-08-31 10:13:27"/>
    <n v="10"/>
    <x v="0"/>
    <x v="2"/>
    <x v="0"/>
    <n v="0.69270257460046103"/>
    <n v="3.6447849711107498E-3"/>
    <n v="0"/>
    <n v="1"/>
    <n v="0.66666666666666696"/>
    <n v="0"/>
    <s v="Unnamed ProjectAGVUtilizationTransporter"/>
    <n v="10"/>
    <n v="0.69295754237529772"/>
    <n v="1.759566991837834E-3"/>
    <n v="0.95"/>
    <n v="1.2587183991292225E-3"/>
    <n v="0.69076264861567704"/>
    <n v="0.69630817582623705"/>
    <n v="1.2587183991292225E-3"/>
  </r>
  <r>
    <x v="0"/>
    <s v="2026-08-31 10:13:27"/>
    <n v="10"/>
    <x v="1"/>
    <x v="3"/>
    <x v="1"/>
    <n v="2.9772007867277201E-2"/>
    <n v="2.4484368586112702E-3"/>
    <n v="0"/>
    <n v="6"/>
    <n v="0"/>
    <n v="0"/>
    <s v="Unnamed ProjectEnter Request AGV.QueueNumber WaitingQueue"/>
    <n v="10"/>
    <n v="3.1035047783347335E-2"/>
    <n v="1.214427597616889E-3"/>
    <n v="0.95"/>
    <n v="8.6874916875660508E-4"/>
    <n v="2.9772007867277201E-2"/>
    <n v="3.3809532279706102E-2"/>
    <n v="8.6874916875660508E-4"/>
  </r>
  <r>
    <x v="0"/>
    <s v="2026-08-31 10:13:27"/>
    <n v="10"/>
    <x v="2"/>
    <x v="4"/>
    <x v="2"/>
    <n v="0"/>
    <n v="2E+20"/>
    <n v="0"/>
    <n v="1"/>
    <n v="0"/>
    <n v="0"/>
    <s v="Unnamed ProjectEntity 1WIPEntity"/>
    <n v="10"/>
    <n v="0"/>
    <n v="0"/>
    <n v="0.95"/>
    <n v="0"/>
    <n v="0"/>
    <n v="0"/>
    <n v="0"/>
  </r>
  <r>
    <x v="0"/>
    <s v="2026-08-31 10:13:27"/>
    <n v="10"/>
    <x v="3"/>
    <x v="5"/>
    <x v="3"/>
    <n v="0.518227936737782"/>
    <n v="1.58776398712469E-2"/>
    <n v="0"/>
    <n v="1"/>
    <n v="1"/>
    <n v="0"/>
    <s v="Unnamed ProjectNEWPAINTERInstantaneous UtilizationResource"/>
    <n v="10"/>
    <n v="0.52518723279433455"/>
    <n v="8.4087502405714581E-3"/>
    <n v="0.95"/>
    <n v="6.0152575551752803E-3"/>
    <n v="0.51150896826018899"/>
    <n v="0.54003281556404203"/>
    <n v="6.0152575551752803E-3"/>
  </r>
  <r>
    <x v="0"/>
    <s v="2026-08-31 10:13:27"/>
    <n v="10"/>
    <x v="3"/>
    <x v="0"/>
    <x v="3"/>
    <n v="0.518227936737782"/>
    <n v="1.58776398712469E-2"/>
    <n v="0"/>
    <n v="1"/>
    <n v="1"/>
    <n v="0"/>
    <s v="Unnamed ProjectNEWPAINTERNumber BusyResource"/>
    <n v="10"/>
    <n v="0.52518723279433455"/>
    <n v="8.4087502405714581E-3"/>
    <n v="0.95"/>
    <n v="6.0152575551752803E-3"/>
    <n v="0.51150896826018899"/>
    <n v="0.54003281556404203"/>
    <n v="6.0152575551752803E-3"/>
  </r>
  <r>
    <x v="0"/>
    <s v="2026-08-31 10:13:27"/>
    <n v="10"/>
    <x v="3"/>
    <x v="1"/>
    <x v="3"/>
    <n v="1"/>
    <n v="2E+20"/>
    <n v="1"/>
    <n v="1"/>
    <n v="1"/>
    <n v="0"/>
    <s v="Unnamed ProjectNEWPAINTERNumber ScheduledResource"/>
    <n v="10"/>
    <n v="1"/>
    <n v="0"/>
    <n v="0.95"/>
    <n v="0"/>
    <n v="1"/>
    <n v="1"/>
    <n v="0"/>
  </r>
  <r>
    <x v="0"/>
    <s v="2026-08-31 10:13:27"/>
    <n v="10"/>
    <x v="4"/>
    <x v="3"/>
    <x v="1"/>
    <n v="0.181272886672703"/>
    <n v="2.1900516456541098E-2"/>
    <n v="0"/>
    <n v="5"/>
    <n v="4"/>
    <n v="0"/>
    <s v="Unnamed ProjectNewPaintQNumber WaitingQueue"/>
    <n v="10"/>
    <n v="0.19175082727765341"/>
    <n v="1.5966644693782381E-2"/>
    <n v="0.95"/>
    <n v="1.1421849546877095E-2"/>
    <n v="0.17015628683515099"/>
    <n v="0.217869952503708"/>
    <n v="1.1421849546877095E-2"/>
  </r>
  <r>
    <x v="0"/>
    <s v="2026-08-31 10:13:27"/>
    <n v="10"/>
    <x v="5"/>
    <x v="3"/>
    <x v="1"/>
    <n v="4.7202166276513503E-3"/>
    <n v="3.75041183461637E-4"/>
    <n v="0"/>
    <n v="1"/>
    <n v="0"/>
    <n v="0"/>
    <s v="Unnamed ProjectNewPaintReqQNumber WaitingQueue"/>
    <n v="10"/>
    <n v="4.7461022101932173E-3"/>
    <n v="2.0643575159293872E-4"/>
    <n v="0.95"/>
    <n v="1.4767524054125336E-4"/>
    <n v="4.3438456155572196E-3"/>
    <n v="5.0878342070728201E-3"/>
    <n v="1.4767524054125336E-4"/>
  </r>
  <r>
    <x v="0"/>
    <s v="2026-08-31 10:13:27"/>
    <n v="10"/>
    <x v="6"/>
    <x v="4"/>
    <x v="2"/>
    <n v="2.48978583991105"/>
    <n v="0.13442172811709799"/>
    <n v="0"/>
    <n v="14"/>
    <n v="7"/>
    <n v="0"/>
    <s v="Unnamed ProjectNewPartWIPEntity"/>
    <n v="10"/>
    <n v="2.5498900061729541"/>
    <n v="7.472159430415927E-2"/>
    <n v="0.95"/>
    <n v="5.3452608510618609E-2"/>
    <n v="2.4192292508998099"/>
    <n v="2.6620431560013098"/>
    <n v="5.3452608510618609E-2"/>
  </r>
  <r>
    <x v="0"/>
    <s v="2026-08-31 10:13:27"/>
    <n v="10"/>
    <x v="7"/>
    <x v="4"/>
    <x v="2"/>
    <n v="4.9000737096041602"/>
    <n v="0.24585574463149301"/>
    <n v="0"/>
    <n v="20"/>
    <n v="2"/>
    <n v="0"/>
    <s v="Unnamed ProjectOldPartWIPEntity"/>
    <n v="10"/>
    <n v="4.9513834264802963"/>
    <n v="0.10244397191297382"/>
    <n v="0.95"/>
    <n v="7.3284002783010616E-2"/>
    <n v="4.82855853416822"/>
    <n v="5.1212851674768203"/>
    <n v="7.3284002783010616E-2"/>
  </r>
  <r>
    <x v="0"/>
    <s v="2026-08-31 10:13:27"/>
    <n v="10"/>
    <x v="8"/>
    <x v="5"/>
    <x v="3"/>
    <n v="0.81208338471127695"/>
    <n v="1.3051795778244999E-2"/>
    <n v="0"/>
    <n v="1"/>
    <n v="1"/>
    <n v="0"/>
    <s v="Unnamed ProjectPACKERInstantaneous UtilizationResource"/>
    <n v="10"/>
    <n v="0.81557194281027567"/>
    <n v="6.9416851287817331E-3"/>
    <n v="0.95"/>
    <n v="4.9657823959478754E-3"/>
    <n v="0.80675605099888203"/>
    <n v="0.82818429749007605"/>
    <n v="4.9657823959478754E-3"/>
  </r>
  <r>
    <x v="0"/>
    <s v="2026-08-31 10:13:27"/>
    <n v="10"/>
    <x v="8"/>
    <x v="0"/>
    <x v="3"/>
    <n v="0.81208338471127695"/>
    <n v="1.3051795778244999E-2"/>
    <n v="0"/>
    <n v="1"/>
    <n v="1"/>
    <n v="0"/>
    <s v="Unnamed ProjectPACKERNumber BusyResource"/>
    <n v="10"/>
    <n v="0.81557194281027567"/>
    <n v="6.9416851287817331E-3"/>
    <n v="0.95"/>
    <n v="4.9657823959478754E-3"/>
    <n v="0.80675605099888203"/>
    <n v="0.82818429749007605"/>
    <n v="4.9657823959478754E-3"/>
  </r>
  <r>
    <x v="0"/>
    <s v="2026-08-31 10:13:27"/>
    <n v="10"/>
    <x v="8"/>
    <x v="1"/>
    <x v="3"/>
    <n v="1"/>
    <n v="2E+20"/>
    <n v="1"/>
    <n v="1"/>
    <n v="1"/>
    <n v="0"/>
    <s v="Unnamed ProjectPACKERNumber ScheduledResource"/>
    <n v="10"/>
    <n v="1"/>
    <n v="0"/>
    <n v="0.95"/>
    <n v="0"/>
    <n v="1"/>
    <n v="1"/>
    <n v="0"/>
  </r>
  <r>
    <x v="0"/>
    <s v="2026-08-31 10:13:27"/>
    <n v="10"/>
    <x v="9"/>
    <x v="5"/>
    <x v="3"/>
    <n v="0.548775927036105"/>
    <n v="1.0101032411999699E-2"/>
    <n v="0"/>
    <n v="1"/>
    <n v="0"/>
    <n v="0"/>
    <s v="Unnamed ProjectPAINTERInstantaneous UtilizationResource"/>
    <n v="10"/>
    <n v="0.54938142053560801"/>
    <n v="4.5196387022068685E-3"/>
    <n v="0.95"/>
    <n v="3.2331547581159752E-3"/>
    <n v="0.54030874063430001"/>
    <n v="0.55566835138728998"/>
    <n v="3.2331547581159752E-3"/>
  </r>
  <r>
    <x v="0"/>
    <s v="2026-08-31 10:13:27"/>
    <n v="10"/>
    <x v="9"/>
    <x v="0"/>
    <x v="3"/>
    <n v="0.548775927036105"/>
    <n v="1.0101032411999699E-2"/>
    <n v="0"/>
    <n v="1"/>
    <n v="0"/>
    <n v="0"/>
    <s v="Unnamed ProjectPAINTERNumber BusyResource"/>
    <n v="10"/>
    <n v="0.54938142053560801"/>
    <n v="4.5196387022068685E-3"/>
    <n v="0.95"/>
    <n v="3.2331547581159752E-3"/>
    <n v="0.54030874063430001"/>
    <n v="0.55566835138728998"/>
    <n v="3.2331547581159752E-3"/>
  </r>
  <r>
    <x v="0"/>
    <s v="2026-08-31 10:13:27"/>
    <n v="10"/>
    <x v="9"/>
    <x v="1"/>
    <x v="3"/>
    <n v="1"/>
    <n v="2E+20"/>
    <n v="1"/>
    <n v="1"/>
    <n v="1"/>
    <n v="0"/>
    <s v="Unnamed ProjectPAINTERNumber ScheduledResource"/>
    <n v="10"/>
    <n v="1"/>
    <n v="0"/>
    <n v="0.95"/>
    <n v="0"/>
    <n v="1"/>
    <n v="1"/>
    <n v="0"/>
  </r>
  <r>
    <x v="0"/>
    <s v="2026-08-31 10:13:27"/>
    <n v="10"/>
    <x v="10"/>
    <x v="3"/>
    <x v="1"/>
    <n v="0.57710327342160495"/>
    <n v="6.5212274703318501E-2"/>
    <n v="0"/>
    <n v="6"/>
    <n v="1"/>
    <n v="0"/>
    <s v="Unnamed ProjectPackQNumber WaitingQueue"/>
    <n v="10"/>
    <n v="0.5830563488318371"/>
    <n v="3.7349781067397253E-2"/>
    <n v="0.95"/>
    <n v="2.6718423823055008E-2"/>
    <n v="0.51031500523829298"/>
    <n v="0.63800950130876"/>
    <n v="2.6718423823055008E-2"/>
  </r>
  <r>
    <x v="0"/>
    <s v="2026-08-31 10:13:27"/>
    <n v="10"/>
    <x v="11"/>
    <x v="3"/>
    <x v="1"/>
    <n v="1.41054163109371E-2"/>
    <n v="1.06795715921592E-3"/>
    <n v="0"/>
    <n v="1"/>
    <n v="0"/>
    <n v="0"/>
    <s v="Unnamed ProjectPackReqQNumber WaitingQueue"/>
    <n v="10"/>
    <n v="1.5083245089254998E-2"/>
    <n v="5.836712228493759E-4"/>
    <n v="0.95"/>
    <n v="4.1753324008164384E-4"/>
    <n v="1.41054163109371E-2"/>
    <n v="1.6052913612351699E-2"/>
    <n v="4.1753324008164384E-4"/>
  </r>
  <r>
    <x v="0"/>
    <s v="2026-08-31 10:13:27"/>
    <n v="10"/>
    <x v="12"/>
    <x v="3"/>
    <x v="1"/>
    <n v="6.32194659405836E-2"/>
    <n v="5.25635545672951E-3"/>
    <n v="0"/>
    <n v="2"/>
    <n v="0"/>
    <n v="0"/>
    <s v="Unnamed ProjectPaintQNumber WaitingQueue"/>
    <n v="10"/>
    <n v="6.2655374167183184E-2"/>
    <n v="1.297076259729802E-3"/>
    <n v="0.95"/>
    <n v="9.2787245996831338E-4"/>
    <n v="6.05919548276165E-2"/>
    <n v="6.4938397569822504E-2"/>
    <n v="9.2787245996831338E-4"/>
  </r>
  <r>
    <x v="0"/>
    <s v="2026-08-31 10:13:27"/>
    <n v="10"/>
    <x v="13"/>
    <x v="3"/>
    <x v="1"/>
    <n v="1.1910851314343799E-2"/>
    <n v="8.7577568753942803E-4"/>
    <n v="0"/>
    <n v="1"/>
    <n v="0"/>
    <n v="0"/>
    <s v="Unnamed ProjectPaintReqQNumber WaitingQueue"/>
    <n v="10"/>
    <n v="1.232491804183645E-2"/>
    <n v="4.2846031814523761E-4"/>
    <n v="0.95"/>
    <n v="3.0650204751958381E-4"/>
    <n v="1.1842209288638999E-2"/>
    <n v="1.30420022653657E-2"/>
    <n v="3.0650204751958381E-4"/>
  </r>
  <r>
    <x v="0"/>
    <s v="2026-08-31 10:13:27"/>
    <n v="10"/>
    <x v="14"/>
    <x v="5"/>
    <x v="3"/>
    <n v="0.81664794847728694"/>
    <n v="1.3273680548980499E-2"/>
    <n v="0"/>
    <n v="1"/>
    <n v="0"/>
    <n v="0"/>
    <s v="Unnamed ProjectWORKERInstantaneous UtilizationResource"/>
    <n v="10"/>
    <n v="0.82030090075893936"/>
    <n v="6.9684713894533476E-3"/>
    <n v="0.95"/>
    <n v="4.9849441325044447E-3"/>
    <n v="0.81151215762737705"/>
    <n v="0.832837691284112"/>
    <n v="4.9849441325044447E-3"/>
  </r>
  <r>
    <x v="0"/>
    <s v="2026-08-31 10:13:27"/>
    <n v="10"/>
    <x v="14"/>
    <x v="0"/>
    <x v="3"/>
    <n v="0.81664794847728694"/>
    <n v="1.3273680548980499E-2"/>
    <n v="0"/>
    <n v="1"/>
    <n v="0"/>
    <n v="0"/>
    <s v="Unnamed ProjectWORKERNumber BusyResource"/>
    <n v="10"/>
    <n v="0.82030090075893936"/>
    <n v="6.9684713894533476E-3"/>
    <n v="0.95"/>
    <n v="4.9849441325044447E-3"/>
    <n v="0.81151215762737705"/>
    <n v="0.832837691284112"/>
    <n v="4.9849441325044447E-3"/>
  </r>
  <r>
    <x v="0"/>
    <s v="2026-08-31 10:13:27"/>
    <n v="10"/>
    <x v="14"/>
    <x v="1"/>
    <x v="3"/>
    <n v="1"/>
    <n v="2E+20"/>
    <n v="1"/>
    <n v="1"/>
    <n v="1"/>
    <n v="0"/>
    <s v="Unnamed ProjectWORKERNumber ScheduledResource"/>
    <n v="10"/>
    <n v="1"/>
    <n v="0"/>
    <n v="0.95"/>
    <n v="0"/>
    <n v="1"/>
    <n v="1"/>
    <n v="0"/>
  </r>
  <r>
    <x v="0"/>
    <s v="2026-08-31 10:13:27"/>
    <n v="10"/>
    <x v="15"/>
    <x v="3"/>
    <x v="1"/>
    <n v="1.7215034042549999"/>
    <n v="0.238815403420188"/>
    <n v="0"/>
    <n v="20"/>
    <n v="0"/>
    <n v="0"/>
    <s v="Unnamed ProjectWorkStationQNumber WaitingQueue"/>
    <n v="10"/>
    <n v="1.7984099951452888"/>
    <n v="9.41481017902569E-2"/>
    <n v="0.95"/>
    <n v="6.7349494799689366E-2"/>
    <n v="1.6808414073062801"/>
    <n v="1.96303981301246"/>
    <n v="6.7349494799689366E-2"/>
  </r>
  <r>
    <x v="0"/>
    <s v="2026-08-31 10:13:27"/>
    <n v="10"/>
    <x v="16"/>
    <x v="3"/>
    <x v="1"/>
    <n v="1.24091063411514E-2"/>
    <n v="7.8495887008940004E-4"/>
    <n v="0"/>
    <n v="1"/>
    <n v="0"/>
    <n v="0"/>
    <s v="Unnamed ProjectWorkStationReqQNumber WaitingQueue"/>
    <n v="10"/>
    <n v="1.2897450081583859E-2"/>
    <n v="4.2374090710035878E-4"/>
    <n v="0.95"/>
    <n v="3.0312598423651549E-4"/>
    <n v="1.2232643269307701E-2"/>
    <n v="1.34073753437328E-2"/>
    <n v="3.0312598423651549E-4"/>
  </r>
  <r>
    <x v="0"/>
    <s v="2026-08-31 10:13:27"/>
    <n v="10"/>
    <x v="17"/>
    <x v="6"/>
    <x v="4"/>
    <n v="0.67115295412829901"/>
    <n v="1.49515530500608E-2"/>
    <n v="0"/>
    <n v="7"/>
    <n v="1"/>
    <n v="0"/>
    <s v="Unnamed ProjectvNumWaitingRequestsVariableUser Specified"/>
    <n v="10"/>
    <n v="0.67697821611736619"/>
    <n v="6.3714899668086428E-3"/>
    <n v="0.95"/>
    <n v="4.5578893490793634E-3"/>
    <n v="0.66877542384053201"/>
    <n v="0.69059318471793496"/>
    <n v="4.5578893490793634E-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26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13">
        <item m="1" x="24"/>
        <item m="1" x="47"/>
        <item m="1" x="19"/>
        <item m="1" x="99"/>
        <item m="1" x="82"/>
        <item m="1" x="52"/>
        <item m="1" x="108"/>
        <item m="1" x="40"/>
        <item m="1" x="44"/>
        <item m="1" x="111"/>
        <item m="1" x="77"/>
        <item m="1" x="89"/>
        <item m="1" x="94"/>
        <item m="1" x="18"/>
        <item m="1" x="46"/>
        <item m="1" x="36"/>
        <item m="1" x="112"/>
        <item m="1" x="106"/>
        <item m="1" x="34"/>
        <item m="1" x="28"/>
        <item m="1" x="100"/>
        <item m="1" x="20"/>
        <item m="1" x="53"/>
        <item m="1" x="39"/>
        <item m="1" x="64"/>
        <item m="1" x="91"/>
        <item m="1" x="55"/>
        <item m="1" x="25"/>
        <item m="1" x="49"/>
        <item m="1" x="78"/>
        <item m="1" x="68"/>
        <item m="1" x="26"/>
        <item m="1" x="85"/>
        <item m="1" x="17"/>
        <item m="1" x="105"/>
        <item m="1" x="73"/>
        <item m="1" x="93"/>
        <item m="1" x="48"/>
        <item m="1" x="107"/>
        <item m="1" x="76"/>
        <item m="1" x="30"/>
        <item m="1" x="67"/>
        <item m="1" x="81"/>
        <item m="1" x="92"/>
        <item m="1" x="98"/>
        <item m="1" x="16"/>
        <item m="1" x="29"/>
        <item m="1" x="38"/>
        <item m="1" x="31"/>
        <item m="1" x="15"/>
        <item m="1" x="90"/>
        <item m="1" x="102"/>
        <item m="1" x="42"/>
        <item m="1" x="72"/>
        <item m="1" x="33"/>
        <item m="1" x="50"/>
        <item m="1" x="37"/>
        <item m="1" x="58"/>
        <item m="1" x="45"/>
        <item m="1" x="65"/>
        <item m="1" x="51"/>
        <item m="1" x="74"/>
        <item m="1" x="59"/>
        <item m="1" x="79"/>
        <item m="1" x="66"/>
        <item m="1" x="87"/>
        <item m="1" x="80"/>
        <item m="1" x="95"/>
        <item m="1" x="103"/>
        <item m="1" x="83"/>
        <item m="1" x="62"/>
        <item m="1" x="43"/>
        <item m="1" x="56"/>
        <item m="1" x="27"/>
        <item m="1" x="32"/>
        <item m="1" x="41"/>
        <item m="1" x="69"/>
        <item m="1" x="104"/>
        <item m="1" x="97"/>
        <item m="1" x="84"/>
        <item m="1" x="57"/>
        <item m="1" x="70"/>
        <item m="1" x="61"/>
        <item m="1" x="86"/>
        <item m="1" x="71"/>
        <item m="1" x="54"/>
        <item m="1" x="60"/>
        <item m="1" x="23"/>
        <item m="1" x="63"/>
        <item m="1" x="75"/>
        <item m="1" x="88"/>
        <item m="1" x="96"/>
        <item m="1" x="101"/>
        <item m="1" x="110"/>
        <item m="1" x="21"/>
        <item m="1" x="35"/>
        <item m="1" x="109"/>
        <item m="1" x="22"/>
        <item m="1" x="1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compact="0" outline="0" showAll="0" defaultSubtotal="0">
      <items count="13">
        <item x="8"/>
        <item x="1"/>
        <item x="2"/>
        <item x="3"/>
        <item x="4"/>
        <item x="5"/>
        <item x="6"/>
        <item x="0"/>
        <item m="1" x="10"/>
        <item m="1" x="11"/>
        <item m="1" x="12"/>
        <item m="1" x="9"/>
        <item x="7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24">
    <i>
      <x v="3"/>
      <x v="99"/>
      <x v="7"/>
      <x v="1"/>
    </i>
    <i r="1">
      <x v="100"/>
      <x v="7"/>
      <x v="1"/>
    </i>
    <i r="1">
      <x v="101"/>
      <x v="7"/>
      <x v="1"/>
    </i>
    <i r="1">
      <x v="102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3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4"/>
      <x v="7"/>
      <x v="1"/>
    </i>
    <i r="1">
      <x v="105"/>
      <x v="7"/>
      <x v="1"/>
    </i>
    <i r="1">
      <x v="106"/>
      <x v="7"/>
      <x v="1"/>
    </i>
    <i r="1">
      <x v="107"/>
      <x v="7"/>
      <x v="1"/>
    </i>
    <i r="1">
      <x v="108"/>
      <x v="12"/>
      <x v="2"/>
    </i>
    <i r="1">
      <x v="109"/>
      <x v="12"/>
      <x v="2"/>
    </i>
    <i r="1">
      <x v="110"/>
      <x/>
      <x v="2"/>
    </i>
    <i r="1">
      <x v="111"/>
      <x v="7"/>
      <x v="1"/>
    </i>
    <i r="1">
      <x v="112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1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91">
        <item m="1" x="40"/>
        <item m="1" x="16"/>
        <item m="1" x="41"/>
        <item m="1" x="17"/>
        <item m="1" x="42"/>
        <item m="1" x="18"/>
        <item m="1" x="43"/>
        <item m="1" x="19"/>
        <item m="1" x="75"/>
        <item m="1" x="30"/>
        <item x="12"/>
        <item m="1" x="74"/>
        <item m="1" x="61"/>
        <item m="1" x="78"/>
        <item m="1" x="63"/>
        <item x="0"/>
        <item x="1"/>
        <item m="1" x="55"/>
        <item m="1" x="23"/>
        <item m="1" x="72"/>
        <item m="1" x="62"/>
        <item m="1" x="60"/>
        <item m="1" x="26"/>
        <item m="1" x="70"/>
        <item m="1" x="35"/>
        <item m="1" x="71"/>
        <item m="1" x="36"/>
        <item m="1" x="69"/>
        <item m="1" x="87"/>
        <item m="1" x="29"/>
        <item m="1" x="90"/>
        <item m="1" x="57"/>
        <item m="1" x="24"/>
        <item m="1" x="85"/>
        <item m="1" x="81"/>
        <item m="1" x="58"/>
        <item m="1" x="25"/>
        <item m="1" x="86"/>
        <item m="1" x="82"/>
        <item m="1" x="20"/>
        <item m="1" x="54"/>
        <item m="1" x="38"/>
        <item m="1" x="28"/>
        <item m="1" x="79"/>
        <item m="1" x="50"/>
        <item m="1" x="80"/>
        <item m="1" x="51"/>
        <item m="1" x="37"/>
        <item m="1" x="32"/>
        <item m="1" x="59"/>
        <item m="1" x="34"/>
        <item m="1" x="89"/>
        <item m="1" x="83"/>
        <item m="1" x="33"/>
        <item m="1" x="31"/>
        <item m="1" x="76"/>
        <item m="1" x="84"/>
        <item m="1" x="21"/>
        <item m="1" x="39"/>
        <item m="1" x="52"/>
        <item m="1" x="73"/>
        <item m="1" x="88"/>
        <item m="1" x="22"/>
        <item m="1" x="49"/>
        <item m="1" x="53"/>
        <item m="1" x="77"/>
        <item m="1" x="56"/>
        <item m="1" x="27"/>
        <item m="1" x="44"/>
        <item m="1" x="64"/>
        <item m="1" x="45"/>
        <item m="1" x="65"/>
        <item m="1" x="46"/>
        <item m="1" x="66"/>
        <item m="1" x="47"/>
        <item m="1" x="67"/>
        <item m="1" x="48"/>
        <item m="1" x="68"/>
        <item m="1" x="15"/>
        <item x="2"/>
        <item x="3"/>
        <item x="4"/>
        <item x="5"/>
        <item x="6"/>
        <item x="7"/>
        <item x="8"/>
        <item x="9"/>
        <item x="10"/>
        <item x="11"/>
        <item x="13"/>
        <item x="14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5">
    <i>
      <x v="3"/>
      <x v="10"/>
      <x v="1"/>
      <x v="2"/>
    </i>
    <i r="1">
      <x v="15"/>
      <x/>
      <x/>
    </i>
    <i r="1">
      <x v="16"/>
      <x v="1"/>
      <x/>
    </i>
    <i r="1">
      <x v="79"/>
      <x v="3"/>
      <x v="1"/>
    </i>
    <i r="1">
      <x v="80"/>
      <x v="2"/>
      <x v="1"/>
    </i>
    <i r="1">
      <x v="81"/>
      <x/>
      <x/>
    </i>
    <i r="1">
      <x v="82"/>
      <x v="1"/>
      <x/>
    </i>
    <i r="1">
      <x v="83"/>
      <x/>
      <x/>
    </i>
    <i r="1">
      <x v="84"/>
      <x v="1"/>
      <x/>
    </i>
    <i r="1">
      <x v="85"/>
      <x v="3"/>
      <x v="1"/>
    </i>
    <i r="1">
      <x v="86"/>
      <x v="2"/>
      <x v="1"/>
    </i>
    <i r="1">
      <x v="87"/>
      <x v="3"/>
      <x v="1"/>
    </i>
    <i r="1">
      <x v="88"/>
      <x v="2"/>
      <x v="1"/>
    </i>
    <i r="1">
      <x v="89"/>
      <x v="3"/>
      <x v="1"/>
    </i>
    <i r="1">
      <x v="90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30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41">
        <item m="1" x="33"/>
        <item m="1" x="24"/>
        <item m="1" x="40"/>
        <item m="1" x="49"/>
        <item m="1" x="62"/>
        <item m="1" x="61"/>
        <item m="1" x="25"/>
        <item m="1" x="126"/>
        <item m="1" x="104"/>
        <item m="1" x="67"/>
        <item m="1" x="54"/>
        <item m="1" x="58"/>
        <item x="2"/>
        <item m="1" x="43"/>
        <item m="1" x="125"/>
        <item m="1" x="47"/>
        <item m="1" x="98"/>
        <item m="1" x="112"/>
        <item m="1" x="22"/>
        <item m="1" x="48"/>
        <item m="1" x="135"/>
        <item m="1" x="37"/>
        <item m="1" x="127"/>
        <item m="1" x="26"/>
        <item m="1" x="53"/>
        <item m="1" x="79"/>
        <item m="1" x="23"/>
        <item m="1" x="29"/>
        <item m="1" x="99"/>
        <item m="1" x="80"/>
        <item m="1" x="114"/>
        <item m="1" x="70"/>
        <item m="1" x="34"/>
        <item m="1" x="64"/>
        <item m="1" x="100"/>
        <item m="1" x="85"/>
        <item m="1" x="35"/>
        <item m="1" x="45"/>
        <item m="1" x="107"/>
        <item m="1" x="21"/>
        <item m="1" x="134"/>
        <item m="1" x="92"/>
        <item m="1" x="32"/>
        <item m="1" x="117"/>
        <item m="1" x="63"/>
        <item m="1" x="136"/>
        <item m="1" x="97"/>
        <item m="1" x="39"/>
        <item m="1" x="84"/>
        <item m="1" x="103"/>
        <item m="1" x="116"/>
        <item m="1" x="124"/>
        <item m="1" x="133"/>
        <item m="1" x="20"/>
        <item m="1" x="38"/>
        <item m="1" x="52"/>
        <item m="1" x="41"/>
        <item m="1" x="19"/>
        <item m="1" x="113"/>
        <item m="1" x="130"/>
        <item m="1" x="56"/>
        <item m="1" x="91"/>
        <item m="1" x="44"/>
        <item m="1" x="65"/>
        <item m="1" x="50"/>
        <item m="1" x="74"/>
        <item m="1" x="59"/>
        <item m="1" x="81"/>
        <item m="1" x="66"/>
        <item m="1" x="93"/>
        <item m="1" x="75"/>
        <item m="1" x="101"/>
        <item m="1" x="82"/>
        <item m="1" x="110"/>
        <item m="1" x="94"/>
        <item m="1" x="115"/>
        <item m="1" x="102"/>
        <item m="1" x="119"/>
        <item m="1" x="131"/>
        <item m="1" x="121"/>
        <item m="1" x="105"/>
        <item m="1" x="78"/>
        <item m="1" x="57"/>
        <item m="1" x="72"/>
        <item m="1" x="36"/>
        <item m="1" x="42"/>
        <item m="1" x="51"/>
        <item m="1" x="55"/>
        <item m="1" x="87"/>
        <item m="1" x="132"/>
        <item m="1" x="122"/>
        <item m="1" x="106"/>
        <item m="1" x="73"/>
        <item m="1" x="140"/>
        <item m="1" x="89"/>
        <item m="1" x="77"/>
        <item m="1" x="109"/>
        <item m="1" x="90"/>
        <item m="1" x="69"/>
        <item m="1" x="76"/>
        <item m="1" x="30"/>
        <item m="1" x="95"/>
        <item m="1" x="111"/>
        <item m="1" x="120"/>
        <item m="1" x="128"/>
        <item m="1" x="139"/>
        <item m="1" x="27"/>
        <item m="1" x="46"/>
        <item m="1" x="138"/>
        <item m="1" x="28"/>
        <item m="1" x="96"/>
        <item m="1" x="71"/>
        <item m="1" x="86"/>
        <item m="1" x="31"/>
        <item m="1" x="137"/>
        <item m="1" x="118"/>
        <item m="1" x="68"/>
        <item m="1" x="129"/>
        <item m="1" x="88"/>
        <item m="1" x="108"/>
        <item m="1" x="123"/>
        <item m="1" x="60"/>
        <item m="1" x="83"/>
        <item m="1" x="18"/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outline="0" showAll="0" defaultSubtotal="0">
      <items count="9">
        <item x="5"/>
        <item x="0"/>
        <item x="1"/>
        <item x="3"/>
        <item x="4"/>
        <item m="1" x="8"/>
        <item m="1" x="7"/>
        <item x="2"/>
        <item x="6"/>
      </items>
    </pivotField>
    <pivotField axis="axisRow" compact="0" outline="0" showAll="0" defaultSubtotal="0">
      <items count="6">
        <item x="2"/>
        <item x="1"/>
        <item x="3"/>
        <item x="4"/>
        <item m="1" x="5"/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8">
    <i>
      <x v="3"/>
      <x v="12"/>
      <x v="4"/>
      <x/>
    </i>
    <i r="1">
      <x v="124"/>
      <x v="1"/>
      <x v="5"/>
    </i>
    <i r="2">
      <x v="2"/>
      <x v="5"/>
    </i>
    <i r="2">
      <x v="7"/>
      <x v="5"/>
    </i>
    <i r="1">
      <x v="125"/>
      <x v="3"/>
      <x v="1"/>
    </i>
    <i r="1">
      <x v="126"/>
      <x/>
      <x v="2"/>
    </i>
    <i r="2">
      <x v="1"/>
      <x v="2"/>
    </i>
    <i r="2">
      <x v="2"/>
      <x v="2"/>
    </i>
    <i r="1">
      <x v="127"/>
      <x v="3"/>
      <x v="1"/>
    </i>
    <i r="1">
      <x v="128"/>
      <x v="3"/>
      <x v="1"/>
    </i>
    <i r="1">
      <x v="129"/>
      <x v="4"/>
      <x/>
    </i>
    <i r="1">
      <x v="130"/>
      <x v="4"/>
      <x/>
    </i>
    <i r="1">
      <x v="131"/>
      <x/>
      <x v="2"/>
    </i>
    <i r="2">
      <x v="1"/>
      <x v="2"/>
    </i>
    <i r="2">
      <x v="2"/>
      <x v="2"/>
    </i>
    <i r="1">
      <x v="132"/>
      <x/>
      <x v="2"/>
    </i>
    <i r="2">
      <x v="1"/>
      <x v="2"/>
    </i>
    <i r="2">
      <x v="2"/>
      <x v="2"/>
    </i>
    <i r="1">
      <x v="133"/>
      <x v="3"/>
      <x v="1"/>
    </i>
    <i r="1">
      <x v="134"/>
      <x v="3"/>
      <x v="1"/>
    </i>
    <i r="1">
      <x v="135"/>
      <x v="3"/>
      <x v="1"/>
    </i>
    <i r="1">
      <x v="136"/>
      <x v="3"/>
      <x v="1"/>
    </i>
    <i r="1">
      <x v="137"/>
      <x/>
      <x v="2"/>
    </i>
    <i r="2">
      <x v="1"/>
      <x v="2"/>
    </i>
    <i r="2">
      <x v="2"/>
      <x v="2"/>
    </i>
    <i r="1">
      <x v="138"/>
      <x v="3"/>
      <x v="1"/>
    </i>
    <i r="1">
      <x v="139"/>
      <x v="3"/>
      <x v="1"/>
    </i>
    <i r="1">
      <x v="140"/>
      <x v="8"/>
      <x v="3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241" tableType="queryTable" totalsRowShown="0">
  <autoFilter ref="A1:Y241" xr:uid="{C3D003CA-1AFF-426C-A03D-D3AF5760DF1A}"/>
  <sortState xmlns:xlrd2="http://schemas.microsoft.com/office/spreadsheetml/2017/richdata2" ref="A2:Y241">
    <sortCondition ref="D1:D24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4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3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2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1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0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59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58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7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6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5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4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3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2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1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281" tableType="queryTable" totalsRowShown="0">
  <autoFilter ref="A1:U28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0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49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48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7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6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45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4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3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2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70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69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68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67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66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6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51" tableType="queryTable" totalsRowShown="0">
  <autoFilter ref="A1:P15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7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6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2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1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0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5" x14ac:dyDescent="0.25"/>
  <cols>
    <col min="1" max="1" width="16.42578125" bestFit="1" customWidth="1"/>
    <col min="2" max="2" width="81.1406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67</v>
      </c>
      <c r="B2" t="s">
        <v>68</v>
      </c>
      <c r="C2" t="s">
        <v>69</v>
      </c>
      <c r="D2">
        <v>2</v>
      </c>
      <c r="E2">
        <v>10</v>
      </c>
      <c r="F2">
        <v>550000</v>
      </c>
      <c r="G2">
        <f>0.95</f>
        <v>0.95</v>
      </c>
    </row>
  </sheetData>
  <phoneticPr fontId="2" type="noConversion"/>
  <conditionalFormatting sqref="D2">
    <cfRule type="expression" dxfId="41" priority="1">
      <formula>D2=3</formula>
    </cfRule>
    <cfRule type="expression" dxfId="40" priority="2">
      <formula>D2=2</formula>
    </cfRule>
    <cfRule type="expression" dxfId="39" priority="3">
      <formula>D2=1</formula>
    </cfRule>
    <cfRule type="expression" dxfId="38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30"/>
  <sheetViews>
    <sheetView tabSelected="1" workbookViewId="0"/>
  </sheetViews>
  <sheetFormatPr defaultRowHeight="15" x14ac:dyDescent="0.25"/>
  <cols>
    <col min="1" max="1" width="33.28515625" customWidth="1"/>
    <col min="2" max="2" width="28.7109375" bestFit="1" customWidth="1"/>
    <col min="3" max="3" width="12.5703125" bestFit="1" customWidth="1"/>
    <col min="4" max="4" width="13.85546875" bestFit="1" customWidth="1"/>
    <col min="5" max="5" width="30.5703125" bestFit="1" customWidth="1"/>
    <col min="6" max="6" width="20.85546875" bestFit="1" customWidth="1"/>
    <col min="7" max="7" width="12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2" bestFit="1" customWidth="1"/>
    <col min="17" max="17" width="12.5703125" bestFit="1" customWidth="1"/>
    <col min="18" max="18" width="13.85546875" bestFit="1" customWidth="1"/>
    <col min="19" max="19" width="30.5703125" bestFit="1" customWidth="1"/>
    <col min="20" max="20" width="12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9.2851562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2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67</v>
      </c>
      <c r="B3" t="s">
        <v>70</v>
      </c>
      <c r="C3" t="s">
        <v>71</v>
      </c>
      <c r="D3" t="s">
        <v>72</v>
      </c>
      <c r="E3" s="5">
        <v>0.87003020736678138</v>
      </c>
      <c r="F3" s="5">
        <v>1</v>
      </c>
      <c r="G3" s="5">
        <v>2.0034244521324955E-2</v>
      </c>
      <c r="H3" s="5">
        <v>2.8005942703720147E-2</v>
      </c>
      <c r="I3" s="5">
        <v>0.83826171429315199</v>
      </c>
      <c r="J3" s="5">
        <v>0.93377738042775704</v>
      </c>
      <c r="K3" s="5">
        <v>0</v>
      </c>
      <c r="L3" s="5">
        <v>33.778883781342302</v>
      </c>
      <c r="M3" s="5">
        <v>19615.599999999999</v>
      </c>
      <c r="O3" t="s">
        <v>67</v>
      </c>
      <c r="P3" t="s">
        <v>102</v>
      </c>
      <c r="Q3" t="s">
        <v>103</v>
      </c>
      <c r="R3" t="s">
        <v>77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1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67</v>
      </c>
      <c r="AL3" t="s">
        <v>128</v>
      </c>
      <c r="AM3" t="s">
        <v>115</v>
      </c>
      <c r="AN3" t="s">
        <v>129</v>
      </c>
      <c r="AO3" s="5">
        <v>56062.7</v>
      </c>
      <c r="AP3" s="5">
        <v>201.69514427985661</v>
      </c>
      <c r="AQ3" s="5">
        <v>281.95036994320668</v>
      </c>
      <c r="AR3" s="5">
        <v>55662</v>
      </c>
      <c r="AS3" s="5">
        <v>56611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25">
      <c r="B4" t="s">
        <v>73</v>
      </c>
      <c r="C4" t="s">
        <v>71</v>
      </c>
      <c r="D4" t="s">
        <v>72</v>
      </c>
      <c r="E4" s="5">
        <v>17.877754419533279</v>
      </c>
      <c r="F4" s="5">
        <v>1</v>
      </c>
      <c r="G4" s="5">
        <v>0.88309536790349896</v>
      </c>
      <c r="H4" s="5">
        <v>1.2344822011681438</v>
      </c>
      <c r="I4" s="5">
        <v>16.315543542422098</v>
      </c>
      <c r="J4" s="5">
        <v>19.8058924736855</v>
      </c>
      <c r="K4" s="5">
        <v>0</v>
      </c>
      <c r="L4" s="5">
        <v>311.52316658588802</v>
      </c>
      <c r="M4" s="5">
        <v>5893</v>
      </c>
      <c r="P4" t="s">
        <v>96</v>
      </c>
      <c r="Q4" t="s">
        <v>97</v>
      </c>
      <c r="R4" t="s">
        <v>98</v>
      </c>
      <c r="S4" s="5">
        <v>2.078872627125893</v>
      </c>
      <c r="T4" s="5">
        <v>3.7761551973910287E-3</v>
      </c>
      <c r="U4" s="5">
        <v>5.2787009755182E-3</v>
      </c>
      <c r="V4" s="5">
        <v>2.07228794584704</v>
      </c>
      <c r="W4" s="5">
        <v>2.08892452747873</v>
      </c>
      <c r="X4" s="5">
        <v>0</v>
      </c>
      <c r="Y4" s="5">
        <v>3</v>
      </c>
      <c r="AL4" t="s">
        <v>112</v>
      </c>
      <c r="AM4" t="s">
        <v>113</v>
      </c>
      <c r="AN4" t="s">
        <v>77</v>
      </c>
      <c r="AO4" s="5">
        <v>19615.599999999999</v>
      </c>
      <c r="AP4" s="5">
        <v>118.72875113144924</v>
      </c>
      <c r="AQ4" s="5">
        <v>165.97134960254101</v>
      </c>
      <c r="AR4" s="5">
        <v>19410</v>
      </c>
      <c r="AS4" s="5">
        <v>19914</v>
      </c>
    </row>
    <row r="5" spans="1:52" x14ac:dyDescent="0.25">
      <c r="B5" t="s">
        <v>74</v>
      </c>
      <c r="C5" t="s">
        <v>71</v>
      </c>
      <c r="D5" t="s">
        <v>72</v>
      </c>
      <c r="E5" s="5">
        <v>0.44287276234793865</v>
      </c>
      <c r="F5" s="5">
        <v>1</v>
      </c>
      <c r="G5" s="5">
        <v>1.0944611893333057E-2</v>
      </c>
      <c r="H5" s="5">
        <v>1.529951245592906E-2</v>
      </c>
      <c r="I5" s="5">
        <v>0.416512393402451</v>
      </c>
      <c r="J5" s="5">
        <v>0.470066993766175</v>
      </c>
      <c r="K5" s="5">
        <v>0</v>
      </c>
      <c r="L5" s="5">
        <v>16.886307490174701</v>
      </c>
      <c r="M5" s="5">
        <v>5892.9</v>
      </c>
      <c r="Q5" t="s">
        <v>99</v>
      </c>
      <c r="R5" t="s">
        <v>98</v>
      </c>
      <c r="S5" s="5">
        <v>3</v>
      </c>
      <c r="T5" s="5">
        <v>0</v>
      </c>
      <c r="U5" s="5">
        <v>0</v>
      </c>
      <c r="V5" s="5">
        <v>3</v>
      </c>
      <c r="W5" s="5">
        <v>3</v>
      </c>
      <c r="X5" s="5">
        <v>3</v>
      </c>
      <c r="Y5" s="5">
        <v>3</v>
      </c>
      <c r="AL5" t="s">
        <v>114</v>
      </c>
      <c r="AM5" t="s">
        <v>115</v>
      </c>
      <c r="AN5" t="s">
        <v>77</v>
      </c>
      <c r="AO5" s="5">
        <v>19615.599999999999</v>
      </c>
      <c r="AP5" s="5">
        <v>118.72875113144924</v>
      </c>
      <c r="AQ5" s="5">
        <v>165.97134960254101</v>
      </c>
      <c r="AR5" s="5">
        <v>19410</v>
      </c>
      <c r="AS5" s="5">
        <v>19914</v>
      </c>
    </row>
    <row r="6" spans="1:52" x14ac:dyDescent="0.25">
      <c r="B6" t="s">
        <v>75</v>
      </c>
      <c r="C6" t="s">
        <v>76</v>
      </c>
      <c r="D6" t="s">
        <v>77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16948.099999999999</v>
      </c>
      <c r="Q6" t="s">
        <v>100</v>
      </c>
      <c r="R6" t="s">
        <v>98</v>
      </c>
      <c r="S6" s="5">
        <v>0.69295754237529772</v>
      </c>
      <c r="T6" s="5">
        <v>1.2587183991292225E-3</v>
      </c>
      <c r="U6" s="5">
        <v>1.759566991837834E-3</v>
      </c>
      <c r="V6" s="5">
        <v>0.69076264861567704</v>
      </c>
      <c r="W6" s="5">
        <v>0.69630817582623705</v>
      </c>
      <c r="X6" s="5">
        <v>0</v>
      </c>
      <c r="Y6" s="5">
        <v>1</v>
      </c>
      <c r="AL6" t="s">
        <v>116</v>
      </c>
      <c r="AM6" t="s">
        <v>117</v>
      </c>
      <c r="AN6" t="s">
        <v>106</v>
      </c>
      <c r="AO6" s="5">
        <v>5893</v>
      </c>
      <c r="AP6" s="5">
        <v>66.062047257875278</v>
      </c>
      <c r="AQ6" s="5">
        <v>92.348374226199681</v>
      </c>
      <c r="AR6" s="5">
        <v>5736</v>
      </c>
      <c r="AS6" s="5">
        <v>6053</v>
      </c>
    </row>
    <row r="7" spans="1:52" x14ac:dyDescent="0.25">
      <c r="C7" t="s">
        <v>78</v>
      </c>
      <c r="D7" t="s">
        <v>77</v>
      </c>
      <c r="E7" s="5">
        <v>35.934414689251412</v>
      </c>
      <c r="F7" s="5">
        <v>1</v>
      </c>
      <c r="G7" s="5">
        <v>0.19151310103497018</v>
      </c>
      <c r="H7" s="5">
        <v>0.26771685495243369</v>
      </c>
      <c r="I7" s="5">
        <v>35.585131921280997</v>
      </c>
      <c r="J7" s="5">
        <v>36.412431328094101</v>
      </c>
      <c r="K7" s="5">
        <v>0</v>
      </c>
      <c r="L7" s="5">
        <v>139.43951735453399</v>
      </c>
      <c r="M7" s="5">
        <v>16948.099999999999</v>
      </c>
      <c r="P7" t="s">
        <v>70</v>
      </c>
      <c r="Q7" t="s">
        <v>101</v>
      </c>
      <c r="R7" t="s">
        <v>72</v>
      </c>
      <c r="S7" s="5">
        <v>3.1035047783347335E-2</v>
      </c>
      <c r="T7" s="5">
        <v>8.6874916875660508E-4</v>
      </c>
      <c r="U7" s="5">
        <v>1.214427597616889E-3</v>
      </c>
      <c r="V7" s="5">
        <v>2.9772007867277201E-2</v>
      </c>
      <c r="W7" s="5">
        <v>3.3809532279706102E-2</v>
      </c>
      <c r="X7" s="5">
        <v>0</v>
      </c>
      <c r="Y7" s="5">
        <v>6</v>
      </c>
      <c r="AL7" t="s">
        <v>118</v>
      </c>
      <c r="AM7" t="s">
        <v>119</v>
      </c>
      <c r="AN7" t="s">
        <v>106</v>
      </c>
      <c r="AO7" s="5">
        <v>0.52518723279433455</v>
      </c>
      <c r="AP7" s="5">
        <v>6.0152575551752803E-3</v>
      </c>
      <c r="AQ7" s="5">
        <v>8.4087502405714581E-3</v>
      </c>
      <c r="AR7" s="5">
        <v>0.51150896826018899</v>
      </c>
      <c r="AS7" s="5">
        <v>0.54003281556404203</v>
      </c>
    </row>
    <row r="8" spans="1:52" x14ac:dyDescent="0.25">
      <c r="C8" t="s">
        <v>79</v>
      </c>
      <c r="D8" t="s">
        <v>77</v>
      </c>
      <c r="E8" s="5">
        <v>82.733209003874819</v>
      </c>
      <c r="F8" s="5">
        <v>1</v>
      </c>
      <c r="G8" s="5">
        <v>1.208981608749105</v>
      </c>
      <c r="H8" s="5">
        <v>1.6900397531056797</v>
      </c>
      <c r="I8" s="5">
        <v>79.888714563311297</v>
      </c>
      <c r="J8" s="5">
        <v>85.472032926843298</v>
      </c>
      <c r="K8" s="5">
        <v>2.7999999993480702</v>
      </c>
      <c r="L8" s="5">
        <v>845.65217638315505</v>
      </c>
      <c r="M8" s="5">
        <v>16948.099999999999</v>
      </c>
      <c r="P8" t="s">
        <v>104</v>
      </c>
      <c r="Q8" t="s">
        <v>105</v>
      </c>
      <c r="R8" t="s">
        <v>106</v>
      </c>
      <c r="S8" s="5">
        <v>0.52518723279433455</v>
      </c>
      <c r="T8" s="5">
        <v>6.0152575551752803E-3</v>
      </c>
      <c r="U8" s="5">
        <v>8.4087502405714581E-3</v>
      </c>
      <c r="V8" s="5">
        <v>0.51150896826018899</v>
      </c>
      <c r="W8" s="5">
        <v>0.54003281556404203</v>
      </c>
      <c r="X8" s="5">
        <v>0</v>
      </c>
      <c r="Y8" s="5">
        <v>1</v>
      </c>
      <c r="AL8" t="s">
        <v>120</v>
      </c>
      <c r="AM8" t="s">
        <v>113</v>
      </c>
      <c r="AN8" t="s">
        <v>77</v>
      </c>
      <c r="AO8" s="5">
        <v>16948.3</v>
      </c>
      <c r="AP8" s="5">
        <v>131.13231185359012</v>
      </c>
      <c r="AQ8" s="5">
        <v>183.31033189042506</v>
      </c>
      <c r="AR8" s="5">
        <v>16656</v>
      </c>
      <c r="AS8" s="5">
        <v>17189</v>
      </c>
    </row>
    <row r="9" spans="1:52" x14ac:dyDescent="0.25">
      <c r="C9" t="s">
        <v>80</v>
      </c>
      <c r="D9" t="s">
        <v>77</v>
      </c>
      <c r="E9" s="5">
        <v>14.7745214286692</v>
      </c>
      <c r="F9" s="5">
        <v>1</v>
      </c>
      <c r="G9" s="5">
        <v>5.5625714256277083E-2</v>
      </c>
      <c r="H9" s="5">
        <v>7.7759386666993585E-2</v>
      </c>
      <c r="I9" s="5">
        <v>14.6618730503506</v>
      </c>
      <c r="J9" s="5">
        <v>14.8939029254873</v>
      </c>
      <c r="K9" s="5">
        <v>2.7999999993480702</v>
      </c>
      <c r="L9" s="5">
        <v>238.155938771786</v>
      </c>
      <c r="M9" s="5">
        <v>16948.099999999999</v>
      </c>
      <c r="Q9" t="s">
        <v>97</v>
      </c>
      <c r="R9" t="s">
        <v>106</v>
      </c>
      <c r="S9" s="5">
        <v>0.52518723279433455</v>
      </c>
      <c r="T9" s="5">
        <v>6.0152575551752803E-3</v>
      </c>
      <c r="U9" s="5">
        <v>8.4087502405714581E-3</v>
      </c>
      <c r="V9" s="5">
        <v>0.51150896826018899</v>
      </c>
      <c r="W9" s="5">
        <v>0.54003281556404203</v>
      </c>
      <c r="X9" s="5">
        <v>0</v>
      </c>
      <c r="Y9" s="5">
        <v>1</v>
      </c>
      <c r="AL9" t="s">
        <v>121</v>
      </c>
      <c r="AM9" t="s">
        <v>115</v>
      </c>
      <c r="AN9" t="s">
        <v>77</v>
      </c>
      <c r="AO9" s="5">
        <v>16948.099999999999</v>
      </c>
      <c r="AP9" s="5">
        <v>131.74028956845027</v>
      </c>
      <c r="AQ9" s="5">
        <v>184.16022613172714</v>
      </c>
      <c r="AR9" s="5">
        <v>16656</v>
      </c>
      <c r="AS9" s="5">
        <v>17191</v>
      </c>
    </row>
    <row r="10" spans="1:52" x14ac:dyDescent="0.25">
      <c r="C10" t="s">
        <v>81</v>
      </c>
      <c r="D10" t="s">
        <v>77</v>
      </c>
      <c r="E10" s="5">
        <v>2.7815747315743584</v>
      </c>
      <c r="F10" s="5">
        <v>1</v>
      </c>
      <c r="G10" s="5">
        <v>1.4220724848599816E-2</v>
      </c>
      <c r="H10" s="5">
        <v>1.9879202576934346E-2</v>
      </c>
      <c r="I10" s="5">
        <v>2.7543620985390902</v>
      </c>
      <c r="J10" s="5">
        <v>2.8163573963120401</v>
      </c>
      <c r="K10" s="5">
        <v>0</v>
      </c>
      <c r="L10" s="5">
        <v>8.0000000000145501</v>
      </c>
      <c r="M10" s="5">
        <v>16948.099999999999</v>
      </c>
      <c r="Q10" t="s">
        <v>99</v>
      </c>
      <c r="R10" t="s">
        <v>106</v>
      </c>
      <c r="S10" s="5">
        <v>1</v>
      </c>
      <c r="T10" s="5">
        <v>0</v>
      </c>
      <c r="U10" s="5">
        <v>0</v>
      </c>
      <c r="V10" s="5">
        <v>1</v>
      </c>
      <c r="W10" s="5">
        <v>1</v>
      </c>
      <c r="X10" s="5">
        <v>1</v>
      </c>
      <c r="Y10" s="5">
        <v>1</v>
      </c>
      <c r="AL10" t="s">
        <v>122</v>
      </c>
      <c r="AM10" t="s">
        <v>113</v>
      </c>
      <c r="AN10" t="s">
        <v>77</v>
      </c>
      <c r="AO10" s="5">
        <v>39113.599999999999</v>
      </c>
      <c r="AP10" s="5">
        <v>185.9931624017064</v>
      </c>
      <c r="AQ10" s="5">
        <v>260.00051282000709</v>
      </c>
      <c r="AR10" s="5">
        <v>38586</v>
      </c>
      <c r="AS10" s="5">
        <v>39514</v>
      </c>
    </row>
    <row r="11" spans="1:52" x14ac:dyDescent="0.25">
      <c r="C11" t="s">
        <v>82</v>
      </c>
      <c r="D11" t="s">
        <v>77</v>
      </c>
      <c r="E11" s="5">
        <v>29.242698154379905</v>
      </c>
      <c r="F11" s="5">
        <v>1</v>
      </c>
      <c r="G11" s="5">
        <v>1.1090746848233775</v>
      </c>
      <c r="H11" s="5">
        <v>1.5503795036667449</v>
      </c>
      <c r="I11" s="5">
        <v>26.632812348859499</v>
      </c>
      <c r="J11" s="5">
        <v>31.8400605329516</v>
      </c>
      <c r="K11" s="5">
        <v>0</v>
      </c>
      <c r="L11" s="5">
        <v>707.09586624841904</v>
      </c>
      <c r="M11" s="5">
        <v>16948.099999999999</v>
      </c>
      <c r="P11" t="s">
        <v>73</v>
      </c>
      <c r="Q11" t="s">
        <v>101</v>
      </c>
      <c r="R11" t="s">
        <v>72</v>
      </c>
      <c r="S11" s="5">
        <v>0.19175082727765341</v>
      </c>
      <c r="T11" s="5">
        <v>1.1421849546877095E-2</v>
      </c>
      <c r="U11" s="5">
        <v>1.5966644693782381E-2</v>
      </c>
      <c r="V11" s="5">
        <v>0.17015628683515099</v>
      </c>
      <c r="W11" s="5">
        <v>0.217869952503708</v>
      </c>
      <c r="X11" s="5">
        <v>0</v>
      </c>
      <c r="Y11" s="5">
        <v>7</v>
      </c>
      <c r="AL11" t="s">
        <v>123</v>
      </c>
      <c r="AM11" t="s">
        <v>115</v>
      </c>
      <c r="AN11" t="s">
        <v>77</v>
      </c>
      <c r="AO11" s="5">
        <v>39114.6</v>
      </c>
      <c r="AP11" s="5">
        <v>185.26936730515985</v>
      </c>
      <c r="AQ11" s="5">
        <v>258.98871704295448</v>
      </c>
      <c r="AR11" s="5">
        <v>38588</v>
      </c>
      <c r="AS11" s="5">
        <v>39510</v>
      </c>
    </row>
    <row r="12" spans="1:52" x14ac:dyDescent="0.25">
      <c r="B12" t="s">
        <v>83</v>
      </c>
      <c r="C12" t="s">
        <v>76</v>
      </c>
      <c r="D12" t="s">
        <v>77</v>
      </c>
      <c r="E12" s="5">
        <v>0</v>
      </c>
      <c r="F12" s="5">
        <v>1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39114.6</v>
      </c>
      <c r="P12" t="s">
        <v>74</v>
      </c>
      <c r="Q12" t="s">
        <v>101</v>
      </c>
      <c r="R12" t="s">
        <v>72</v>
      </c>
      <c r="S12" s="5">
        <v>4.7461022101932173E-3</v>
      </c>
      <c r="T12" s="5">
        <v>1.4767524054125336E-4</v>
      </c>
      <c r="U12" s="5">
        <v>2.0643575159293872E-4</v>
      </c>
      <c r="V12" s="5">
        <v>4.3438456155572196E-3</v>
      </c>
      <c r="W12" s="5">
        <v>5.0878342070728201E-3</v>
      </c>
      <c r="X12" s="5">
        <v>0</v>
      </c>
      <c r="Y12" s="5">
        <v>1</v>
      </c>
      <c r="AL12" t="s">
        <v>124</v>
      </c>
      <c r="AM12" t="s">
        <v>117</v>
      </c>
      <c r="AN12" t="s">
        <v>106</v>
      </c>
      <c r="AO12" s="5">
        <v>19615.8</v>
      </c>
      <c r="AP12" s="5">
        <v>118.66820241139406</v>
      </c>
      <c r="AQ12" s="5">
        <v>165.88670832830459</v>
      </c>
      <c r="AR12" s="5">
        <v>19409</v>
      </c>
      <c r="AS12" s="5">
        <v>19914</v>
      </c>
    </row>
    <row r="13" spans="1:52" x14ac:dyDescent="0.25">
      <c r="C13" t="s">
        <v>78</v>
      </c>
      <c r="D13" t="s">
        <v>77</v>
      </c>
      <c r="E13" s="5">
        <v>26.5549021198449</v>
      </c>
      <c r="F13" s="5">
        <v>1</v>
      </c>
      <c r="G13" s="5">
        <v>7.1967729550932169E-2</v>
      </c>
      <c r="H13" s="5">
        <v>0.10060394881248749</v>
      </c>
      <c r="I13" s="5">
        <v>26.429032514931901</v>
      </c>
      <c r="J13" s="5">
        <v>26.770475746157199</v>
      </c>
      <c r="K13" s="5">
        <v>0</v>
      </c>
      <c r="L13" s="5">
        <v>102.681411641621</v>
      </c>
      <c r="M13" s="5">
        <v>39114.6</v>
      </c>
      <c r="P13" t="s">
        <v>75</v>
      </c>
      <c r="Q13" t="s">
        <v>103</v>
      </c>
      <c r="R13" t="s">
        <v>77</v>
      </c>
      <c r="S13" s="5">
        <v>2.5498900061729541</v>
      </c>
      <c r="T13" s="5">
        <v>5.3452608510618609E-2</v>
      </c>
      <c r="U13" s="5">
        <v>7.472159430415927E-2</v>
      </c>
      <c r="V13" s="5">
        <v>2.4192292508998099</v>
      </c>
      <c r="W13" s="5">
        <v>2.6620431560013098</v>
      </c>
      <c r="X13" s="5">
        <v>0</v>
      </c>
      <c r="Y13" s="5">
        <v>15</v>
      </c>
      <c r="AL13" t="s">
        <v>125</v>
      </c>
      <c r="AM13" t="s">
        <v>119</v>
      </c>
      <c r="AN13" t="s">
        <v>106</v>
      </c>
      <c r="AO13" s="5">
        <v>0.81557194281027567</v>
      </c>
      <c r="AP13" s="5">
        <v>4.9657823959478754E-3</v>
      </c>
      <c r="AQ13" s="5">
        <v>6.9416851287817331E-3</v>
      </c>
      <c r="AR13" s="5">
        <v>0.80675605099888203</v>
      </c>
      <c r="AS13" s="5">
        <v>0.82818429749007605</v>
      </c>
    </row>
    <row r="14" spans="1:52" x14ac:dyDescent="0.25">
      <c r="C14" t="s">
        <v>79</v>
      </c>
      <c r="D14" t="s">
        <v>77</v>
      </c>
      <c r="E14" s="5">
        <v>69.628311992504038</v>
      </c>
      <c r="F14" s="5">
        <v>1</v>
      </c>
      <c r="G14" s="5">
        <v>0.88150882427309152</v>
      </c>
      <c r="H14" s="5">
        <v>1.2322643661026464</v>
      </c>
      <c r="I14" s="5">
        <v>67.806850464608502</v>
      </c>
      <c r="J14" s="5">
        <v>71.785243392167402</v>
      </c>
      <c r="K14" s="5">
        <v>2.5999999993946399</v>
      </c>
      <c r="L14" s="5">
        <v>801.14163618703606</v>
      </c>
      <c r="M14" s="5">
        <v>39114.6</v>
      </c>
      <c r="P14" t="s">
        <v>83</v>
      </c>
      <c r="Q14" t="s">
        <v>103</v>
      </c>
      <c r="R14" t="s">
        <v>77</v>
      </c>
      <c r="S14" s="5">
        <v>4.9513834264802963</v>
      </c>
      <c r="T14" s="5">
        <v>7.3284002783010616E-2</v>
      </c>
      <c r="U14" s="5">
        <v>0.10244397191297382</v>
      </c>
      <c r="V14" s="5">
        <v>4.82855853416822</v>
      </c>
      <c r="W14" s="5">
        <v>5.1212851674768203</v>
      </c>
      <c r="X14" s="5">
        <v>0</v>
      </c>
      <c r="Y14" s="5">
        <v>26</v>
      </c>
      <c r="AL14" t="s">
        <v>126</v>
      </c>
      <c r="AM14" t="s">
        <v>117</v>
      </c>
      <c r="AN14" t="s">
        <v>106</v>
      </c>
      <c r="AO14" s="5">
        <v>13722.6</v>
      </c>
      <c r="AP14" s="5">
        <v>81.298038485024648</v>
      </c>
      <c r="AQ14" s="5">
        <v>113.64682133698241</v>
      </c>
      <c r="AR14" s="5">
        <v>13496</v>
      </c>
      <c r="AS14" s="5">
        <v>13871</v>
      </c>
    </row>
    <row r="15" spans="1:52" x14ac:dyDescent="0.25">
      <c r="C15" t="s">
        <v>80</v>
      </c>
      <c r="D15" t="s">
        <v>77</v>
      </c>
      <c r="E15" s="5">
        <v>14.80738990479856</v>
      </c>
      <c r="F15" s="5">
        <v>1</v>
      </c>
      <c r="G15" s="5">
        <v>6.2518500608284761E-2</v>
      </c>
      <c r="H15" s="5">
        <v>8.7394837578947643E-2</v>
      </c>
      <c r="I15" s="5">
        <v>14.638753868636099</v>
      </c>
      <c r="J15" s="5">
        <v>14.938387130672201</v>
      </c>
      <c r="K15" s="5">
        <v>2.5999999993946399</v>
      </c>
      <c r="L15" s="5">
        <v>301.61300022101199</v>
      </c>
      <c r="M15" s="5">
        <v>39114.6</v>
      </c>
      <c r="P15" t="s">
        <v>107</v>
      </c>
      <c r="Q15" t="s">
        <v>105</v>
      </c>
      <c r="R15" t="s">
        <v>106</v>
      </c>
      <c r="S15" s="5">
        <v>0.81557194281027567</v>
      </c>
      <c r="T15" s="5">
        <v>4.9657823959478754E-3</v>
      </c>
      <c r="U15" s="5">
        <v>6.9416851287817331E-3</v>
      </c>
      <c r="V15" s="5">
        <v>0.80675605099888203</v>
      </c>
      <c r="W15" s="5">
        <v>0.82818429749007605</v>
      </c>
      <c r="X15" s="5">
        <v>0</v>
      </c>
      <c r="Y15" s="5">
        <v>1</v>
      </c>
      <c r="AL15" t="s">
        <v>127</v>
      </c>
      <c r="AM15" t="s">
        <v>119</v>
      </c>
      <c r="AN15" t="s">
        <v>106</v>
      </c>
      <c r="AO15" s="5">
        <v>0.54938142053560801</v>
      </c>
      <c r="AP15" s="5">
        <v>3.2331547581159752E-3</v>
      </c>
      <c r="AQ15" s="5">
        <v>4.5196387022068685E-3</v>
      </c>
      <c r="AR15" s="5">
        <v>0.54030874063430001</v>
      </c>
      <c r="AS15" s="5">
        <v>0.55566835138728998</v>
      </c>
    </row>
    <row r="16" spans="1:52" x14ac:dyDescent="0.25">
      <c r="C16" t="s">
        <v>81</v>
      </c>
      <c r="D16" t="s">
        <v>77</v>
      </c>
      <c r="E16" s="5">
        <v>2.8068584162430272</v>
      </c>
      <c r="F16" s="5">
        <v>1</v>
      </c>
      <c r="G16" s="5">
        <v>7.7575940920069286E-3</v>
      </c>
      <c r="H16" s="5">
        <v>1.0844368772089623E-2</v>
      </c>
      <c r="I16" s="5">
        <v>2.7926069641580802</v>
      </c>
      <c r="J16" s="5">
        <v>2.8286311922860898</v>
      </c>
      <c r="K16" s="5">
        <v>0</v>
      </c>
      <c r="L16" s="5">
        <v>8.0000000000291003</v>
      </c>
      <c r="M16" s="5">
        <v>39114.6</v>
      </c>
      <c r="Q16" t="s">
        <v>97</v>
      </c>
      <c r="R16" t="s">
        <v>106</v>
      </c>
      <c r="S16" s="5">
        <v>0.81557194281027567</v>
      </c>
      <c r="T16" s="5">
        <v>4.9657823959478754E-3</v>
      </c>
      <c r="U16" s="5">
        <v>6.9416851287817331E-3</v>
      </c>
      <c r="V16" s="5">
        <v>0.80675605099888203</v>
      </c>
      <c r="W16" s="5">
        <v>0.82818429749007605</v>
      </c>
      <c r="X16" s="5">
        <v>0</v>
      </c>
      <c r="Y16" s="5">
        <v>1</v>
      </c>
      <c r="AL16" t="s">
        <v>130</v>
      </c>
      <c r="AM16" t="s">
        <v>117</v>
      </c>
      <c r="AN16" t="s">
        <v>106</v>
      </c>
      <c r="AO16" s="5">
        <v>19616</v>
      </c>
      <c r="AP16" s="5">
        <v>118.97551263082794</v>
      </c>
      <c r="AQ16" s="5">
        <v>166.31629839288485</v>
      </c>
      <c r="AR16" s="5">
        <v>19409</v>
      </c>
      <c r="AS16" s="5">
        <v>19915</v>
      </c>
    </row>
    <row r="17" spans="2:45" x14ac:dyDescent="0.25">
      <c r="C17" t="s">
        <v>82</v>
      </c>
      <c r="D17" t="s">
        <v>77</v>
      </c>
      <c r="E17" s="5">
        <v>25.459161551617594</v>
      </c>
      <c r="F17" s="5">
        <v>1</v>
      </c>
      <c r="G17" s="5">
        <v>0.84620652155011711</v>
      </c>
      <c r="H17" s="5">
        <v>1.1829151497487862</v>
      </c>
      <c r="I17" s="5">
        <v>23.749747212782399</v>
      </c>
      <c r="J17" s="5">
        <v>27.4385105303964</v>
      </c>
      <c r="K17" s="5">
        <v>0</v>
      </c>
      <c r="L17" s="5">
        <v>697.97683727095102</v>
      </c>
      <c r="M17" s="5">
        <v>39114.6</v>
      </c>
      <c r="Q17" t="s">
        <v>99</v>
      </c>
      <c r="R17" t="s">
        <v>106</v>
      </c>
      <c r="S17" s="5">
        <v>1</v>
      </c>
      <c r="T17" s="5">
        <v>0</v>
      </c>
      <c r="U17" s="5">
        <v>0</v>
      </c>
      <c r="V17" s="5">
        <v>1</v>
      </c>
      <c r="W17" s="5">
        <v>1</v>
      </c>
      <c r="X17" s="5">
        <v>1</v>
      </c>
      <c r="Y17" s="5">
        <v>1</v>
      </c>
      <c r="AL17" t="s">
        <v>131</v>
      </c>
      <c r="AM17" t="s">
        <v>119</v>
      </c>
      <c r="AN17" t="s">
        <v>106</v>
      </c>
      <c r="AO17" s="5">
        <v>0.82030090075893936</v>
      </c>
      <c r="AP17" s="5">
        <v>4.9849441325044447E-3</v>
      </c>
      <c r="AQ17" s="5">
        <v>6.9684713894533476E-3</v>
      </c>
      <c r="AR17" s="5">
        <v>0.81151215762737705</v>
      </c>
      <c r="AS17" s="5">
        <v>0.832837691284112</v>
      </c>
    </row>
    <row r="18" spans="2:45" x14ac:dyDescent="0.25">
      <c r="B18" t="s">
        <v>84</v>
      </c>
      <c r="C18" t="s">
        <v>71</v>
      </c>
      <c r="D18" t="s">
        <v>72</v>
      </c>
      <c r="E18" s="5">
        <v>16.342083245800943</v>
      </c>
      <c r="F18" s="5">
        <v>1</v>
      </c>
      <c r="G18" s="5">
        <v>0.6604019259627999</v>
      </c>
      <c r="H18" s="5">
        <v>0.92317823515899855</v>
      </c>
      <c r="I18" s="5">
        <v>14.460984743214899</v>
      </c>
      <c r="J18" s="5">
        <v>17.671093893504501</v>
      </c>
      <c r="K18" s="5">
        <v>0</v>
      </c>
      <c r="L18" s="5">
        <v>132.19592455730901</v>
      </c>
      <c r="M18" s="5">
        <v>19615.8</v>
      </c>
      <c r="P18" t="s">
        <v>108</v>
      </c>
      <c r="Q18" t="s">
        <v>105</v>
      </c>
      <c r="R18" t="s">
        <v>106</v>
      </c>
      <c r="S18" s="5">
        <v>0.54938142053560801</v>
      </c>
      <c r="T18" s="5">
        <v>3.2331547581159752E-3</v>
      </c>
      <c r="U18" s="5">
        <v>4.5196387022068685E-3</v>
      </c>
      <c r="V18" s="5">
        <v>0.54030874063430001</v>
      </c>
      <c r="W18" s="5">
        <v>0.55566835138728998</v>
      </c>
      <c r="X18" s="5">
        <v>0</v>
      </c>
      <c r="Y18" s="5">
        <v>1</v>
      </c>
    </row>
    <row r="19" spans="2:45" x14ac:dyDescent="0.25">
      <c r="B19" t="s">
        <v>85</v>
      </c>
      <c r="C19" t="s">
        <v>71</v>
      </c>
      <c r="D19" t="s">
        <v>72</v>
      </c>
      <c r="E19" s="5">
        <v>0.42283517513581825</v>
      </c>
      <c r="F19" s="5">
        <v>1</v>
      </c>
      <c r="G19" s="5">
        <v>9.6651948619765476E-3</v>
      </c>
      <c r="H19" s="5">
        <v>1.3511010771416105E-2</v>
      </c>
      <c r="I19" s="5">
        <v>0.39727462981438899</v>
      </c>
      <c r="J19" s="5">
        <v>0.44463425929362299</v>
      </c>
      <c r="K19" s="5">
        <v>0</v>
      </c>
      <c r="L19" s="5">
        <v>20.274494886893098</v>
      </c>
      <c r="M19" s="5">
        <v>19615.900000000001</v>
      </c>
      <c r="Q19" t="s">
        <v>97</v>
      </c>
      <c r="R19" t="s">
        <v>106</v>
      </c>
      <c r="S19" s="5">
        <v>0.54938142053560801</v>
      </c>
      <c r="T19" s="5">
        <v>3.2331547581159752E-3</v>
      </c>
      <c r="U19" s="5">
        <v>4.5196387022068685E-3</v>
      </c>
      <c r="V19" s="5">
        <v>0.54030874063430001</v>
      </c>
      <c r="W19" s="5">
        <v>0.55566835138728998</v>
      </c>
      <c r="X19" s="5">
        <v>0</v>
      </c>
      <c r="Y19" s="5">
        <v>1</v>
      </c>
    </row>
    <row r="20" spans="2:45" x14ac:dyDescent="0.25">
      <c r="B20" t="s">
        <v>86</v>
      </c>
      <c r="C20" t="s">
        <v>71</v>
      </c>
      <c r="D20" t="s">
        <v>72</v>
      </c>
      <c r="E20" s="5">
        <v>2.5112702822422621</v>
      </c>
      <c r="F20" s="5">
        <v>1</v>
      </c>
      <c r="G20" s="5">
        <v>3.4198927335504746E-2</v>
      </c>
      <c r="H20" s="5">
        <v>4.7806803918528436E-2</v>
      </c>
      <c r="I20" s="5">
        <v>2.44135409421229</v>
      </c>
      <c r="J20" s="5">
        <v>2.5918018060106802</v>
      </c>
      <c r="K20" s="5">
        <v>0</v>
      </c>
      <c r="L20" s="5">
        <v>45.589153537584899</v>
      </c>
      <c r="M20" s="5">
        <v>13722.6</v>
      </c>
      <c r="Q20" t="s">
        <v>99</v>
      </c>
      <c r="R20" t="s">
        <v>106</v>
      </c>
      <c r="S20" s="5">
        <v>1</v>
      </c>
      <c r="T20" s="5">
        <v>0</v>
      </c>
      <c r="U20" s="5">
        <v>0</v>
      </c>
      <c r="V20" s="5">
        <v>1</v>
      </c>
      <c r="W20" s="5">
        <v>1</v>
      </c>
      <c r="X20" s="5">
        <v>1</v>
      </c>
      <c r="Y20" s="5">
        <v>1</v>
      </c>
    </row>
    <row r="21" spans="2:45" x14ac:dyDescent="0.25">
      <c r="B21" t="s">
        <v>87</v>
      </c>
      <c r="C21" t="s">
        <v>71</v>
      </c>
      <c r="D21" t="s">
        <v>72</v>
      </c>
      <c r="E21" s="5">
        <v>0.49391925673118131</v>
      </c>
      <c r="F21" s="5">
        <v>1</v>
      </c>
      <c r="G21" s="5">
        <v>1.0407796307304491E-2</v>
      </c>
      <c r="H21" s="5">
        <v>1.4549096011287116E-2</v>
      </c>
      <c r="I21" s="5">
        <v>0.47764851193542202</v>
      </c>
      <c r="J21" s="5">
        <v>0.51712935231426205</v>
      </c>
      <c r="K21" s="5">
        <v>0</v>
      </c>
      <c r="L21" s="5">
        <v>18.774555745418201</v>
      </c>
      <c r="M21" s="5">
        <v>13722.7</v>
      </c>
      <c r="P21" t="s">
        <v>84</v>
      </c>
      <c r="Q21" t="s">
        <v>101</v>
      </c>
      <c r="R21" t="s">
        <v>72</v>
      </c>
      <c r="S21" s="5">
        <v>0.5830563488318371</v>
      </c>
      <c r="T21" s="5">
        <v>2.6718423823055008E-2</v>
      </c>
      <c r="U21" s="5">
        <v>3.7349781067397253E-2</v>
      </c>
      <c r="V21" s="5">
        <v>0.51031500523829298</v>
      </c>
      <c r="W21" s="5">
        <v>0.63800950130876</v>
      </c>
      <c r="X21" s="5">
        <v>0</v>
      </c>
      <c r="Y21" s="5">
        <v>6</v>
      </c>
    </row>
    <row r="22" spans="2:45" x14ac:dyDescent="0.25">
      <c r="B22" t="s">
        <v>88</v>
      </c>
      <c r="C22" t="s">
        <v>89</v>
      </c>
      <c r="D22" t="s">
        <v>90</v>
      </c>
      <c r="E22" s="5">
        <v>183.0256097970736</v>
      </c>
      <c r="F22" s="5">
        <v>1</v>
      </c>
      <c r="G22" s="5">
        <v>2.2343855215228454</v>
      </c>
      <c r="H22" s="5">
        <v>3.1234555826241972</v>
      </c>
      <c r="I22" s="5">
        <v>178.556232109566</v>
      </c>
      <c r="J22" s="5">
        <v>188.13777577457799</v>
      </c>
      <c r="K22" s="5">
        <v>85.085463017283502</v>
      </c>
      <c r="L22" s="5">
        <v>801.14163618703606</v>
      </c>
      <c r="M22" s="5">
        <v>13723.7</v>
      </c>
      <c r="P22" t="s">
        <v>85</v>
      </c>
      <c r="Q22" t="s">
        <v>101</v>
      </c>
      <c r="R22" t="s">
        <v>72</v>
      </c>
      <c r="S22" s="5">
        <v>1.5083245089254998E-2</v>
      </c>
      <c r="T22" s="5">
        <v>4.1753324008164384E-4</v>
      </c>
      <c r="U22" s="5">
        <v>5.836712228493759E-4</v>
      </c>
      <c r="V22" s="5">
        <v>1.41054163109371E-2</v>
      </c>
      <c r="W22" s="5">
        <v>1.6052913612351699E-2</v>
      </c>
      <c r="X22" s="5">
        <v>0</v>
      </c>
      <c r="Y22" s="5">
        <v>1</v>
      </c>
    </row>
    <row r="23" spans="2:45" x14ac:dyDescent="0.25">
      <c r="B23" t="s">
        <v>91</v>
      </c>
      <c r="C23" t="s">
        <v>89</v>
      </c>
      <c r="D23" t="s">
        <v>90</v>
      </c>
      <c r="E23" s="5">
        <v>221.72862363811799</v>
      </c>
      <c r="F23" s="5">
        <v>1</v>
      </c>
      <c r="G23" s="5">
        <v>2.9027211867436722</v>
      </c>
      <c r="H23" s="5">
        <v>4.0577244205184302</v>
      </c>
      <c r="I23" s="5">
        <v>215.11579089224901</v>
      </c>
      <c r="J23" s="5">
        <v>228.600057561574</v>
      </c>
      <c r="K23" s="5">
        <v>103.587534622755</v>
      </c>
      <c r="L23" s="5">
        <v>845.65217638315505</v>
      </c>
      <c r="M23" s="5">
        <v>5893</v>
      </c>
      <c r="P23" t="s">
        <v>86</v>
      </c>
      <c r="Q23" t="s">
        <v>101</v>
      </c>
      <c r="R23" t="s">
        <v>72</v>
      </c>
      <c r="S23" s="5">
        <v>6.2655374167183184E-2</v>
      </c>
      <c r="T23" s="5">
        <v>9.2787245996831338E-4</v>
      </c>
      <c r="U23" s="5">
        <v>1.297076259729802E-3</v>
      </c>
      <c r="V23" s="5">
        <v>6.05919548276165E-2</v>
      </c>
      <c r="W23" s="5">
        <v>6.4938397569822504E-2</v>
      </c>
      <c r="X23" s="5">
        <v>0</v>
      </c>
      <c r="Y23" s="5">
        <v>3</v>
      </c>
    </row>
    <row r="24" spans="2:45" x14ac:dyDescent="0.25">
      <c r="B24" t="s">
        <v>92</v>
      </c>
      <c r="C24" t="s">
        <v>93</v>
      </c>
      <c r="D24" t="s">
        <v>90</v>
      </c>
      <c r="E24" s="5">
        <v>194.65511627766719</v>
      </c>
      <c r="F24" s="5">
        <v>1</v>
      </c>
      <c r="G24" s="5">
        <v>2.4429412694846642</v>
      </c>
      <c r="H24" s="5">
        <v>3.4149964152087802</v>
      </c>
      <c r="I24" s="5">
        <v>189.36023155199101</v>
      </c>
      <c r="J24" s="5">
        <v>200.195757212735</v>
      </c>
      <c r="K24" s="5">
        <v>85.085463017283502</v>
      </c>
      <c r="L24" s="5">
        <v>845.65217638315505</v>
      </c>
      <c r="M24" s="5">
        <v>19616.7</v>
      </c>
      <c r="P24" t="s">
        <v>87</v>
      </c>
      <c r="Q24" t="s">
        <v>101</v>
      </c>
      <c r="R24" t="s">
        <v>72</v>
      </c>
      <c r="S24" s="5">
        <v>1.232491804183645E-2</v>
      </c>
      <c r="T24" s="5">
        <v>3.0650204751958381E-4</v>
      </c>
      <c r="U24" s="5">
        <v>4.2846031814523761E-4</v>
      </c>
      <c r="V24" s="5">
        <v>1.1842209288638999E-2</v>
      </c>
      <c r="W24" s="5">
        <v>1.30420022653657E-2</v>
      </c>
      <c r="X24" s="5">
        <v>0</v>
      </c>
      <c r="Y24" s="5">
        <v>2</v>
      </c>
    </row>
    <row r="25" spans="2:45" x14ac:dyDescent="0.25">
      <c r="B25" t="s">
        <v>94</v>
      </c>
      <c r="C25" t="s">
        <v>71</v>
      </c>
      <c r="D25" t="s">
        <v>72</v>
      </c>
      <c r="E25" s="5">
        <v>50.415166381141077</v>
      </c>
      <c r="F25" s="5">
        <v>1</v>
      </c>
      <c r="G25" s="5">
        <v>1.6503100887163762</v>
      </c>
      <c r="H25" s="5">
        <v>2.3069744276489197</v>
      </c>
      <c r="I25" s="5">
        <v>47.629236120241401</v>
      </c>
      <c r="J25" s="5">
        <v>54.364186767872503</v>
      </c>
      <c r="K25" s="5">
        <v>0</v>
      </c>
      <c r="L25" s="5">
        <v>642.11042136000503</v>
      </c>
      <c r="M25" s="5">
        <v>19616</v>
      </c>
      <c r="P25" t="s">
        <v>109</v>
      </c>
      <c r="Q25" t="s">
        <v>105</v>
      </c>
      <c r="R25" t="s">
        <v>106</v>
      </c>
      <c r="S25" s="5">
        <v>0.82030090075893936</v>
      </c>
      <c r="T25" s="5">
        <v>4.9849441325044447E-3</v>
      </c>
      <c r="U25" s="5">
        <v>6.9684713894533476E-3</v>
      </c>
      <c r="V25" s="5">
        <v>0.81151215762737705</v>
      </c>
      <c r="W25" s="5">
        <v>0.832837691284112</v>
      </c>
      <c r="X25" s="5">
        <v>0</v>
      </c>
      <c r="Y25" s="5">
        <v>1</v>
      </c>
    </row>
    <row r="26" spans="2:45" x14ac:dyDescent="0.25">
      <c r="B26" t="s">
        <v>95</v>
      </c>
      <c r="C26" t="s">
        <v>71</v>
      </c>
      <c r="D26" t="s">
        <v>72</v>
      </c>
      <c r="E26" s="5">
        <v>0.36156930220060063</v>
      </c>
      <c r="F26" s="5">
        <v>1</v>
      </c>
      <c r="G26" s="5">
        <v>6.7783671515157405E-3</v>
      </c>
      <c r="H26" s="5">
        <v>9.4755038987401723E-3</v>
      </c>
      <c r="I26" s="5">
        <v>0.34664092936881102</v>
      </c>
      <c r="J26" s="5">
        <v>0.37565687863570202</v>
      </c>
      <c r="K26" s="5">
        <v>0</v>
      </c>
      <c r="L26" s="5">
        <v>15.013901928876299</v>
      </c>
      <c r="M26" s="5">
        <v>19616</v>
      </c>
      <c r="Q26" t="s">
        <v>97</v>
      </c>
      <c r="R26" t="s">
        <v>106</v>
      </c>
      <c r="S26" s="5">
        <v>0.82030090075893936</v>
      </c>
      <c r="T26" s="5">
        <v>4.9849441325044447E-3</v>
      </c>
      <c r="U26" s="5">
        <v>6.9684713894533476E-3</v>
      </c>
      <c r="V26" s="5">
        <v>0.81151215762737705</v>
      </c>
      <c r="W26" s="5">
        <v>0.832837691284112</v>
      </c>
      <c r="X26" s="5">
        <v>0</v>
      </c>
      <c r="Y26" s="5">
        <v>1</v>
      </c>
    </row>
    <row r="27" spans="2:45" x14ac:dyDescent="0.25">
      <c r="Q27" t="s">
        <v>99</v>
      </c>
      <c r="R27" t="s">
        <v>106</v>
      </c>
      <c r="S27" s="5">
        <v>1</v>
      </c>
      <c r="T27" s="5">
        <v>0</v>
      </c>
      <c r="U27" s="5">
        <v>0</v>
      </c>
      <c r="V27" s="5">
        <v>1</v>
      </c>
      <c r="W27" s="5">
        <v>1</v>
      </c>
      <c r="X27" s="5">
        <v>1</v>
      </c>
      <c r="Y27" s="5">
        <v>1</v>
      </c>
    </row>
    <row r="28" spans="2:45" x14ac:dyDescent="0.25">
      <c r="P28" t="s">
        <v>94</v>
      </c>
      <c r="Q28" t="s">
        <v>101</v>
      </c>
      <c r="R28" t="s">
        <v>72</v>
      </c>
      <c r="S28" s="5">
        <v>1.7984099951452888</v>
      </c>
      <c r="T28" s="5">
        <v>6.7349494799689366E-2</v>
      </c>
      <c r="U28" s="5">
        <v>9.41481017902569E-2</v>
      </c>
      <c r="V28" s="5">
        <v>1.6808414073062801</v>
      </c>
      <c r="W28" s="5">
        <v>1.96303981301246</v>
      </c>
      <c r="X28" s="5">
        <v>0</v>
      </c>
      <c r="Y28" s="5">
        <v>28</v>
      </c>
    </row>
    <row r="29" spans="2:45" x14ac:dyDescent="0.25">
      <c r="P29" t="s">
        <v>95</v>
      </c>
      <c r="Q29" t="s">
        <v>101</v>
      </c>
      <c r="R29" t="s">
        <v>72</v>
      </c>
      <c r="S29" s="5">
        <v>1.2897450081583859E-2</v>
      </c>
      <c r="T29" s="5">
        <v>3.0312598423651549E-4</v>
      </c>
      <c r="U29" s="5">
        <v>4.2374090710035878E-4</v>
      </c>
      <c r="V29" s="5">
        <v>1.2232643269307701E-2</v>
      </c>
      <c r="W29" s="5">
        <v>1.34073753437328E-2</v>
      </c>
      <c r="X29" s="5">
        <v>0</v>
      </c>
      <c r="Y29" s="5">
        <v>1</v>
      </c>
    </row>
    <row r="30" spans="2:45" x14ac:dyDescent="0.25">
      <c r="P30" t="s">
        <v>110</v>
      </c>
      <c r="Q30" t="s">
        <v>111</v>
      </c>
      <c r="R30" t="s">
        <v>90</v>
      </c>
      <c r="S30" s="5">
        <v>0.67697821611736619</v>
      </c>
      <c r="T30" s="5">
        <v>4.5578893490793634E-3</v>
      </c>
      <c r="U30" s="5">
        <v>6.3714899668086428E-3</v>
      </c>
      <c r="V30" s="5">
        <v>0.66877542384053201</v>
      </c>
      <c r="W30" s="5">
        <v>0.69059318471793496</v>
      </c>
      <c r="X30" s="5">
        <v>0</v>
      </c>
      <c r="Y30" s="5">
        <v>7</v>
      </c>
    </row>
  </sheetData>
  <dataConsolidate/>
  <conditionalFormatting pivot="1" sqref="G3:G26">
    <cfRule type="expression" dxfId="37" priority="10">
      <formula>G3=200000000000000000000</formula>
    </cfRule>
  </conditionalFormatting>
  <conditionalFormatting pivot="1" sqref="T3:T30">
    <cfRule type="expression" dxfId="36" priority="9">
      <formula>T3=200000000000000000000</formula>
    </cfRule>
  </conditionalFormatting>
  <conditionalFormatting pivot="1" sqref="T3:T30">
    <cfRule type="expression" dxfId="35" priority="8">
      <formula>T3=300000000000000000000</formula>
    </cfRule>
  </conditionalFormatting>
  <conditionalFormatting pivot="1" sqref="G3:G26">
    <cfRule type="expression" dxfId="34" priority="7">
      <formula>G3=300000000000000000000</formula>
    </cfRule>
  </conditionalFormatting>
  <conditionalFormatting pivot="1" sqref="F3:F26">
    <cfRule type="expression" dxfId="33" priority="6">
      <formula>F3=0</formula>
    </cfRule>
  </conditionalFormatting>
  <conditionalFormatting pivot="1" sqref="F3:F26">
    <cfRule type="expression" dxfId="32" priority="5">
      <formula>F3=1</formula>
    </cfRule>
  </conditionalFormatting>
  <conditionalFormatting pivot="1" sqref="T3:T30">
    <cfRule type="expression" dxfId="31" priority="4">
      <formula>T3=400000000000000000000</formula>
    </cfRule>
  </conditionalFormatting>
  <conditionalFormatting pivot="1" sqref="AP3:AP17">
    <cfRule type="expression" dxfId="30" priority="3">
      <formula>AP3=400000000000000000000</formula>
    </cfRule>
  </conditionalFormatting>
  <conditionalFormatting pivot="1" sqref="AF3">
    <cfRule type="expression" dxfId="29" priority="2">
      <formula>AF3=400000000000000000000</formula>
    </cfRule>
  </conditionalFormatting>
  <conditionalFormatting pivot="1" sqref="G3:G26">
    <cfRule type="expression" dxfId="28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241"/>
  <sheetViews>
    <sheetView workbookViewId="0">
      <selection activeCell="K2" sqref="K2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4.7109375" bestFit="1" customWidth="1"/>
    <col min="5" max="5" width="13.28515625" bestFit="1" customWidth="1"/>
    <col min="6" max="6" width="13.8554687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59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67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0.850369924877317</v>
      </c>
      <c r="H2">
        <v>6.4355710471902597E-2</v>
      </c>
      <c r="I2">
        <v>0</v>
      </c>
      <c r="J2">
        <v>31.983031302690499</v>
      </c>
      <c r="K2">
        <v>19448</v>
      </c>
      <c r="L2" t="str">
        <f>DiscreteStatsTable[[#This Row],[ProjectName]]&amp;DiscreteStatsTable[[#This Row],[Name]]&amp;DiscreteStatsTable[[#This Row],[Type]]&amp;DiscreteStatsTable[[#This Row],[Source]]</f>
        <v>Unnamed ProjectEnter Request AGV.QueueWaiting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0.87003020736678138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2.8005942703720147E-2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2.0034244521324955E-2</v>
      </c>
      <c r="R2" cm="1">
        <f t="array" ref="R2">MIN(IF((DiscreteStatsTable[GroupByKey]=DiscreteStatsTable[[#This Row],[GroupByKey]]),(DiscreteStatsTable[GroupByKey]=DiscreteStatsTable[[#This Row],[GroupByKey]])*DiscreteStatsTable[Average]))</f>
        <v>0.83826171429315199</v>
      </c>
      <c r="S2" cm="1">
        <f t="array" ref="S2">MAX(IF((DiscreteStatsTable[GroupByKey]=DiscreteStatsTable[[#This Row],[GroupByKey]]),(DiscreteStatsTable[GroupByKey]=DiscreteStatsTable[[#This Row],[GroupByKey]])*DiscreteStatsTable[Average]))</f>
        <v>0.93377738042775704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33.778883781342302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19615.599999999999</v>
      </c>
      <c r="W2">
        <f>IF((DiscreteStatsTable[[#This Row],[RepsRequested]]&gt;1),DiscreteStatsTable[[#This Row],[HalfWidth]],DiscreteStatsTable[[#This Row],[BatchMeansHalfWidth]])</f>
        <v>2.0034244521324955E-2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10</v>
      </c>
      <c r="Y2">
        <f>IF(DiscreteStatsTable[[#This Row],[RepsRequested]]=DiscreteStatsTable[[#This Row],[RepsWithStatObserved]],1,0)</f>
        <v>1</v>
      </c>
    </row>
    <row r="3" spans="1:25" x14ac:dyDescent="0.25">
      <c r="A3" t="s">
        <v>67</v>
      </c>
      <c r="B3" t="s">
        <v>69</v>
      </c>
      <c r="C3">
        <v>2</v>
      </c>
      <c r="D3" t="s">
        <v>70</v>
      </c>
      <c r="E3" t="s">
        <v>71</v>
      </c>
      <c r="F3" t="s">
        <v>72</v>
      </c>
      <c r="G3">
        <v>0.89328295982763295</v>
      </c>
      <c r="H3">
        <v>4.9468855972127003E-2</v>
      </c>
      <c r="I3">
        <v>0</v>
      </c>
      <c r="J3">
        <v>33.778883781342302</v>
      </c>
      <c r="K3">
        <v>19625</v>
      </c>
      <c r="L3" t="str">
        <f>DiscreteStatsTable[[#This Row],[ProjectName]]&amp;DiscreteStatsTable[[#This Row],[Name]]&amp;DiscreteStatsTable[[#This Row],[Type]]&amp;DiscreteStatsTable[[#This Row],[Source]]</f>
        <v>Unnamed ProjectEnter Request AGV.QueueWaiting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0.87003020736678138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2.8005942703720147E-2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2.0034244521324955E-2</v>
      </c>
      <c r="R3" cm="1">
        <f t="array" ref="R3">MIN(IF((DiscreteStatsTable[GroupByKey]=DiscreteStatsTable[[#This Row],[GroupByKey]]),(DiscreteStatsTable[GroupByKey]=DiscreteStatsTable[[#This Row],[GroupByKey]])*DiscreteStatsTable[Average]))</f>
        <v>0.83826171429315199</v>
      </c>
      <c r="S3" cm="1">
        <f t="array" ref="S3">MAX(IF((DiscreteStatsTable[GroupByKey]=DiscreteStatsTable[[#This Row],[GroupByKey]]),(DiscreteStatsTable[GroupByKey]=DiscreteStatsTable[[#This Row],[GroupByKey]])*DiscreteStatsTable[Average]))</f>
        <v>0.93377738042775704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33.778883781342302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19615.599999999999</v>
      </c>
      <c r="W3">
        <f>IF((DiscreteStatsTable[[#This Row],[RepsRequested]]&gt;1),DiscreteStatsTable[[#This Row],[HalfWidth]],DiscreteStatsTable[[#This Row],[BatchMeansHalfWidth]])</f>
        <v>2.0034244521324955E-2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10</v>
      </c>
      <c r="Y3">
        <f>IF(DiscreteStatsTable[[#This Row],[RepsRequested]]=DiscreteStatsTable[[#This Row],[RepsWithStatObserved]],1,0)</f>
        <v>1</v>
      </c>
    </row>
    <row r="4" spans="1:25" x14ac:dyDescent="0.25">
      <c r="A4" t="s">
        <v>67</v>
      </c>
      <c r="B4" t="s">
        <v>69</v>
      </c>
      <c r="C4">
        <v>3</v>
      </c>
      <c r="D4" t="s">
        <v>70</v>
      </c>
      <c r="E4" t="s">
        <v>71</v>
      </c>
      <c r="F4" t="s">
        <v>72</v>
      </c>
      <c r="G4">
        <v>0.86223121377624301</v>
      </c>
      <c r="H4">
        <v>5.3119910068428297E-2</v>
      </c>
      <c r="I4">
        <v>0</v>
      </c>
      <c r="J4">
        <v>33.059568108292297</v>
      </c>
      <c r="K4">
        <v>19410</v>
      </c>
      <c r="L4" t="str">
        <f>DiscreteStatsTable[[#This Row],[ProjectName]]&amp;DiscreteStatsTable[[#This Row],[Name]]&amp;DiscreteStatsTable[[#This Row],[Type]]&amp;DiscreteStatsTable[[#This Row],[Source]]</f>
        <v>Unnamed ProjectEnter Request AGV.QueueWaiting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0.87003020736678138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2.8005942703720147E-2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2.0034244521324955E-2</v>
      </c>
      <c r="R4" cm="1">
        <f t="array" ref="R4">MIN(IF((DiscreteStatsTable[GroupByKey]=DiscreteStatsTable[[#This Row],[GroupByKey]]),(DiscreteStatsTable[GroupByKey]=DiscreteStatsTable[[#This Row],[GroupByKey]])*DiscreteStatsTable[Average]))</f>
        <v>0.83826171429315199</v>
      </c>
      <c r="S4" cm="1">
        <f t="array" ref="S4">MAX(IF((DiscreteStatsTable[GroupByKey]=DiscreteStatsTable[[#This Row],[GroupByKey]]),(DiscreteStatsTable[GroupByKey]=DiscreteStatsTable[[#This Row],[GroupByKey]])*DiscreteStatsTable[Average]))</f>
        <v>0.93377738042775704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33.778883781342302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19615.599999999999</v>
      </c>
      <c r="W4">
        <f>IF((DiscreteStatsTable[[#This Row],[RepsRequested]]&gt;1),DiscreteStatsTable[[#This Row],[HalfWidth]],DiscreteStatsTable[[#This Row],[BatchMeansHalfWidth]])</f>
        <v>2.0034244521324955E-2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10</v>
      </c>
      <c r="Y4">
        <f>IF(DiscreteStatsTable[[#This Row],[RepsRequested]]=DiscreteStatsTable[[#This Row],[RepsWithStatObserved]],1,0)</f>
        <v>1</v>
      </c>
    </row>
    <row r="5" spans="1:25" x14ac:dyDescent="0.25">
      <c r="A5" t="s">
        <v>67</v>
      </c>
      <c r="B5" t="s">
        <v>69</v>
      </c>
      <c r="C5">
        <v>4</v>
      </c>
      <c r="D5" t="s">
        <v>70</v>
      </c>
      <c r="E5" t="s">
        <v>71</v>
      </c>
      <c r="F5" t="s">
        <v>72</v>
      </c>
      <c r="G5">
        <v>0.93377738042775704</v>
      </c>
      <c r="H5">
        <v>6.7954064091491295E-2</v>
      </c>
      <c r="I5">
        <v>0</v>
      </c>
      <c r="J5">
        <v>30.334625135583298</v>
      </c>
      <c r="K5">
        <v>19914</v>
      </c>
      <c r="L5" t="str">
        <f>DiscreteStatsTable[[#This Row],[ProjectName]]&amp;DiscreteStatsTable[[#This Row],[Name]]&amp;DiscreteStatsTable[[#This Row],[Type]]&amp;DiscreteStatsTable[[#This Row],[Source]]</f>
        <v>Unnamed ProjectEnter Request AGV.QueueWaiting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0.87003020736678138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2.8005942703720147E-2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2.0034244521324955E-2</v>
      </c>
      <c r="R5" cm="1">
        <f t="array" ref="R5">MIN(IF((DiscreteStatsTable[GroupByKey]=DiscreteStatsTable[[#This Row],[GroupByKey]]),(DiscreteStatsTable[GroupByKey]=DiscreteStatsTable[[#This Row],[GroupByKey]])*DiscreteStatsTable[Average]))</f>
        <v>0.83826171429315199</v>
      </c>
      <c r="S5" cm="1">
        <f t="array" ref="S5">MAX(IF((DiscreteStatsTable[GroupByKey]=DiscreteStatsTable[[#This Row],[GroupByKey]]),(DiscreteStatsTable[GroupByKey]=DiscreteStatsTable[[#This Row],[GroupByKey]])*DiscreteStatsTable[Average]))</f>
        <v>0.93377738042775704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33.778883781342302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19615.599999999999</v>
      </c>
      <c r="W5">
        <f>IF((DiscreteStatsTable[[#This Row],[RepsRequested]]&gt;1),DiscreteStatsTable[[#This Row],[HalfWidth]],DiscreteStatsTable[[#This Row],[BatchMeansHalfWidth]])</f>
        <v>2.0034244521324955E-2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10</v>
      </c>
      <c r="Y5">
        <f>IF(DiscreteStatsTable[[#This Row],[RepsRequested]]=DiscreteStatsTable[[#This Row],[RepsWithStatObserved]],1,0)</f>
        <v>1</v>
      </c>
    </row>
    <row r="6" spans="1:25" x14ac:dyDescent="0.25">
      <c r="A6" t="s">
        <v>67</v>
      </c>
      <c r="B6" t="s">
        <v>69</v>
      </c>
      <c r="C6">
        <v>5</v>
      </c>
      <c r="D6" t="s">
        <v>70</v>
      </c>
      <c r="E6" t="s">
        <v>71</v>
      </c>
      <c r="F6" t="s">
        <v>72</v>
      </c>
      <c r="G6">
        <v>0.85718875362290603</v>
      </c>
      <c r="H6">
        <v>5.1703934605946203E-2</v>
      </c>
      <c r="I6">
        <v>0</v>
      </c>
      <c r="J6">
        <v>23.3562550560018</v>
      </c>
      <c r="K6">
        <v>19496</v>
      </c>
      <c r="L6" t="str">
        <f>DiscreteStatsTable[[#This Row],[ProjectName]]&amp;DiscreteStatsTable[[#This Row],[Name]]&amp;DiscreteStatsTable[[#This Row],[Type]]&amp;DiscreteStatsTable[[#This Row],[Source]]</f>
        <v>Unnamed ProjectEnter Request AGV.QueueWaiting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0.87003020736678138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2.8005942703720147E-2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2.0034244521324955E-2</v>
      </c>
      <c r="R6" cm="1">
        <f t="array" ref="R6">MIN(IF((DiscreteStatsTable[GroupByKey]=DiscreteStatsTable[[#This Row],[GroupByKey]]),(DiscreteStatsTable[GroupByKey]=DiscreteStatsTable[[#This Row],[GroupByKey]])*DiscreteStatsTable[Average]))</f>
        <v>0.83826171429315199</v>
      </c>
      <c r="S6" cm="1">
        <f t="array" ref="S6">MAX(IF((DiscreteStatsTable[GroupByKey]=DiscreteStatsTable[[#This Row],[GroupByKey]]),(DiscreteStatsTable[GroupByKey]=DiscreteStatsTable[[#This Row],[GroupByKey]])*DiscreteStatsTable[Average]))</f>
        <v>0.93377738042775704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33.778883781342302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19615.599999999999</v>
      </c>
      <c r="W6">
        <f>IF((DiscreteStatsTable[[#This Row],[RepsRequested]]&gt;1),DiscreteStatsTable[[#This Row],[HalfWidth]],DiscreteStatsTable[[#This Row],[BatchMeansHalfWidth]])</f>
        <v>2.0034244521324955E-2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10</v>
      </c>
      <c r="Y6">
        <f>IF(DiscreteStatsTable[[#This Row],[RepsRequested]]=DiscreteStatsTable[[#This Row],[RepsWithStatObserved]],1,0)</f>
        <v>1</v>
      </c>
    </row>
    <row r="7" spans="1:25" x14ac:dyDescent="0.25">
      <c r="A7" t="s">
        <v>67</v>
      </c>
      <c r="B7" t="s">
        <v>69</v>
      </c>
      <c r="C7">
        <v>6</v>
      </c>
      <c r="D7" t="s">
        <v>70</v>
      </c>
      <c r="E7" t="s">
        <v>71</v>
      </c>
      <c r="F7" t="s">
        <v>72</v>
      </c>
      <c r="G7">
        <v>0.87314191155849497</v>
      </c>
      <c r="H7">
        <v>6.3752315428236506E-2</v>
      </c>
      <c r="I7">
        <v>0</v>
      </c>
      <c r="J7">
        <v>29.734376076143199</v>
      </c>
      <c r="K7">
        <v>19859</v>
      </c>
      <c r="L7" t="str">
        <f>DiscreteStatsTable[[#This Row],[ProjectName]]&amp;DiscreteStatsTable[[#This Row],[Name]]&amp;DiscreteStatsTable[[#This Row],[Type]]&amp;DiscreteStatsTable[[#This Row],[Source]]</f>
        <v>Unnamed ProjectEnter Request AGV.QueueWaiting TimeQueue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0.87003020736678138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2.8005942703720147E-2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2.0034244521324955E-2</v>
      </c>
      <c r="R7" cm="1">
        <f t="array" ref="R7">MIN(IF((DiscreteStatsTable[GroupByKey]=DiscreteStatsTable[[#This Row],[GroupByKey]]),(DiscreteStatsTable[GroupByKey]=DiscreteStatsTable[[#This Row],[GroupByKey]])*DiscreteStatsTable[Average]))</f>
        <v>0.83826171429315199</v>
      </c>
      <c r="S7" cm="1">
        <f t="array" ref="S7">MAX(IF((DiscreteStatsTable[GroupByKey]=DiscreteStatsTable[[#This Row],[GroupByKey]]),(DiscreteStatsTable[GroupByKey]=DiscreteStatsTable[[#This Row],[GroupByKey]])*DiscreteStatsTable[Average]))</f>
        <v>0.93377738042775704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33.778883781342302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19615.599999999999</v>
      </c>
      <c r="W7">
        <f>IF((DiscreteStatsTable[[#This Row],[RepsRequested]]&gt;1),DiscreteStatsTable[[#This Row],[HalfWidth]],DiscreteStatsTable[[#This Row],[BatchMeansHalfWidth]])</f>
        <v>2.0034244521324955E-2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10</v>
      </c>
      <c r="Y7">
        <f>IF(DiscreteStatsTable[[#This Row],[RepsRequested]]=DiscreteStatsTable[[#This Row],[RepsWithStatObserved]],1,0)</f>
        <v>1</v>
      </c>
    </row>
    <row r="8" spans="1:25" x14ac:dyDescent="0.25">
      <c r="A8" t="s">
        <v>67</v>
      </c>
      <c r="B8" t="s">
        <v>69</v>
      </c>
      <c r="C8">
        <v>7</v>
      </c>
      <c r="D8" t="s">
        <v>70</v>
      </c>
      <c r="E8" t="s">
        <v>71</v>
      </c>
      <c r="F8" t="s">
        <v>72</v>
      </c>
      <c r="G8">
        <v>0.85346707895947804</v>
      </c>
      <c r="H8">
        <v>6.2556637077499797E-2</v>
      </c>
      <c r="I8">
        <v>0</v>
      </c>
      <c r="J8">
        <v>30.7774595439842</v>
      </c>
      <c r="K8">
        <v>19567</v>
      </c>
      <c r="L8" t="str">
        <f>DiscreteStatsTable[[#This Row],[ProjectName]]&amp;DiscreteStatsTable[[#This Row],[Name]]&amp;DiscreteStatsTable[[#This Row],[Type]]&amp;DiscreteStatsTable[[#This Row],[Source]]</f>
        <v>Unnamed ProjectEnter Request AGV.QueueWaiting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0.87003020736678138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2.8005942703720147E-2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2.0034244521324955E-2</v>
      </c>
      <c r="R8" cm="1">
        <f t="array" ref="R8">MIN(IF((DiscreteStatsTable[GroupByKey]=DiscreteStatsTable[[#This Row],[GroupByKey]]),(DiscreteStatsTable[GroupByKey]=DiscreteStatsTable[[#This Row],[GroupByKey]])*DiscreteStatsTable[Average]))</f>
        <v>0.83826171429315199</v>
      </c>
      <c r="S8" cm="1">
        <f t="array" ref="S8">MAX(IF((DiscreteStatsTable[GroupByKey]=DiscreteStatsTable[[#This Row],[GroupByKey]]),(DiscreteStatsTable[GroupByKey]=DiscreteStatsTable[[#This Row],[GroupByKey]])*DiscreteStatsTable[Average]))</f>
        <v>0.93377738042775704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33.778883781342302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19615.599999999999</v>
      </c>
      <c r="W8">
        <f>IF((DiscreteStatsTable[[#This Row],[RepsRequested]]&gt;1),DiscreteStatsTable[[#This Row],[HalfWidth]],DiscreteStatsTable[[#This Row],[BatchMeansHalfWidth]])</f>
        <v>2.0034244521324955E-2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10</v>
      </c>
      <c r="Y8">
        <f>IF(DiscreteStatsTable[[#This Row],[RepsRequested]]=DiscreteStatsTable[[#This Row],[RepsWithStatObserved]],1,0)</f>
        <v>1</v>
      </c>
    </row>
    <row r="9" spans="1:25" x14ac:dyDescent="0.25">
      <c r="A9" t="s">
        <v>67</v>
      </c>
      <c r="B9" t="s">
        <v>69</v>
      </c>
      <c r="C9">
        <v>8</v>
      </c>
      <c r="D9" t="s">
        <v>70</v>
      </c>
      <c r="E9" t="s">
        <v>71</v>
      </c>
      <c r="F9" t="s">
        <v>72</v>
      </c>
      <c r="G9">
        <v>0.88584347904404004</v>
      </c>
      <c r="H9">
        <v>6.1051724579068802E-2</v>
      </c>
      <c r="I9">
        <v>0</v>
      </c>
      <c r="J9">
        <v>29.371288022550299</v>
      </c>
      <c r="K9">
        <v>19692</v>
      </c>
      <c r="L9" t="str">
        <f>DiscreteStatsTable[[#This Row],[ProjectName]]&amp;DiscreteStatsTable[[#This Row],[Name]]&amp;DiscreteStatsTable[[#This Row],[Type]]&amp;DiscreteStatsTable[[#This Row],[Source]]</f>
        <v>Unnamed ProjectEnter Request AGV.QueueWaiting TimeQueue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0.87003020736678138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2.8005942703720147E-2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2.0034244521324955E-2</v>
      </c>
      <c r="R9" cm="1">
        <f t="array" ref="R9">MIN(IF((DiscreteStatsTable[GroupByKey]=DiscreteStatsTable[[#This Row],[GroupByKey]]),(DiscreteStatsTable[GroupByKey]=DiscreteStatsTable[[#This Row],[GroupByKey]])*DiscreteStatsTable[Average]))</f>
        <v>0.83826171429315199</v>
      </c>
      <c r="S9" cm="1">
        <f t="array" ref="S9">MAX(IF((DiscreteStatsTable[GroupByKey]=DiscreteStatsTable[[#This Row],[GroupByKey]]),(DiscreteStatsTable[GroupByKey]=DiscreteStatsTable[[#This Row],[GroupByKey]])*DiscreteStatsTable[Average]))</f>
        <v>0.93377738042775704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33.778883781342302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19615.599999999999</v>
      </c>
      <c r="W9">
        <f>IF((DiscreteStatsTable[[#This Row],[RepsRequested]]&gt;1),DiscreteStatsTable[[#This Row],[HalfWidth]],DiscreteStatsTable[[#This Row],[BatchMeansHalfWidth]])</f>
        <v>2.0034244521324955E-2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10</v>
      </c>
      <c r="Y9">
        <f>IF(DiscreteStatsTable[[#This Row],[RepsRequested]]=DiscreteStatsTable[[#This Row],[RepsWithStatObserved]],1,0)</f>
        <v>1</v>
      </c>
    </row>
    <row r="10" spans="1:25" x14ac:dyDescent="0.25">
      <c r="A10" t="s">
        <v>67</v>
      </c>
      <c r="B10" t="s">
        <v>69</v>
      </c>
      <c r="C10">
        <v>9</v>
      </c>
      <c r="D10" t="s">
        <v>70</v>
      </c>
      <c r="E10" t="s">
        <v>71</v>
      </c>
      <c r="F10" t="s">
        <v>72</v>
      </c>
      <c r="G10">
        <v>0.85273765728079298</v>
      </c>
      <c r="H10">
        <v>6.4115782221657494E-2</v>
      </c>
      <c r="I10">
        <v>0</v>
      </c>
      <c r="J10">
        <v>29.2648525185068</v>
      </c>
      <c r="K10">
        <v>19611</v>
      </c>
      <c r="L10" t="str">
        <f>DiscreteStatsTable[[#This Row],[ProjectName]]&amp;DiscreteStatsTable[[#This Row],[Name]]&amp;DiscreteStatsTable[[#This Row],[Type]]&amp;DiscreteStatsTable[[#This Row],[Source]]</f>
        <v>Unnamed ProjectEnter Request AGV.QueueWaiting TimeQueue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0.87003020736678138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2.8005942703720147E-2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2.0034244521324955E-2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0.83826171429315199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0.93377738042775704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33.778883781342302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19615.599999999999</v>
      </c>
      <c r="W10">
        <f>IF((DiscreteStatsTable[[#This Row],[RepsRequested]]&gt;1),DiscreteStatsTable[[#This Row],[HalfWidth]],DiscreteStatsTable[[#This Row],[BatchMeansHalfWidth]])</f>
        <v>2.0034244521324955E-2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10</v>
      </c>
      <c r="Y10">
        <f>IF(DiscreteStatsTable[[#This Row],[RepsRequested]]=DiscreteStatsTable[[#This Row],[RepsWithStatObserved]],1,0)</f>
        <v>1</v>
      </c>
    </row>
    <row r="11" spans="1:25" x14ac:dyDescent="0.25">
      <c r="A11" t="s">
        <v>67</v>
      </c>
      <c r="B11" t="s">
        <v>69</v>
      </c>
      <c r="C11">
        <v>10</v>
      </c>
      <c r="D11" t="s">
        <v>70</v>
      </c>
      <c r="E11" t="s">
        <v>71</v>
      </c>
      <c r="F11" t="s">
        <v>72</v>
      </c>
      <c r="G11">
        <v>0.83826171429315199</v>
      </c>
      <c r="H11">
        <v>5.7349746629996499E-2</v>
      </c>
      <c r="I11">
        <v>0</v>
      </c>
      <c r="J11">
        <v>33.546391302923404</v>
      </c>
      <c r="K11">
        <v>19534</v>
      </c>
      <c r="L11" t="str">
        <f>DiscreteStatsTable[[#This Row],[ProjectName]]&amp;DiscreteStatsTable[[#This Row],[Name]]&amp;DiscreteStatsTable[[#This Row],[Type]]&amp;DiscreteStatsTable[[#This Row],[Source]]</f>
        <v>Unnamed ProjectEnter Request AGV.QueueWaiting TimeQueue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0.87003020736678138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2.8005942703720147E-2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2.0034244521324955E-2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0.83826171429315199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0.93377738042775704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33.778883781342302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19615.599999999999</v>
      </c>
      <c r="W11">
        <f>IF((DiscreteStatsTable[[#This Row],[RepsRequested]]&gt;1),DiscreteStatsTable[[#This Row],[HalfWidth]],DiscreteStatsTable[[#This Row],[BatchMeansHalfWidth]])</f>
        <v>2.0034244521324955E-2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10</v>
      </c>
      <c r="Y11">
        <f>IF(DiscreteStatsTable[[#This Row],[RepsRequested]]=DiscreteStatsTable[[#This Row],[RepsWithStatObserved]],1,0)</f>
        <v>1</v>
      </c>
    </row>
    <row r="12" spans="1:25" x14ac:dyDescent="0.25">
      <c r="A12" t="s">
        <v>67</v>
      </c>
      <c r="B12" t="s">
        <v>69</v>
      </c>
      <c r="C12">
        <v>1</v>
      </c>
      <c r="D12" t="s">
        <v>73</v>
      </c>
      <c r="E12" t="s">
        <v>71</v>
      </c>
      <c r="F12" t="s">
        <v>72</v>
      </c>
      <c r="G12">
        <v>19.531746348514101</v>
      </c>
      <c r="H12">
        <v>2.3768656012307501</v>
      </c>
      <c r="I12">
        <v>0</v>
      </c>
      <c r="J12">
        <v>263.704336768948</v>
      </c>
      <c r="K12">
        <v>5952</v>
      </c>
      <c r="L12" t="str">
        <f>DiscreteStatsTable[[#This Row],[ProjectName]]&amp;DiscreteStatsTable[[#This Row],[Name]]&amp;DiscreteStatsTable[[#This Row],[Type]]&amp;DiscreteStatsTable[[#This Row],[Source]]</f>
        <v>Unnamed ProjectNewPaintQWaiting TimeQueue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17.877754419533279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1.2344822011681438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0.88309536790349896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16.315543542422098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19.8058924736855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311.52316658588802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5893</v>
      </c>
      <c r="W12">
        <f>IF((DiscreteStatsTable[[#This Row],[RepsRequested]]&gt;1),DiscreteStatsTable[[#This Row],[HalfWidth]],DiscreteStatsTable[[#This Row],[BatchMeansHalfWidth]])</f>
        <v>0.88309536790349896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10</v>
      </c>
      <c r="Y12">
        <f>IF(DiscreteStatsTable[[#This Row],[RepsRequested]]=DiscreteStatsTable[[#This Row],[RepsWithStatObserved]],1,0)</f>
        <v>1</v>
      </c>
    </row>
    <row r="13" spans="1:25" x14ac:dyDescent="0.25">
      <c r="A13" t="s">
        <v>67</v>
      </c>
      <c r="B13" t="s">
        <v>69</v>
      </c>
      <c r="C13">
        <v>2</v>
      </c>
      <c r="D13" t="s">
        <v>73</v>
      </c>
      <c r="E13" t="s">
        <v>71</v>
      </c>
      <c r="F13" t="s">
        <v>72</v>
      </c>
      <c r="G13">
        <v>17.233895350300099</v>
      </c>
      <c r="H13">
        <v>1.51099166343952</v>
      </c>
      <c r="I13">
        <v>0</v>
      </c>
      <c r="J13">
        <v>229.59007375431199</v>
      </c>
      <c r="K13">
        <v>5898</v>
      </c>
      <c r="L13" t="str">
        <f>DiscreteStatsTable[[#This Row],[ProjectName]]&amp;DiscreteStatsTable[[#This Row],[Name]]&amp;DiscreteStatsTable[[#This Row],[Type]]&amp;DiscreteStatsTable[[#This Row],[Source]]</f>
        <v>Unnamed ProjectNewPaintQWaiting TimeQueue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17.877754419533279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1.2344822011681438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0.88309536790349896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16.315543542422098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19.8058924736855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311.52316658588802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5893</v>
      </c>
      <c r="W13">
        <f>IF((DiscreteStatsTable[[#This Row],[RepsRequested]]&gt;1),DiscreteStatsTable[[#This Row],[HalfWidth]],DiscreteStatsTable[[#This Row],[BatchMeansHalfWidth]])</f>
        <v>0.88309536790349896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10</v>
      </c>
      <c r="Y13">
        <f>IF(DiscreteStatsTable[[#This Row],[RepsRequested]]=DiscreteStatsTable[[#This Row],[RepsWithStatObserved]],1,0)</f>
        <v>1</v>
      </c>
    </row>
    <row r="14" spans="1:25" x14ac:dyDescent="0.25">
      <c r="A14" t="s">
        <v>67</v>
      </c>
      <c r="B14" t="s">
        <v>69</v>
      </c>
      <c r="C14">
        <v>3</v>
      </c>
      <c r="D14" t="s">
        <v>73</v>
      </c>
      <c r="E14" t="s">
        <v>71</v>
      </c>
      <c r="F14" t="s">
        <v>72</v>
      </c>
      <c r="G14">
        <v>16.315543542422098</v>
      </c>
      <c r="H14">
        <v>1.3818024659347701</v>
      </c>
      <c r="I14">
        <v>0</v>
      </c>
      <c r="J14">
        <v>219.98196430622201</v>
      </c>
      <c r="K14">
        <v>5736</v>
      </c>
      <c r="L14" t="str">
        <f>DiscreteStatsTable[[#This Row],[ProjectName]]&amp;DiscreteStatsTable[[#This Row],[Name]]&amp;DiscreteStatsTable[[#This Row],[Type]]&amp;DiscreteStatsTable[[#This Row],[Source]]</f>
        <v>Unnamed ProjectNewPaintQWaiting TimeQueue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10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17.877754419533279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1.2344822011681438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0.88309536790349896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16.315543542422098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19.8058924736855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311.52316658588802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5893</v>
      </c>
      <c r="W14">
        <f>IF((DiscreteStatsTable[[#This Row],[RepsRequested]]&gt;1),DiscreteStatsTable[[#This Row],[HalfWidth]],DiscreteStatsTable[[#This Row],[BatchMeansHalfWidth]])</f>
        <v>0.88309536790349896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10</v>
      </c>
      <c r="Y14">
        <f>IF(DiscreteStatsTable[[#This Row],[RepsRequested]]=DiscreteStatsTable[[#This Row],[RepsWithStatObserved]],1,0)</f>
        <v>1</v>
      </c>
    </row>
    <row r="15" spans="1:25" x14ac:dyDescent="0.25">
      <c r="A15" t="s">
        <v>67</v>
      </c>
      <c r="B15" t="s">
        <v>69</v>
      </c>
      <c r="C15">
        <v>4</v>
      </c>
      <c r="D15" t="s">
        <v>73</v>
      </c>
      <c r="E15" t="s">
        <v>71</v>
      </c>
      <c r="F15" t="s">
        <v>72</v>
      </c>
      <c r="G15">
        <v>19.8058924736855</v>
      </c>
      <c r="H15">
        <v>1.6491647273425001</v>
      </c>
      <c r="I15">
        <v>0</v>
      </c>
      <c r="J15">
        <v>311.52316658588802</v>
      </c>
      <c r="K15">
        <v>6053</v>
      </c>
      <c r="L15" t="str">
        <f>DiscreteStatsTable[[#This Row],[ProjectName]]&amp;DiscreteStatsTable[[#This Row],[Name]]&amp;DiscreteStatsTable[[#This Row],[Type]]&amp;DiscreteStatsTable[[#This Row],[Source]]</f>
        <v>Unnamed ProjectNewPaintQWaiting TimeQueue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10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17.877754419533279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1.2344822011681438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0.88309536790349896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16.315543542422098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19.8058924736855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311.52316658588802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5893</v>
      </c>
      <c r="W15">
        <f>IF((DiscreteStatsTable[[#This Row],[RepsRequested]]&gt;1),DiscreteStatsTable[[#This Row],[HalfWidth]],DiscreteStatsTable[[#This Row],[BatchMeansHalfWidth]])</f>
        <v>0.88309536790349896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10</v>
      </c>
      <c r="Y15">
        <f>IF(DiscreteStatsTable[[#This Row],[RepsRequested]]=DiscreteStatsTable[[#This Row],[RepsWithStatObserved]],1,0)</f>
        <v>1</v>
      </c>
    </row>
    <row r="16" spans="1:25" x14ac:dyDescent="0.25">
      <c r="A16" t="s">
        <v>67</v>
      </c>
      <c r="B16" t="s">
        <v>69</v>
      </c>
      <c r="C16">
        <v>5</v>
      </c>
      <c r="D16" t="s">
        <v>73</v>
      </c>
      <c r="E16" t="s">
        <v>71</v>
      </c>
      <c r="F16" t="s">
        <v>72</v>
      </c>
      <c r="G16">
        <v>17.553747567346601</v>
      </c>
      <c r="H16">
        <v>1.9205691370918101</v>
      </c>
      <c r="I16">
        <v>0</v>
      </c>
      <c r="J16">
        <v>231.99173846928201</v>
      </c>
      <c r="K16">
        <v>5819</v>
      </c>
      <c r="L16" t="str">
        <f>DiscreteStatsTable[[#This Row],[ProjectName]]&amp;DiscreteStatsTable[[#This Row],[Name]]&amp;DiscreteStatsTable[[#This Row],[Type]]&amp;DiscreteStatsTable[[#This Row],[Source]]</f>
        <v>Unnamed ProjectNewPaintQWaiting TimeQueue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10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17.877754419533279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1.2344822011681438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0.88309536790349896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16.315543542422098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19.8058924736855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311.52316658588802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5893</v>
      </c>
      <c r="W16">
        <f>IF((DiscreteStatsTable[[#This Row],[RepsRequested]]&gt;1),DiscreteStatsTable[[#This Row],[HalfWidth]],DiscreteStatsTable[[#This Row],[BatchMeansHalfWidth]])</f>
        <v>0.88309536790349896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10</v>
      </c>
      <c r="Y16">
        <f>IF(DiscreteStatsTable[[#This Row],[RepsRequested]]=DiscreteStatsTable[[#This Row],[RepsWithStatObserved]],1,0)</f>
        <v>1</v>
      </c>
    </row>
    <row r="17" spans="1:25" x14ac:dyDescent="0.25">
      <c r="A17" t="s">
        <v>67</v>
      </c>
      <c r="B17" t="s">
        <v>69</v>
      </c>
      <c r="C17">
        <v>6</v>
      </c>
      <c r="D17" t="s">
        <v>73</v>
      </c>
      <c r="E17" t="s">
        <v>71</v>
      </c>
      <c r="F17" t="s">
        <v>72</v>
      </c>
      <c r="G17">
        <v>19.0386998594077</v>
      </c>
      <c r="H17">
        <v>2.1103267682523001</v>
      </c>
      <c r="I17">
        <v>0</v>
      </c>
      <c r="J17">
        <v>215.48634607112001</v>
      </c>
      <c r="K17">
        <v>5986</v>
      </c>
      <c r="L17" t="str">
        <f>DiscreteStatsTable[[#This Row],[ProjectName]]&amp;DiscreteStatsTable[[#This Row],[Name]]&amp;DiscreteStatsTable[[#This Row],[Type]]&amp;DiscreteStatsTable[[#This Row],[Source]]</f>
        <v>Unnamed ProjectNewPaintQWaiting TimeQueue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10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17.877754419533279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1.2344822011681438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0.88309536790349896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16.315543542422098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19.8058924736855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311.52316658588802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5893</v>
      </c>
      <c r="W17">
        <f>IF((DiscreteStatsTable[[#This Row],[RepsRequested]]&gt;1),DiscreteStatsTable[[#This Row],[HalfWidth]],DiscreteStatsTable[[#This Row],[BatchMeansHalfWidth]])</f>
        <v>0.88309536790349896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10</v>
      </c>
      <c r="Y17">
        <f>IF(DiscreteStatsTable[[#This Row],[RepsRequested]]=DiscreteStatsTable[[#This Row],[RepsWithStatObserved]],1,0)</f>
        <v>1</v>
      </c>
    </row>
    <row r="18" spans="1:25" x14ac:dyDescent="0.25">
      <c r="A18" t="s">
        <v>67</v>
      </c>
      <c r="B18" t="s">
        <v>69</v>
      </c>
      <c r="C18">
        <v>7</v>
      </c>
      <c r="D18" t="s">
        <v>73</v>
      </c>
      <c r="E18" t="s">
        <v>71</v>
      </c>
      <c r="F18" t="s">
        <v>72</v>
      </c>
      <c r="G18">
        <v>18.064821159948998</v>
      </c>
      <c r="H18">
        <v>1.8473736660540101</v>
      </c>
      <c r="I18">
        <v>0</v>
      </c>
      <c r="J18">
        <v>196.54961675696501</v>
      </c>
      <c r="K18">
        <v>5935</v>
      </c>
      <c r="L18" t="str">
        <f>DiscreteStatsTable[[#This Row],[ProjectName]]&amp;DiscreteStatsTable[[#This Row],[Name]]&amp;DiscreteStatsTable[[#This Row],[Type]]&amp;DiscreteStatsTable[[#This Row],[Source]]</f>
        <v>Unnamed ProjectNewPaintQWaiting TimeQueue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10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17.877754419533279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1.2344822011681438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0.88309536790349896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16.315543542422098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19.8058924736855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311.52316658588802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5893</v>
      </c>
      <c r="W18">
        <f>IF((DiscreteStatsTable[[#This Row],[RepsRequested]]&gt;1),DiscreteStatsTable[[#This Row],[HalfWidth]],DiscreteStatsTable[[#This Row],[BatchMeansHalfWidth]])</f>
        <v>0.88309536790349896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10</v>
      </c>
      <c r="Y18">
        <f>IF(DiscreteStatsTable[[#This Row],[RepsRequested]]=DiscreteStatsTable[[#This Row],[RepsWithStatObserved]],1,0)</f>
        <v>1</v>
      </c>
    </row>
    <row r="19" spans="1:25" x14ac:dyDescent="0.25">
      <c r="A19" t="s">
        <v>67</v>
      </c>
      <c r="B19" t="s">
        <v>69</v>
      </c>
      <c r="C19">
        <v>8</v>
      </c>
      <c r="D19" t="s">
        <v>73</v>
      </c>
      <c r="E19" t="s">
        <v>71</v>
      </c>
      <c r="F19" t="s">
        <v>72</v>
      </c>
      <c r="G19">
        <v>17.785882361689101</v>
      </c>
      <c r="H19">
        <v>1.63434190709476</v>
      </c>
      <c r="I19">
        <v>0</v>
      </c>
      <c r="J19">
        <v>215.133233923349</v>
      </c>
      <c r="K19">
        <v>5882</v>
      </c>
      <c r="L19" t="str">
        <f>DiscreteStatsTable[[#This Row],[ProjectName]]&amp;DiscreteStatsTable[[#This Row],[Name]]&amp;DiscreteStatsTable[[#This Row],[Type]]&amp;DiscreteStatsTable[[#This Row],[Source]]</f>
        <v>Unnamed ProjectNewPaintQWaiting TimeQueue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10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17.877754419533279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1.2344822011681438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0.88309536790349896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16.315543542422098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19.8058924736855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311.52316658588802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5893</v>
      </c>
      <c r="W19">
        <f>IF((DiscreteStatsTable[[#This Row],[RepsRequested]]&gt;1),DiscreteStatsTable[[#This Row],[HalfWidth]],DiscreteStatsTable[[#This Row],[BatchMeansHalfWidth]])</f>
        <v>0.88309536790349896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10</v>
      </c>
      <c r="Y19">
        <f>IF(DiscreteStatsTable[[#This Row],[RepsRequested]]=DiscreteStatsTable[[#This Row],[RepsWithStatObserved]],1,0)</f>
        <v>1</v>
      </c>
    </row>
    <row r="20" spans="1:25" x14ac:dyDescent="0.25">
      <c r="A20" t="s">
        <v>67</v>
      </c>
      <c r="B20" t="s">
        <v>69</v>
      </c>
      <c r="C20">
        <v>9</v>
      </c>
      <c r="D20" t="s">
        <v>73</v>
      </c>
      <c r="E20" t="s">
        <v>71</v>
      </c>
      <c r="F20" t="s">
        <v>72</v>
      </c>
      <c r="G20">
        <v>16.372256004456599</v>
      </c>
      <c r="H20">
        <v>1.91363805360164</v>
      </c>
      <c r="I20">
        <v>0</v>
      </c>
      <c r="J20">
        <v>194.72322206030401</v>
      </c>
      <c r="K20">
        <v>5843</v>
      </c>
      <c r="L20" t="str">
        <f>DiscreteStatsTable[[#This Row],[ProjectName]]&amp;DiscreteStatsTable[[#This Row],[Name]]&amp;DiscreteStatsTable[[#This Row],[Type]]&amp;DiscreteStatsTable[[#This Row],[Source]]</f>
        <v>Unnamed ProjectNewPaintQWaiting TimeQueue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10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17.877754419533279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1.2344822011681438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0.88309536790349896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16.315543542422098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19.8058924736855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311.52316658588802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5893</v>
      </c>
      <c r="W20">
        <f>IF((DiscreteStatsTable[[#This Row],[RepsRequested]]&gt;1),DiscreteStatsTable[[#This Row],[HalfWidth]],DiscreteStatsTable[[#This Row],[BatchMeansHalfWidth]])</f>
        <v>0.88309536790349896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10</v>
      </c>
      <c r="Y20">
        <f>IF(DiscreteStatsTable[[#This Row],[RepsRequested]]=DiscreteStatsTable[[#This Row],[RepsWithStatObserved]],1,0)</f>
        <v>1</v>
      </c>
    </row>
    <row r="21" spans="1:25" x14ac:dyDescent="0.25">
      <c r="A21" t="s">
        <v>67</v>
      </c>
      <c r="B21" t="s">
        <v>69</v>
      </c>
      <c r="C21">
        <v>10</v>
      </c>
      <c r="D21" t="s">
        <v>73</v>
      </c>
      <c r="E21" t="s">
        <v>71</v>
      </c>
      <c r="F21" t="s">
        <v>72</v>
      </c>
      <c r="G21">
        <v>17.075059527562001</v>
      </c>
      <c r="H21">
        <v>2.0154456744066298</v>
      </c>
      <c r="I21">
        <v>0</v>
      </c>
      <c r="J21">
        <v>222.45641474824501</v>
      </c>
      <c r="K21">
        <v>5826</v>
      </c>
      <c r="L21" t="str">
        <f>DiscreteStatsTable[[#This Row],[ProjectName]]&amp;DiscreteStatsTable[[#This Row],[Name]]&amp;DiscreteStatsTable[[#This Row],[Type]]&amp;DiscreteStatsTable[[#This Row],[Source]]</f>
        <v>Unnamed ProjectNewPaintQWaiting TimeQueue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10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17.877754419533279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1.2344822011681438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0.88309536790349896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16.315543542422098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19.8058924736855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311.52316658588802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5893</v>
      </c>
      <c r="W21">
        <f>IF((DiscreteStatsTable[[#This Row],[RepsRequested]]&gt;1),DiscreteStatsTable[[#This Row],[HalfWidth]],DiscreteStatsTable[[#This Row],[BatchMeansHalfWidth]])</f>
        <v>0.88309536790349896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10</v>
      </c>
      <c r="Y21">
        <f>IF(DiscreteStatsTable[[#This Row],[RepsRequested]]=DiscreteStatsTable[[#This Row],[RepsWithStatObserved]],1,0)</f>
        <v>1</v>
      </c>
    </row>
    <row r="22" spans="1:25" x14ac:dyDescent="0.25">
      <c r="A22" t="s">
        <v>67</v>
      </c>
      <c r="B22" t="s">
        <v>69</v>
      </c>
      <c r="C22">
        <v>1</v>
      </c>
      <c r="D22" t="s">
        <v>74</v>
      </c>
      <c r="E22" t="s">
        <v>71</v>
      </c>
      <c r="F22" t="s">
        <v>72</v>
      </c>
      <c r="G22">
        <v>0.470066993766175</v>
      </c>
      <c r="H22">
        <v>3.63709130244367E-2</v>
      </c>
      <c r="I22">
        <v>0</v>
      </c>
      <c r="J22">
        <v>13.949209548533</v>
      </c>
      <c r="K22">
        <v>5953</v>
      </c>
      <c r="L22" t="str">
        <f>DiscreteStatsTable[[#This Row],[ProjectName]]&amp;DiscreteStatsTable[[#This Row],[Name]]&amp;DiscreteStatsTable[[#This Row],[Type]]&amp;DiscreteStatsTable[[#This Row],[Source]]</f>
        <v>Unnamed ProjectNewPaintReqQWaiting TimeQueue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10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0.44287276234793865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1.529951245592906E-2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1.0944611893333057E-2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0.416512393402451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0.470066993766175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16.886307490174701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5892.9</v>
      </c>
      <c r="W22">
        <f>IF((DiscreteStatsTable[[#This Row],[RepsRequested]]&gt;1),DiscreteStatsTable[[#This Row],[HalfWidth]],DiscreteStatsTable[[#This Row],[BatchMeansHalfWidth]])</f>
        <v>1.0944611893333057E-2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10</v>
      </c>
      <c r="Y22">
        <f>IF(DiscreteStatsTable[[#This Row],[RepsRequested]]=DiscreteStatsTable[[#This Row],[RepsWithStatObserved]],1,0)</f>
        <v>1</v>
      </c>
    </row>
    <row r="23" spans="1:25" x14ac:dyDescent="0.25">
      <c r="A23" t="s">
        <v>67</v>
      </c>
      <c r="B23" t="s">
        <v>69</v>
      </c>
      <c r="C23">
        <v>2</v>
      </c>
      <c r="D23" t="s">
        <v>74</v>
      </c>
      <c r="E23" t="s">
        <v>71</v>
      </c>
      <c r="F23" t="s">
        <v>72</v>
      </c>
      <c r="G23">
        <v>0.44547219490527501</v>
      </c>
      <c r="H23">
        <v>2.9698166001810002E-2</v>
      </c>
      <c r="I23">
        <v>0</v>
      </c>
      <c r="J23">
        <v>12.7299937624484</v>
      </c>
      <c r="K23">
        <v>5897</v>
      </c>
      <c r="L23" t="str">
        <f>DiscreteStatsTable[[#This Row],[ProjectName]]&amp;DiscreteStatsTable[[#This Row],[Name]]&amp;DiscreteStatsTable[[#This Row],[Type]]&amp;DiscreteStatsTable[[#This Row],[Source]]</f>
        <v>Unnamed ProjectNewPaintReqQWaiting TimeQueue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10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0.44287276234793865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1.529951245592906E-2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1.0944611893333057E-2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0.416512393402451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0.470066993766175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16.886307490174701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5892.9</v>
      </c>
      <c r="W23">
        <f>IF((DiscreteStatsTable[[#This Row],[RepsRequested]]&gt;1),DiscreteStatsTable[[#This Row],[HalfWidth]],DiscreteStatsTable[[#This Row],[BatchMeansHalfWidth]])</f>
        <v>1.0944611893333057E-2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10</v>
      </c>
      <c r="Y23">
        <f>IF(DiscreteStatsTable[[#This Row],[RepsRequested]]=DiscreteStatsTable[[#This Row],[RepsWithStatObserved]],1,0)</f>
        <v>1</v>
      </c>
    </row>
    <row r="24" spans="1:25" x14ac:dyDescent="0.25">
      <c r="A24" t="s">
        <v>67</v>
      </c>
      <c r="B24" t="s">
        <v>69</v>
      </c>
      <c r="C24">
        <v>3</v>
      </c>
      <c r="D24" t="s">
        <v>74</v>
      </c>
      <c r="E24" t="s">
        <v>71</v>
      </c>
      <c r="F24" t="s">
        <v>72</v>
      </c>
      <c r="G24">
        <v>0.416512393402451</v>
      </c>
      <c r="H24">
        <v>4.2745865207470701E-2</v>
      </c>
      <c r="I24">
        <v>0</v>
      </c>
      <c r="J24">
        <v>13.997804674028901</v>
      </c>
      <c r="K24">
        <v>5736</v>
      </c>
      <c r="L24" t="str">
        <f>DiscreteStatsTable[[#This Row],[ProjectName]]&amp;DiscreteStatsTable[[#This Row],[Name]]&amp;DiscreteStatsTable[[#This Row],[Type]]&amp;DiscreteStatsTable[[#This Row],[Source]]</f>
        <v>Unnamed ProjectNewPaintReqQWaiting TimeQueue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10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0.44287276234793865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1.529951245592906E-2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1.0944611893333057E-2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0.416512393402451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0.470066993766175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16.886307490174701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5892.9</v>
      </c>
      <c r="W24">
        <f>IF((DiscreteStatsTable[[#This Row],[RepsRequested]]&gt;1),DiscreteStatsTable[[#This Row],[HalfWidth]],DiscreteStatsTable[[#This Row],[BatchMeansHalfWidth]])</f>
        <v>1.0944611893333057E-2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10</v>
      </c>
      <c r="Y24">
        <f>IF(DiscreteStatsTable[[#This Row],[RepsRequested]]=DiscreteStatsTable[[#This Row],[RepsWithStatObserved]],1,0)</f>
        <v>1</v>
      </c>
    </row>
    <row r="25" spans="1:25" x14ac:dyDescent="0.25">
      <c r="A25" t="s">
        <v>67</v>
      </c>
      <c r="B25" t="s">
        <v>69</v>
      </c>
      <c r="C25">
        <v>4</v>
      </c>
      <c r="D25" t="s">
        <v>74</v>
      </c>
      <c r="E25" t="s">
        <v>71</v>
      </c>
      <c r="F25" t="s">
        <v>72</v>
      </c>
      <c r="G25">
        <v>0.44496860582999598</v>
      </c>
      <c r="H25">
        <v>3.9113414506200199E-2</v>
      </c>
      <c r="I25">
        <v>0</v>
      </c>
      <c r="J25">
        <v>12.5686949208612</v>
      </c>
      <c r="K25">
        <v>6053</v>
      </c>
      <c r="L25" t="str">
        <f>DiscreteStatsTable[[#This Row],[ProjectName]]&amp;DiscreteStatsTable[[#This Row],[Name]]&amp;DiscreteStatsTable[[#This Row],[Type]]&amp;DiscreteStatsTable[[#This Row],[Source]]</f>
        <v>Unnamed ProjectNewPaintReqQWaiting TimeQueue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10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0.44287276234793865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1.529951245592906E-2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1.0944611893333057E-2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0.416512393402451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0.470066993766175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16.886307490174701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5892.9</v>
      </c>
      <c r="W25">
        <f>IF((DiscreteStatsTable[[#This Row],[RepsRequested]]&gt;1),DiscreteStatsTable[[#This Row],[HalfWidth]],DiscreteStatsTable[[#This Row],[BatchMeansHalfWidth]])</f>
        <v>1.0944611893333057E-2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10</v>
      </c>
      <c r="Y25">
        <f>IF(DiscreteStatsTable[[#This Row],[RepsRequested]]=DiscreteStatsTable[[#This Row],[RepsWithStatObserved]],1,0)</f>
        <v>1</v>
      </c>
    </row>
    <row r="26" spans="1:25" x14ac:dyDescent="0.25">
      <c r="A26" t="s">
        <v>67</v>
      </c>
      <c r="B26" t="s">
        <v>69</v>
      </c>
      <c r="C26">
        <v>5</v>
      </c>
      <c r="D26" t="s">
        <v>74</v>
      </c>
      <c r="E26" t="s">
        <v>71</v>
      </c>
      <c r="F26" t="s">
        <v>72</v>
      </c>
      <c r="G26">
        <v>0.44018061818030702</v>
      </c>
      <c r="H26">
        <v>3.0441999623682599E-2</v>
      </c>
      <c r="I26">
        <v>0</v>
      </c>
      <c r="J26">
        <v>16.401872125308699</v>
      </c>
      <c r="K26">
        <v>5820</v>
      </c>
      <c r="L26" t="str">
        <f>DiscreteStatsTable[[#This Row],[ProjectName]]&amp;DiscreteStatsTable[[#This Row],[Name]]&amp;DiscreteStatsTable[[#This Row],[Type]]&amp;DiscreteStatsTable[[#This Row],[Source]]</f>
        <v>Unnamed ProjectNewPaintReqQWaiting TimeQueue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10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0.44287276234793865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1.529951245592906E-2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1.0944611893333057E-2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0.416512393402451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0.470066993766175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16.886307490174701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5892.9</v>
      </c>
      <c r="W26">
        <f>IF((DiscreteStatsTable[[#This Row],[RepsRequested]]&gt;1),DiscreteStatsTable[[#This Row],[HalfWidth]],DiscreteStatsTable[[#This Row],[BatchMeansHalfWidth]])</f>
        <v>1.0944611893333057E-2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10</v>
      </c>
      <c r="Y26">
        <f>IF(DiscreteStatsTable[[#This Row],[RepsRequested]]=DiscreteStatsTable[[#This Row],[RepsWithStatObserved]],1,0)</f>
        <v>1</v>
      </c>
    </row>
    <row r="27" spans="1:25" x14ac:dyDescent="0.25">
      <c r="A27" t="s">
        <v>67</v>
      </c>
      <c r="B27" t="s">
        <v>69</v>
      </c>
      <c r="C27">
        <v>6</v>
      </c>
      <c r="D27" t="s">
        <v>74</v>
      </c>
      <c r="E27" t="s">
        <v>71</v>
      </c>
      <c r="F27" t="s">
        <v>72</v>
      </c>
      <c r="G27">
        <v>0.45089274371911198</v>
      </c>
      <c r="H27">
        <v>3.3984065404940103E-2</v>
      </c>
      <c r="I27">
        <v>0</v>
      </c>
      <c r="J27">
        <v>14.765432678948899</v>
      </c>
      <c r="K27">
        <v>5986</v>
      </c>
      <c r="L27" t="str">
        <f>DiscreteStatsTable[[#This Row],[ProjectName]]&amp;DiscreteStatsTable[[#This Row],[Name]]&amp;DiscreteStatsTable[[#This Row],[Type]]&amp;DiscreteStatsTable[[#This Row],[Source]]</f>
        <v>Unnamed ProjectNewPaintReqQWaiting TimeQueue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10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0.44287276234793865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1.529951245592906E-2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1.0944611893333057E-2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0.416512393402451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0.470066993766175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16.886307490174701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5892.9</v>
      </c>
      <c r="W27">
        <f>IF((DiscreteStatsTable[[#This Row],[RepsRequested]]&gt;1),DiscreteStatsTable[[#This Row],[HalfWidth]],DiscreteStatsTable[[#This Row],[BatchMeansHalfWidth]])</f>
        <v>1.0944611893333057E-2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10</v>
      </c>
      <c r="Y27">
        <f>IF(DiscreteStatsTable[[#This Row],[RepsRequested]]=DiscreteStatsTable[[#This Row],[RepsWithStatObserved]],1,0)</f>
        <v>1</v>
      </c>
    </row>
    <row r="28" spans="1:25" x14ac:dyDescent="0.25">
      <c r="A28" t="s">
        <v>67</v>
      </c>
      <c r="B28" t="s">
        <v>69</v>
      </c>
      <c r="C28">
        <v>7</v>
      </c>
      <c r="D28" t="s">
        <v>74</v>
      </c>
      <c r="E28" t="s">
        <v>71</v>
      </c>
      <c r="F28" t="s">
        <v>72</v>
      </c>
      <c r="G28">
        <v>0.42328995045693701</v>
      </c>
      <c r="H28">
        <v>3.4909075634838402E-2</v>
      </c>
      <c r="I28">
        <v>0</v>
      </c>
      <c r="J28">
        <v>14.945413573936101</v>
      </c>
      <c r="K28">
        <v>5934</v>
      </c>
      <c r="L28" t="str">
        <f>DiscreteStatsTable[[#This Row],[ProjectName]]&amp;DiscreteStatsTable[[#This Row],[Name]]&amp;DiscreteStatsTable[[#This Row],[Type]]&amp;DiscreteStatsTable[[#This Row],[Source]]</f>
        <v>Unnamed ProjectNewPaintReqQWaiting TimeQueue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10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0.44287276234793865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1.529951245592906E-2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1.0944611893333057E-2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0.416512393402451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0.470066993766175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16.886307490174701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5892.9</v>
      </c>
      <c r="W28">
        <f>IF((DiscreteStatsTable[[#This Row],[RepsRequested]]&gt;1),DiscreteStatsTable[[#This Row],[HalfWidth]],DiscreteStatsTable[[#This Row],[BatchMeansHalfWidth]])</f>
        <v>1.0944611893333057E-2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10</v>
      </c>
      <c r="Y28">
        <f>IF(DiscreteStatsTable[[#This Row],[RepsRequested]]=DiscreteStatsTable[[#This Row],[RepsWithStatObserved]],1,0)</f>
        <v>1</v>
      </c>
    </row>
    <row r="29" spans="1:25" x14ac:dyDescent="0.25">
      <c r="A29" t="s">
        <v>67</v>
      </c>
      <c r="B29" t="s">
        <v>69</v>
      </c>
      <c r="C29">
        <v>8</v>
      </c>
      <c r="D29" t="s">
        <v>74</v>
      </c>
      <c r="E29" t="s">
        <v>71</v>
      </c>
      <c r="F29" t="s">
        <v>72</v>
      </c>
      <c r="G29">
        <v>0.43632440771525599</v>
      </c>
      <c r="H29">
        <v>3.7045093740127398E-2</v>
      </c>
      <c r="I29">
        <v>0</v>
      </c>
      <c r="J29">
        <v>11.3637302178249</v>
      </c>
      <c r="K29">
        <v>5882</v>
      </c>
      <c r="L29" t="str">
        <f>DiscreteStatsTable[[#This Row],[ProjectName]]&amp;DiscreteStatsTable[[#This Row],[Name]]&amp;DiscreteStatsTable[[#This Row],[Type]]&amp;DiscreteStatsTable[[#This Row],[Source]]</f>
        <v>Unnamed ProjectNewPaintReqQWaiting TimeQueue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10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0.44287276234793865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1.529951245592906E-2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1.0944611893333057E-2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0.416512393402451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0.470066993766175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16.886307490174701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5892.9</v>
      </c>
      <c r="W29">
        <f>IF((DiscreteStatsTable[[#This Row],[RepsRequested]]&gt;1),DiscreteStatsTable[[#This Row],[HalfWidth]],DiscreteStatsTable[[#This Row],[BatchMeansHalfWidth]])</f>
        <v>1.0944611893333057E-2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10</v>
      </c>
      <c r="Y29">
        <f>IF(DiscreteStatsTable[[#This Row],[RepsRequested]]=DiscreteStatsTable[[#This Row],[RepsWithStatObserved]],1,0)</f>
        <v>1</v>
      </c>
    </row>
    <row r="30" spans="1:25" x14ac:dyDescent="0.25">
      <c r="A30" t="s">
        <v>67</v>
      </c>
      <c r="B30" t="s">
        <v>69</v>
      </c>
      <c r="C30">
        <v>9</v>
      </c>
      <c r="D30" t="s">
        <v>74</v>
      </c>
      <c r="E30" t="s">
        <v>71</v>
      </c>
      <c r="F30" t="s">
        <v>72</v>
      </c>
      <c r="G30">
        <v>0.45533402533937301</v>
      </c>
      <c r="H30">
        <v>2.6089241268033501E-2</v>
      </c>
      <c r="I30">
        <v>0</v>
      </c>
      <c r="J30">
        <v>15.7044103004737</v>
      </c>
      <c r="K30">
        <v>5843</v>
      </c>
      <c r="L30" t="str">
        <f>DiscreteStatsTable[[#This Row],[ProjectName]]&amp;DiscreteStatsTable[[#This Row],[Name]]&amp;DiscreteStatsTable[[#This Row],[Type]]&amp;DiscreteStatsTable[[#This Row],[Source]]</f>
        <v>Unnamed ProjectNewPaintReqQWaiting TimeQueue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10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0.44287276234793865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1.529951245592906E-2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1.0944611893333057E-2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0.416512393402451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0.470066993766175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16.886307490174701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5892.9</v>
      </c>
      <c r="W30">
        <f>IF((DiscreteStatsTable[[#This Row],[RepsRequested]]&gt;1),DiscreteStatsTable[[#This Row],[HalfWidth]],DiscreteStatsTable[[#This Row],[BatchMeansHalfWidth]])</f>
        <v>1.0944611893333057E-2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10</v>
      </c>
      <c r="Y30">
        <f>IF(DiscreteStatsTable[[#This Row],[RepsRequested]]=DiscreteStatsTable[[#This Row],[RepsWithStatObserved]],1,0)</f>
        <v>1</v>
      </c>
    </row>
    <row r="31" spans="1:25" x14ac:dyDescent="0.25">
      <c r="A31" t="s">
        <v>67</v>
      </c>
      <c r="B31" t="s">
        <v>69</v>
      </c>
      <c r="C31">
        <v>10</v>
      </c>
      <c r="D31" t="s">
        <v>74</v>
      </c>
      <c r="E31" t="s">
        <v>71</v>
      </c>
      <c r="F31" t="s">
        <v>72</v>
      </c>
      <c r="G31">
        <v>0.44568569016450399</v>
      </c>
      <c r="H31">
        <v>3.2102471562732E-2</v>
      </c>
      <c r="I31">
        <v>0</v>
      </c>
      <c r="J31">
        <v>16.886307490174701</v>
      </c>
      <c r="K31">
        <v>5825</v>
      </c>
      <c r="L31" t="str">
        <f>DiscreteStatsTable[[#This Row],[ProjectName]]&amp;DiscreteStatsTable[[#This Row],[Name]]&amp;DiscreteStatsTable[[#This Row],[Type]]&amp;DiscreteStatsTable[[#This Row],[Source]]</f>
        <v>Unnamed ProjectNewPaintReqQWaiting TimeQueue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10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0.44287276234793865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1.529951245592906E-2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1.0944611893333057E-2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0.416512393402451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0.470066993766175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16.886307490174701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5892.9</v>
      </c>
      <c r="W31">
        <f>IF((DiscreteStatsTable[[#This Row],[RepsRequested]]&gt;1),DiscreteStatsTable[[#This Row],[HalfWidth]],DiscreteStatsTable[[#This Row],[BatchMeansHalfWidth]])</f>
        <v>1.0944611893333057E-2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10</v>
      </c>
      <c r="Y31">
        <f>IF(DiscreteStatsTable[[#This Row],[RepsRequested]]=DiscreteStatsTable[[#This Row],[RepsWithStatObserved]],1,0)</f>
        <v>1</v>
      </c>
    </row>
    <row r="32" spans="1:25" x14ac:dyDescent="0.25">
      <c r="A32" t="s">
        <v>67</v>
      </c>
      <c r="B32" t="s">
        <v>69</v>
      </c>
      <c r="C32">
        <v>1</v>
      </c>
      <c r="D32" t="s">
        <v>75</v>
      </c>
      <c r="E32" t="s">
        <v>76</v>
      </c>
      <c r="F32" t="s">
        <v>77</v>
      </c>
      <c r="G32">
        <v>0</v>
      </c>
      <c r="H32">
        <v>0</v>
      </c>
      <c r="I32">
        <v>0</v>
      </c>
      <c r="J32">
        <v>0</v>
      </c>
      <c r="K32">
        <v>17074</v>
      </c>
      <c r="L32" t="str">
        <f>DiscreteStatsTable[[#This Row],[ProjectName]]&amp;DiscreteStatsTable[[#This Row],[Name]]&amp;DiscreteStatsTable[[#This Row],[Type]]&amp;DiscreteStatsTable[[#This Row],[Source]]</f>
        <v>Unnamed ProjectNewPartNVA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10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10</v>
      </c>
      <c r="Y32">
        <f>IF(DiscreteStatsTable[[#This Row],[RepsRequested]]=DiscreteStatsTable[[#This Row],[RepsWithStatObserved]],1,0)</f>
        <v>1</v>
      </c>
    </row>
    <row r="33" spans="1:25" x14ac:dyDescent="0.25">
      <c r="A33" t="s">
        <v>67</v>
      </c>
      <c r="B33" t="s">
        <v>69</v>
      </c>
      <c r="C33">
        <v>1</v>
      </c>
      <c r="D33" t="s">
        <v>75</v>
      </c>
      <c r="E33" t="s">
        <v>78</v>
      </c>
      <c r="F33" t="s">
        <v>77</v>
      </c>
      <c r="G33">
        <v>36.091942542111198</v>
      </c>
      <c r="H33">
        <v>0.56772366419610998</v>
      </c>
      <c r="I33">
        <v>0</v>
      </c>
      <c r="J33">
        <v>135.94019767560499</v>
      </c>
      <c r="K33">
        <v>17074</v>
      </c>
      <c r="L33" t="str">
        <f>DiscreteStatsTable[[#This Row],[ProjectName]]&amp;DiscreteStatsTable[[#This Row],[Name]]&amp;DiscreteStatsTable[[#This Row],[Type]]&amp;DiscreteStatsTable[[#This Row],[Source]]</f>
        <v>Unnamed ProjectNewPartOther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10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35.934414689251412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0.26771685495243369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0.19151310103497018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35.585131921280997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36.412431328094101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139.43951735453399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33">
        <f>IF((DiscreteStatsTable[[#This Row],[RepsRequested]]&gt;1),DiscreteStatsTable[[#This Row],[HalfWidth]],DiscreteStatsTable[[#This Row],[BatchMeansHalfWidth]])</f>
        <v>0.19151310103497018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10</v>
      </c>
      <c r="Y33">
        <f>IF(DiscreteStatsTable[[#This Row],[RepsRequested]]=DiscreteStatsTable[[#This Row],[RepsWithStatObserved]],1,0)</f>
        <v>1</v>
      </c>
    </row>
    <row r="34" spans="1:25" x14ac:dyDescent="0.25">
      <c r="A34" t="s">
        <v>67</v>
      </c>
      <c r="B34" t="s">
        <v>69</v>
      </c>
      <c r="C34">
        <v>1</v>
      </c>
      <c r="D34" t="s">
        <v>75</v>
      </c>
      <c r="E34" t="s">
        <v>79</v>
      </c>
      <c r="F34" t="s">
        <v>77</v>
      </c>
      <c r="G34">
        <v>83.626386392305605</v>
      </c>
      <c r="H34">
        <v>3.49807557613327</v>
      </c>
      <c r="I34">
        <v>2.7999999993480702</v>
      </c>
      <c r="J34">
        <v>617.61406575056003</v>
      </c>
      <c r="K34">
        <v>17074</v>
      </c>
      <c r="L34" t="str">
        <f>DiscreteStatsTable[[#This Row],[ProjectName]]&amp;DiscreteStatsTable[[#This Row],[Name]]&amp;DiscreteStatsTable[[#This Row],[Type]]&amp;DiscreteStatsTable[[#This Row],[Source]]</f>
        <v>Unnamed ProjectNewPartTotal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10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82.733209003874819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1.6900397531056797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1.208981608749105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79.888714563311297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85.472032926843298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2.7999999993480702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845.65217638315505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34">
        <f>IF((DiscreteStatsTable[[#This Row],[RepsRequested]]&gt;1),DiscreteStatsTable[[#This Row],[HalfWidth]],DiscreteStatsTable[[#This Row],[BatchMeansHalfWidth]])</f>
        <v>1.208981608749105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10</v>
      </c>
      <c r="Y34">
        <f>IF(DiscreteStatsTable[[#This Row],[RepsRequested]]=DiscreteStatsTable[[#This Row],[RepsWithStatObserved]],1,0)</f>
        <v>1</v>
      </c>
    </row>
    <row r="35" spans="1:25" x14ac:dyDescent="0.25">
      <c r="A35" t="s">
        <v>67</v>
      </c>
      <c r="B35" t="s">
        <v>69</v>
      </c>
      <c r="C35">
        <v>1</v>
      </c>
      <c r="D35" t="s">
        <v>75</v>
      </c>
      <c r="E35" t="s">
        <v>80</v>
      </c>
      <c r="F35" t="s">
        <v>77</v>
      </c>
      <c r="G35">
        <v>14.796260321484301</v>
      </c>
      <c r="H35">
        <v>0.185645099912499</v>
      </c>
      <c r="I35">
        <v>2.7999999993480702</v>
      </c>
      <c r="J35">
        <v>157.78476579158499</v>
      </c>
      <c r="K35">
        <v>17074</v>
      </c>
      <c r="L35" t="str">
        <f>DiscreteStatsTable[[#This Row],[ProjectName]]&amp;DiscreteStatsTable[[#This Row],[Name]]&amp;DiscreteStatsTable[[#This Row],[Type]]&amp;DiscreteStatsTable[[#This Row],[Source]]</f>
        <v>Unnamed ProjectNewPartTransfer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10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14.7745214286692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7.7759386666993585E-2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5.5625714256277083E-2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14.6618730503506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14.8939029254873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2.7999999993480702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238.155938771786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35">
        <f>IF((DiscreteStatsTable[[#This Row],[RepsRequested]]&gt;1),DiscreteStatsTable[[#This Row],[HalfWidth]],DiscreteStatsTable[[#This Row],[BatchMeansHalfWidth]])</f>
        <v>5.5625714256277083E-2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10</v>
      </c>
      <c r="Y35">
        <f>IF(DiscreteStatsTable[[#This Row],[RepsRequested]]=DiscreteStatsTable[[#This Row],[RepsWithStatObserved]],1,0)</f>
        <v>1</v>
      </c>
    </row>
    <row r="36" spans="1:25" x14ac:dyDescent="0.25">
      <c r="A36" t="s">
        <v>67</v>
      </c>
      <c r="B36" t="s">
        <v>69</v>
      </c>
      <c r="C36">
        <v>1</v>
      </c>
      <c r="D36" t="s">
        <v>75</v>
      </c>
      <c r="E36" t="s">
        <v>81</v>
      </c>
      <c r="F36" t="s">
        <v>77</v>
      </c>
      <c r="G36">
        <v>2.7897387841161998</v>
      </c>
      <c r="H36">
        <v>4.2172884003933098E-2</v>
      </c>
      <c r="I36">
        <v>0</v>
      </c>
      <c r="J36">
        <v>8</v>
      </c>
      <c r="K36">
        <v>17074</v>
      </c>
      <c r="L36" t="str">
        <f>DiscreteStatsTable[[#This Row],[ProjectName]]&amp;DiscreteStatsTable[[#This Row],[Name]]&amp;DiscreteStatsTable[[#This Row],[Type]]&amp;DiscreteStatsTable[[#This Row],[Source]]</f>
        <v>Unnamed ProjectNewPartVA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10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2.7815747315743584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1.9879202576934346E-2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1.4220724848599816E-2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2.7543620985390902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2.8163573963120401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8.0000000000145501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36">
        <f>IF((DiscreteStatsTable[[#This Row],[RepsRequested]]&gt;1),DiscreteStatsTable[[#This Row],[HalfWidth]],DiscreteStatsTable[[#This Row],[BatchMeansHalfWidth]])</f>
        <v>1.4220724848599816E-2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10</v>
      </c>
      <c r="Y36">
        <f>IF(DiscreteStatsTable[[#This Row],[RepsRequested]]=DiscreteStatsTable[[#This Row],[RepsWithStatObserved]],1,0)</f>
        <v>1</v>
      </c>
    </row>
    <row r="37" spans="1:25" x14ac:dyDescent="0.25">
      <c r="A37" t="s">
        <v>67</v>
      </c>
      <c r="B37" t="s">
        <v>69</v>
      </c>
      <c r="C37">
        <v>1</v>
      </c>
      <c r="D37" t="s">
        <v>75</v>
      </c>
      <c r="E37" t="s">
        <v>82</v>
      </c>
      <c r="F37" t="s">
        <v>77</v>
      </c>
      <c r="G37">
        <v>29.948444744594099</v>
      </c>
      <c r="H37">
        <v>3.0254326927403001</v>
      </c>
      <c r="I37">
        <v>0</v>
      </c>
      <c r="J37">
        <v>473.78637840098202</v>
      </c>
      <c r="K37">
        <v>17074</v>
      </c>
      <c r="L37" t="str">
        <f>DiscreteStatsTable[[#This Row],[ProjectName]]&amp;DiscreteStatsTable[[#This Row],[Name]]&amp;DiscreteStatsTable[[#This Row],[Type]]&amp;DiscreteStatsTable[[#This Row],[Source]]</f>
        <v>Unnamed ProjectNewPartWait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10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29.242698154379905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1.5503795036667449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1.1090746848233775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26.632812348859499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31.8400605329516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707.09586624841904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37">
        <f>IF((DiscreteStatsTable[[#This Row],[RepsRequested]]&gt;1),DiscreteStatsTable[[#This Row],[HalfWidth]],DiscreteStatsTable[[#This Row],[BatchMeansHalfWidth]])</f>
        <v>1.1090746848233775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10</v>
      </c>
      <c r="Y37">
        <f>IF(DiscreteStatsTable[[#This Row],[RepsRequested]]=DiscreteStatsTable[[#This Row],[RepsWithStatObserved]],1,0)</f>
        <v>1</v>
      </c>
    </row>
    <row r="38" spans="1:25" x14ac:dyDescent="0.25">
      <c r="A38" t="s">
        <v>67</v>
      </c>
      <c r="B38" t="s">
        <v>69</v>
      </c>
      <c r="C38">
        <v>2</v>
      </c>
      <c r="D38" t="s">
        <v>75</v>
      </c>
      <c r="E38" t="s">
        <v>76</v>
      </c>
      <c r="F38" t="s">
        <v>77</v>
      </c>
      <c r="G38">
        <v>0</v>
      </c>
      <c r="H38">
        <v>0</v>
      </c>
      <c r="I38">
        <v>0</v>
      </c>
      <c r="J38">
        <v>0</v>
      </c>
      <c r="K38">
        <v>17011</v>
      </c>
      <c r="L38" t="str">
        <f>DiscreteStatsTable[[#This Row],[ProjectName]]&amp;DiscreteStatsTable[[#This Row],[Name]]&amp;DiscreteStatsTable[[#This Row],[Type]]&amp;DiscreteStatsTable[[#This Row],[Source]]</f>
        <v>Unnamed ProjectNewPartNVA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10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10</v>
      </c>
      <c r="Y38">
        <f>IF(DiscreteStatsTable[[#This Row],[RepsRequested]]=DiscreteStatsTable[[#This Row],[RepsWithStatObserved]],1,0)</f>
        <v>1</v>
      </c>
    </row>
    <row r="39" spans="1:25" x14ac:dyDescent="0.25">
      <c r="A39" t="s">
        <v>67</v>
      </c>
      <c r="B39" t="s">
        <v>69</v>
      </c>
      <c r="C39">
        <v>2</v>
      </c>
      <c r="D39" t="s">
        <v>75</v>
      </c>
      <c r="E39" t="s">
        <v>78</v>
      </c>
      <c r="F39" t="s">
        <v>77</v>
      </c>
      <c r="G39">
        <v>35.810892299419997</v>
      </c>
      <c r="H39">
        <v>0.51763417685317703</v>
      </c>
      <c r="I39">
        <v>0</v>
      </c>
      <c r="J39">
        <v>134.23049248720099</v>
      </c>
      <c r="K39">
        <v>17011</v>
      </c>
      <c r="L39" t="str">
        <f>DiscreteStatsTable[[#This Row],[ProjectName]]&amp;DiscreteStatsTable[[#This Row],[Name]]&amp;DiscreteStatsTable[[#This Row],[Type]]&amp;DiscreteStatsTable[[#This Row],[Source]]</f>
        <v>Unnamed ProjectNewPartOther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10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35.934414689251412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0.26771685495243369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0.19151310103497018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35.585131921280997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36.412431328094101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139.43951735453399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39">
        <f>IF((DiscreteStatsTable[[#This Row],[RepsRequested]]&gt;1),DiscreteStatsTable[[#This Row],[HalfWidth]],DiscreteStatsTable[[#This Row],[BatchMeansHalfWidth]])</f>
        <v>0.19151310103497018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10</v>
      </c>
      <c r="Y39">
        <f>IF(DiscreteStatsTable[[#This Row],[RepsRequested]]=DiscreteStatsTable[[#This Row],[RepsWithStatObserved]],1,0)</f>
        <v>1</v>
      </c>
    </row>
    <row r="40" spans="1:25" x14ac:dyDescent="0.25">
      <c r="A40" t="s">
        <v>67</v>
      </c>
      <c r="B40" t="s">
        <v>69</v>
      </c>
      <c r="C40">
        <v>2</v>
      </c>
      <c r="D40" t="s">
        <v>75</v>
      </c>
      <c r="E40" t="s">
        <v>79</v>
      </c>
      <c r="F40" t="s">
        <v>77</v>
      </c>
      <c r="G40">
        <v>82.554626907033395</v>
      </c>
      <c r="H40">
        <v>3.1894552837711299</v>
      </c>
      <c r="I40">
        <v>2.7999999993480702</v>
      </c>
      <c r="J40">
        <v>614.500025696085</v>
      </c>
      <c r="K40">
        <v>17011</v>
      </c>
      <c r="L40" t="str">
        <f>DiscreteStatsTable[[#This Row],[ProjectName]]&amp;DiscreteStatsTable[[#This Row],[Name]]&amp;DiscreteStatsTable[[#This Row],[Type]]&amp;DiscreteStatsTable[[#This Row],[Source]]</f>
        <v>Unnamed ProjectNewPartTotal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10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82.733209003874819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1.6900397531056797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1.208981608749105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79.888714563311297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85.472032926843298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2.7999999993480702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845.65217638315505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40">
        <f>IF((DiscreteStatsTable[[#This Row],[RepsRequested]]&gt;1),DiscreteStatsTable[[#This Row],[HalfWidth]],DiscreteStatsTable[[#This Row],[BatchMeansHalfWidth]])</f>
        <v>1.208981608749105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10</v>
      </c>
      <c r="Y40">
        <f>IF(DiscreteStatsTable[[#This Row],[RepsRequested]]=DiscreteStatsTable[[#This Row],[RepsWithStatObserved]],1,0)</f>
        <v>1</v>
      </c>
    </row>
    <row r="41" spans="1:25" x14ac:dyDescent="0.25">
      <c r="A41" t="s">
        <v>67</v>
      </c>
      <c r="B41" t="s">
        <v>69</v>
      </c>
      <c r="C41">
        <v>2</v>
      </c>
      <c r="D41" t="s">
        <v>75</v>
      </c>
      <c r="E41" t="s">
        <v>80</v>
      </c>
      <c r="F41" t="s">
        <v>77</v>
      </c>
      <c r="G41">
        <v>14.7342861267487</v>
      </c>
      <c r="H41">
        <v>0.18227972944301599</v>
      </c>
      <c r="I41">
        <v>2.7999999993480702</v>
      </c>
      <c r="J41">
        <v>148.79151303565601</v>
      </c>
      <c r="K41">
        <v>17011</v>
      </c>
      <c r="L41" t="str">
        <f>DiscreteStatsTable[[#This Row],[ProjectName]]&amp;DiscreteStatsTable[[#This Row],[Name]]&amp;DiscreteStatsTable[[#This Row],[Type]]&amp;DiscreteStatsTable[[#This Row],[Source]]</f>
        <v>Unnamed ProjectNewPartTransfer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10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14.7745214286692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7.7759386666993585E-2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5.5625714256277083E-2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14.6618730503506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14.8939029254873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2.7999999993480702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238.155938771786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41">
        <f>IF((DiscreteStatsTable[[#This Row],[RepsRequested]]&gt;1),DiscreteStatsTable[[#This Row],[HalfWidth]],DiscreteStatsTable[[#This Row],[BatchMeansHalfWidth]])</f>
        <v>5.5625714256277083E-2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10</v>
      </c>
      <c r="Y41">
        <f>IF(DiscreteStatsTable[[#This Row],[RepsRequested]]=DiscreteStatsTable[[#This Row],[RepsWithStatObserved]],1,0)</f>
        <v>1</v>
      </c>
    </row>
    <row r="42" spans="1:25" x14ac:dyDescent="0.25">
      <c r="A42" t="s">
        <v>67</v>
      </c>
      <c r="B42" t="s">
        <v>69</v>
      </c>
      <c r="C42">
        <v>2</v>
      </c>
      <c r="D42" t="s">
        <v>75</v>
      </c>
      <c r="E42" t="s">
        <v>81</v>
      </c>
      <c r="F42" t="s">
        <v>77</v>
      </c>
      <c r="G42">
        <v>2.77279407442244</v>
      </c>
      <c r="H42">
        <v>4.0052483546094003E-2</v>
      </c>
      <c r="I42">
        <v>0</v>
      </c>
      <c r="J42">
        <v>8</v>
      </c>
      <c r="K42">
        <v>17011</v>
      </c>
      <c r="L42" t="str">
        <f>DiscreteStatsTable[[#This Row],[ProjectName]]&amp;DiscreteStatsTable[[#This Row],[Name]]&amp;DiscreteStatsTable[[#This Row],[Type]]&amp;DiscreteStatsTable[[#This Row],[Source]]</f>
        <v>Unnamed ProjectNewPartVA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10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2.7815747315743584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1.9879202576934346E-2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1.4220724848599816E-2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2.7543620985390902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2.8163573963120401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0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8.0000000000145501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42">
        <f>IF((DiscreteStatsTable[[#This Row],[RepsRequested]]&gt;1),DiscreteStatsTable[[#This Row],[HalfWidth]],DiscreteStatsTable[[#This Row],[BatchMeansHalfWidth]])</f>
        <v>1.4220724848599816E-2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10</v>
      </c>
      <c r="Y42">
        <f>IF(DiscreteStatsTable[[#This Row],[RepsRequested]]=DiscreteStatsTable[[#This Row],[RepsWithStatObserved]],1,0)</f>
        <v>1</v>
      </c>
    </row>
    <row r="43" spans="1:25" x14ac:dyDescent="0.25">
      <c r="A43" t="s">
        <v>67</v>
      </c>
      <c r="B43" t="s">
        <v>69</v>
      </c>
      <c r="C43">
        <v>2</v>
      </c>
      <c r="D43" t="s">
        <v>75</v>
      </c>
      <c r="E43" t="s">
        <v>82</v>
      </c>
      <c r="F43" t="s">
        <v>77</v>
      </c>
      <c r="G43">
        <v>29.236654406442501</v>
      </c>
      <c r="H43">
        <v>2.7639154139605502</v>
      </c>
      <c r="I43">
        <v>0</v>
      </c>
      <c r="J43">
        <v>473.24142279215403</v>
      </c>
      <c r="K43">
        <v>17011</v>
      </c>
      <c r="L43" t="str">
        <f>DiscreteStatsTable[[#This Row],[ProjectName]]&amp;DiscreteStatsTable[[#This Row],[Name]]&amp;DiscreteStatsTable[[#This Row],[Type]]&amp;DiscreteStatsTable[[#This Row],[Source]]</f>
        <v>Unnamed ProjectNewPartWait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10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29.242698154379905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1.5503795036667449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1.1090746848233775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26.632812348859499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31.8400605329516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707.09586624841904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43">
        <f>IF((DiscreteStatsTable[[#This Row],[RepsRequested]]&gt;1),DiscreteStatsTable[[#This Row],[HalfWidth]],DiscreteStatsTable[[#This Row],[BatchMeansHalfWidth]])</f>
        <v>1.1090746848233775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10</v>
      </c>
      <c r="Y43">
        <f>IF(DiscreteStatsTable[[#This Row],[RepsRequested]]=DiscreteStatsTable[[#This Row],[RepsWithStatObserved]],1,0)</f>
        <v>1</v>
      </c>
    </row>
    <row r="44" spans="1:25" x14ac:dyDescent="0.25">
      <c r="A44" t="s">
        <v>67</v>
      </c>
      <c r="B44" t="s">
        <v>69</v>
      </c>
      <c r="C44">
        <v>3</v>
      </c>
      <c r="D44" t="s">
        <v>75</v>
      </c>
      <c r="E44" t="s">
        <v>76</v>
      </c>
      <c r="F44" t="s">
        <v>77</v>
      </c>
      <c r="G44">
        <v>0</v>
      </c>
      <c r="H44">
        <v>0</v>
      </c>
      <c r="I44">
        <v>0</v>
      </c>
      <c r="J44">
        <v>0</v>
      </c>
      <c r="K44">
        <v>16656</v>
      </c>
      <c r="L44" t="str">
        <f>DiscreteStatsTable[[#This Row],[ProjectName]]&amp;DiscreteStatsTable[[#This Row],[Name]]&amp;DiscreteStatsTable[[#This Row],[Type]]&amp;DiscreteStatsTable[[#This Row],[Source]]</f>
        <v>Unnamed ProjectNewPartNVA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10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10</v>
      </c>
      <c r="Y44">
        <f>IF(DiscreteStatsTable[[#This Row],[RepsRequested]]=DiscreteStatsTable[[#This Row],[RepsWithStatObserved]],1,0)</f>
        <v>1</v>
      </c>
    </row>
    <row r="45" spans="1:25" x14ac:dyDescent="0.25">
      <c r="A45" t="s">
        <v>67</v>
      </c>
      <c r="B45" t="s">
        <v>69</v>
      </c>
      <c r="C45">
        <v>3</v>
      </c>
      <c r="D45" t="s">
        <v>75</v>
      </c>
      <c r="E45" t="s">
        <v>78</v>
      </c>
      <c r="F45" t="s">
        <v>77</v>
      </c>
      <c r="G45">
        <v>35.606956061298497</v>
      </c>
      <c r="H45">
        <v>0.47692271517310802</v>
      </c>
      <c r="I45">
        <v>0</v>
      </c>
      <c r="J45">
        <v>135.694917163171</v>
      </c>
      <c r="K45">
        <v>16656</v>
      </c>
      <c r="L45" t="str">
        <f>DiscreteStatsTable[[#This Row],[ProjectName]]&amp;DiscreteStatsTable[[#This Row],[Name]]&amp;DiscreteStatsTable[[#This Row],[Type]]&amp;DiscreteStatsTable[[#This Row],[Source]]</f>
        <v>Unnamed ProjectNewPartOther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10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35.934414689251412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0.26771685495243369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0.19151310103497018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35.585131921280997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36.412431328094101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139.43951735453399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45">
        <f>IF((DiscreteStatsTable[[#This Row],[RepsRequested]]&gt;1),DiscreteStatsTable[[#This Row],[HalfWidth]],DiscreteStatsTable[[#This Row],[BatchMeansHalfWidth]])</f>
        <v>0.19151310103497018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10</v>
      </c>
      <c r="Y45">
        <f>IF(DiscreteStatsTable[[#This Row],[RepsRequested]]=DiscreteStatsTable[[#This Row],[RepsWithStatObserved]],1,0)</f>
        <v>1</v>
      </c>
    </row>
    <row r="46" spans="1:25" x14ac:dyDescent="0.25">
      <c r="A46" t="s">
        <v>67</v>
      </c>
      <c r="B46" t="s">
        <v>69</v>
      </c>
      <c r="C46">
        <v>3</v>
      </c>
      <c r="D46" t="s">
        <v>75</v>
      </c>
      <c r="E46" t="s">
        <v>79</v>
      </c>
      <c r="F46" t="s">
        <v>77</v>
      </c>
      <c r="G46">
        <v>79.888714563311297</v>
      </c>
      <c r="H46">
        <v>2.0033661328882402</v>
      </c>
      <c r="I46">
        <v>2.7999999993480702</v>
      </c>
      <c r="J46">
        <v>660.65861487732002</v>
      </c>
      <c r="K46">
        <v>16656</v>
      </c>
      <c r="L46" t="str">
        <f>DiscreteStatsTable[[#This Row],[ProjectName]]&amp;DiscreteStatsTable[[#This Row],[Name]]&amp;DiscreteStatsTable[[#This Row],[Type]]&amp;DiscreteStatsTable[[#This Row],[Source]]</f>
        <v>Unnamed ProjectNewPartTotal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10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82.733209003874819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1.6900397531056797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1.208981608749105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79.888714563311297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85.472032926843298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2.7999999993480702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845.65217638315505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46">
        <f>IF((DiscreteStatsTable[[#This Row],[RepsRequested]]&gt;1),DiscreteStatsTable[[#This Row],[HalfWidth]],DiscreteStatsTable[[#This Row],[BatchMeansHalfWidth]])</f>
        <v>1.208981608749105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10</v>
      </c>
      <c r="Y46">
        <f>IF(DiscreteStatsTable[[#This Row],[RepsRequested]]=DiscreteStatsTable[[#This Row],[RepsWithStatObserved]],1,0)</f>
        <v>1</v>
      </c>
    </row>
    <row r="47" spans="1:25" x14ac:dyDescent="0.25">
      <c r="A47" t="s">
        <v>67</v>
      </c>
      <c r="B47" t="s">
        <v>69</v>
      </c>
      <c r="C47">
        <v>3</v>
      </c>
      <c r="D47" t="s">
        <v>75</v>
      </c>
      <c r="E47" t="s">
        <v>80</v>
      </c>
      <c r="F47" t="s">
        <v>77</v>
      </c>
      <c r="G47">
        <v>14.8939029254873</v>
      </c>
      <c r="H47">
        <v>0.156499856646312</v>
      </c>
      <c r="I47">
        <v>2.7999999993480702</v>
      </c>
      <c r="J47">
        <v>184.04954556631901</v>
      </c>
      <c r="K47">
        <v>16656</v>
      </c>
      <c r="L47" t="str">
        <f>DiscreteStatsTable[[#This Row],[ProjectName]]&amp;DiscreteStatsTable[[#This Row],[Name]]&amp;DiscreteStatsTable[[#This Row],[Type]]&amp;DiscreteStatsTable[[#This Row],[Source]]</f>
        <v>Unnamed ProjectNewPartTransfer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10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14.7745214286692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7.7759386666993585E-2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5.5625714256277083E-2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14.6618730503506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14.8939029254873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2.7999999993480702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238.155938771786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47">
        <f>IF((DiscreteStatsTable[[#This Row],[RepsRequested]]&gt;1),DiscreteStatsTable[[#This Row],[HalfWidth]],DiscreteStatsTable[[#This Row],[BatchMeansHalfWidth]])</f>
        <v>5.5625714256277083E-2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10</v>
      </c>
      <c r="Y47">
        <f>IF(DiscreteStatsTable[[#This Row],[RepsRequested]]=DiscreteStatsTable[[#This Row],[RepsWithStatObserved]],1,0)</f>
        <v>1</v>
      </c>
    </row>
    <row r="48" spans="1:25" x14ac:dyDescent="0.25">
      <c r="A48" t="s">
        <v>67</v>
      </c>
      <c r="B48" t="s">
        <v>69</v>
      </c>
      <c r="C48">
        <v>3</v>
      </c>
      <c r="D48" t="s">
        <v>75</v>
      </c>
      <c r="E48" t="s">
        <v>81</v>
      </c>
      <c r="F48" t="s">
        <v>77</v>
      </c>
      <c r="G48">
        <v>2.75504322766571</v>
      </c>
      <c r="H48">
        <v>3.53704913623092E-2</v>
      </c>
      <c r="I48">
        <v>0</v>
      </c>
      <c r="J48">
        <v>8</v>
      </c>
      <c r="K48">
        <v>16656</v>
      </c>
      <c r="L48" t="str">
        <f>DiscreteStatsTable[[#This Row],[ProjectName]]&amp;DiscreteStatsTable[[#This Row],[Name]]&amp;DiscreteStatsTable[[#This Row],[Type]]&amp;DiscreteStatsTable[[#This Row],[Source]]</f>
        <v>Unnamed ProjectNewPartVA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10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2.7815747315743584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1.9879202576934346E-2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1.4220724848599816E-2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2.7543620985390902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2.8163573963120401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0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8.0000000000145501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48">
        <f>IF((DiscreteStatsTable[[#This Row],[RepsRequested]]&gt;1),DiscreteStatsTable[[#This Row],[HalfWidth]],DiscreteStatsTable[[#This Row],[BatchMeansHalfWidth]])</f>
        <v>1.4220724848599816E-2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10</v>
      </c>
      <c r="Y48">
        <f>IF(DiscreteStatsTable[[#This Row],[RepsRequested]]=DiscreteStatsTable[[#This Row],[RepsWithStatObserved]],1,0)</f>
        <v>1</v>
      </c>
    </row>
    <row r="49" spans="1:25" x14ac:dyDescent="0.25">
      <c r="A49" t="s">
        <v>67</v>
      </c>
      <c r="B49" t="s">
        <v>69</v>
      </c>
      <c r="C49">
        <v>3</v>
      </c>
      <c r="D49" t="s">
        <v>75</v>
      </c>
      <c r="E49" t="s">
        <v>82</v>
      </c>
      <c r="F49" t="s">
        <v>77</v>
      </c>
      <c r="G49">
        <v>26.632812348859499</v>
      </c>
      <c r="H49">
        <v>1.6596016487601799</v>
      </c>
      <c r="I49">
        <v>0</v>
      </c>
      <c r="J49">
        <v>498.81957094778801</v>
      </c>
      <c r="K49">
        <v>16656</v>
      </c>
      <c r="L49" t="str">
        <f>DiscreteStatsTable[[#This Row],[ProjectName]]&amp;DiscreteStatsTable[[#This Row],[Name]]&amp;DiscreteStatsTable[[#This Row],[Type]]&amp;DiscreteStatsTable[[#This Row],[Source]]</f>
        <v>Unnamed ProjectNewPartWait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10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29.242698154379905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1.5503795036667449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1.1090746848233775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26.632812348859499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31.8400605329516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707.09586624841904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49">
        <f>IF((DiscreteStatsTable[[#This Row],[RepsRequested]]&gt;1),DiscreteStatsTable[[#This Row],[HalfWidth]],DiscreteStatsTable[[#This Row],[BatchMeansHalfWidth]])</f>
        <v>1.1090746848233775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10</v>
      </c>
      <c r="Y49">
        <f>IF(DiscreteStatsTable[[#This Row],[RepsRequested]]=DiscreteStatsTable[[#This Row],[RepsWithStatObserved]],1,0)</f>
        <v>1</v>
      </c>
    </row>
    <row r="50" spans="1:25" x14ac:dyDescent="0.25">
      <c r="A50" t="s">
        <v>67</v>
      </c>
      <c r="B50" t="s">
        <v>69</v>
      </c>
      <c r="C50">
        <v>4</v>
      </c>
      <c r="D50" t="s">
        <v>75</v>
      </c>
      <c r="E50" t="s">
        <v>76</v>
      </c>
      <c r="F50" t="s">
        <v>77</v>
      </c>
      <c r="G50">
        <v>0</v>
      </c>
      <c r="H50">
        <v>0</v>
      </c>
      <c r="I50">
        <v>0</v>
      </c>
      <c r="J50">
        <v>0</v>
      </c>
      <c r="K50">
        <v>17191</v>
      </c>
      <c r="L50" t="str">
        <f>DiscreteStatsTable[[#This Row],[ProjectName]]&amp;DiscreteStatsTable[[#This Row],[Name]]&amp;DiscreteStatsTable[[#This Row],[Type]]&amp;DiscreteStatsTable[[#This Row],[Source]]</f>
        <v>Unnamed ProjectNewPartNVA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10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10</v>
      </c>
      <c r="Y50">
        <f>IF(DiscreteStatsTable[[#This Row],[RepsRequested]]=DiscreteStatsTable[[#This Row],[RepsWithStatObserved]],1,0)</f>
        <v>1</v>
      </c>
    </row>
    <row r="51" spans="1:25" x14ac:dyDescent="0.25">
      <c r="A51" t="s">
        <v>67</v>
      </c>
      <c r="B51" t="s">
        <v>69</v>
      </c>
      <c r="C51">
        <v>4</v>
      </c>
      <c r="D51" t="s">
        <v>75</v>
      </c>
      <c r="E51" t="s">
        <v>78</v>
      </c>
      <c r="F51" t="s">
        <v>77</v>
      </c>
      <c r="G51">
        <v>36.412431328094101</v>
      </c>
      <c r="H51">
        <v>0.47324879830436301</v>
      </c>
      <c r="I51">
        <v>0</v>
      </c>
      <c r="J51">
        <v>134.069214271032</v>
      </c>
      <c r="K51">
        <v>17191</v>
      </c>
      <c r="L51" t="str">
        <f>DiscreteStatsTable[[#This Row],[ProjectName]]&amp;DiscreteStatsTable[[#This Row],[Name]]&amp;DiscreteStatsTable[[#This Row],[Type]]&amp;DiscreteStatsTable[[#This Row],[Source]]</f>
        <v>Unnamed ProjectNewPartOther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10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35.934414689251412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0.26771685495243369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0.19151310103497018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35.585131921280997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36.412431328094101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139.43951735453399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51">
        <f>IF((DiscreteStatsTable[[#This Row],[RepsRequested]]&gt;1),DiscreteStatsTable[[#This Row],[HalfWidth]],DiscreteStatsTable[[#This Row],[BatchMeansHalfWidth]])</f>
        <v>0.19151310103497018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10</v>
      </c>
      <c r="Y51">
        <f>IF(DiscreteStatsTable[[#This Row],[RepsRequested]]=DiscreteStatsTable[[#This Row],[RepsWithStatObserved]],1,0)</f>
        <v>1</v>
      </c>
    </row>
    <row r="52" spans="1:25" x14ac:dyDescent="0.25">
      <c r="A52" t="s">
        <v>67</v>
      </c>
      <c r="B52" t="s">
        <v>69</v>
      </c>
      <c r="C52">
        <v>4</v>
      </c>
      <c r="D52" t="s">
        <v>75</v>
      </c>
      <c r="E52" t="s">
        <v>79</v>
      </c>
      <c r="F52" t="s">
        <v>77</v>
      </c>
      <c r="G52">
        <v>85.178465670332201</v>
      </c>
      <c r="H52">
        <v>2.8284931788115699</v>
      </c>
      <c r="I52">
        <v>2.7999999993480702</v>
      </c>
      <c r="J52">
        <v>622.06068711943203</v>
      </c>
      <c r="K52">
        <v>17191</v>
      </c>
      <c r="L52" t="str">
        <f>DiscreteStatsTable[[#This Row],[ProjectName]]&amp;DiscreteStatsTable[[#This Row],[Name]]&amp;DiscreteStatsTable[[#This Row],[Type]]&amp;DiscreteStatsTable[[#This Row],[Source]]</f>
        <v>Unnamed ProjectNewPartTotal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10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82.733209003874819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1.6900397531056797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1.208981608749105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79.888714563311297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85.472032926843298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2.7999999993480702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845.65217638315505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52">
        <f>IF((DiscreteStatsTable[[#This Row],[RepsRequested]]&gt;1),DiscreteStatsTable[[#This Row],[HalfWidth]],DiscreteStatsTable[[#This Row],[BatchMeansHalfWidth]])</f>
        <v>1.208981608749105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10</v>
      </c>
      <c r="Y52">
        <f>IF(DiscreteStatsTable[[#This Row],[RepsRequested]]=DiscreteStatsTable[[#This Row],[RepsWithStatObserved]],1,0)</f>
        <v>1</v>
      </c>
    </row>
    <row r="53" spans="1:25" x14ac:dyDescent="0.25">
      <c r="A53" t="s">
        <v>67</v>
      </c>
      <c r="B53" t="s">
        <v>69</v>
      </c>
      <c r="C53">
        <v>4</v>
      </c>
      <c r="D53" t="s">
        <v>75</v>
      </c>
      <c r="E53" t="s">
        <v>80</v>
      </c>
      <c r="F53" t="s">
        <v>77</v>
      </c>
      <c r="G53">
        <v>14.6684666930911</v>
      </c>
      <c r="H53">
        <v>0.18027028121672101</v>
      </c>
      <c r="I53">
        <v>2.7999999993480702</v>
      </c>
      <c r="J53">
        <v>115.552974494785</v>
      </c>
      <c r="K53">
        <v>17191</v>
      </c>
      <c r="L53" t="str">
        <f>DiscreteStatsTable[[#This Row],[ProjectName]]&amp;DiscreteStatsTable[[#This Row],[Name]]&amp;DiscreteStatsTable[[#This Row],[Type]]&amp;DiscreteStatsTable[[#This Row],[Source]]</f>
        <v>Unnamed ProjectNewPartTransfer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10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14.7745214286692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7.7759386666993585E-2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5.5625714256277083E-2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14.6618730503506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14.8939029254873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2.7999999993480702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238.155938771786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53">
        <f>IF((DiscreteStatsTable[[#This Row],[RepsRequested]]&gt;1),DiscreteStatsTable[[#This Row],[HalfWidth]],DiscreteStatsTable[[#This Row],[BatchMeansHalfWidth]])</f>
        <v>5.5625714256277083E-2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10</v>
      </c>
      <c r="Y53">
        <f>IF(DiscreteStatsTable[[#This Row],[RepsRequested]]=DiscreteStatsTable[[#This Row],[RepsWithStatObserved]],1,0)</f>
        <v>1</v>
      </c>
    </row>
    <row r="54" spans="1:25" x14ac:dyDescent="0.25">
      <c r="A54" t="s">
        <v>67</v>
      </c>
      <c r="B54" t="s">
        <v>69</v>
      </c>
      <c r="C54">
        <v>4</v>
      </c>
      <c r="D54" t="s">
        <v>75</v>
      </c>
      <c r="E54" t="s">
        <v>81</v>
      </c>
      <c r="F54" t="s">
        <v>77</v>
      </c>
      <c r="G54">
        <v>2.8163573963120401</v>
      </c>
      <c r="H54">
        <v>3.6494239009581098E-2</v>
      </c>
      <c r="I54">
        <v>0</v>
      </c>
      <c r="J54">
        <v>8</v>
      </c>
      <c r="K54">
        <v>17191</v>
      </c>
      <c r="L54" t="str">
        <f>DiscreteStatsTable[[#This Row],[ProjectName]]&amp;DiscreteStatsTable[[#This Row],[Name]]&amp;DiscreteStatsTable[[#This Row],[Type]]&amp;DiscreteStatsTable[[#This Row],[Source]]</f>
        <v>Unnamed ProjectNewPartVA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10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2.7815747315743584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1.9879202576934346E-2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1.4220724848599816E-2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2.7543620985390902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2.8163573963120401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0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8.0000000000145501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54">
        <f>IF((DiscreteStatsTable[[#This Row],[RepsRequested]]&gt;1),DiscreteStatsTable[[#This Row],[HalfWidth]],DiscreteStatsTable[[#This Row],[BatchMeansHalfWidth]])</f>
        <v>1.4220724848599816E-2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10</v>
      </c>
      <c r="Y54">
        <f>IF(DiscreteStatsTable[[#This Row],[RepsRequested]]=DiscreteStatsTable[[#This Row],[RepsWithStatObserved]],1,0)</f>
        <v>1</v>
      </c>
    </row>
    <row r="55" spans="1:25" x14ac:dyDescent="0.25">
      <c r="A55" t="s">
        <v>67</v>
      </c>
      <c r="B55" t="s">
        <v>69</v>
      </c>
      <c r="C55">
        <v>4</v>
      </c>
      <c r="D55" t="s">
        <v>75</v>
      </c>
      <c r="E55" t="s">
        <v>82</v>
      </c>
      <c r="F55" t="s">
        <v>77</v>
      </c>
      <c r="G55">
        <v>31.281210252834899</v>
      </c>
      <c r="H55">
        <v>2.4511727589708801</v>
      </c>
      <c r="I55">
        <v>0</v>
      </c>
      <c r="J55">
        <v>474.30914963589697</v>
      </c>
      <c r="K55">
        <v>17191</v>
      </c>
      <c r="L55" t="str">
        <f>DiscreteStatsTable[[#This Row],[ProjectName]]&amp;DiscreteStatsTable[[#This Row],[Name]]&amp;DiscreteStatsTable[[#This Row],[Type]]&amp;DiscreteStatsTable[[#This Row],[Source]]</f>
        <v>Unnamed ProjectNewPartWait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10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29.242698154379905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1.5503795036667449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1.1090746848233775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26.632812348859499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31.8400605329516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707.09586624841904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55">
        <f>IF((DiscreteStatsTable[[#This Row],[RepsRequested]]&gt;1),DiscreteStatsTable[[#This Row],[HalfWidth]],DiscreteStatsTable[[#This Row],[BatchMeansHalfWidth]])</f>
        <v>1.1090746848233775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10</v>
      </c>
      <c r="Y55">
        <f>IF(DiscreteStatsTable[[#This Row],[RepsRequested]]=DiscreteStatsTable[[#This Row],[RepsWithStatObserved]],1,0)</f>
        <v>1</v>
      </c>
    </row>
    <row r="56" spans="1:25" x14ac:dyDescent="0.25">
      <c r="A56" t="s">
        <v>67</v>
      </c>
      <c r="B56" t="s">
        <v>69</v>
      </c>
      <c r="C56">
        <v>5</v>
      </c>
      <c r="D56" t="s">
        <v>75</v>
      </c>
      <c r="E56" t="s">
        <v>76</v>
      </c>
      <c r="F56" t="s">
        <v>77</v>
      </c>
      <c r="G56">
        <v>0</v>
      </c>
      <c r="H56">
        <v>0</v>
      </c>
      <c r="I56">
        <v>0</v>
      </c>
      <c r="J56">
        <v>0</v>
      </c>
      <c r="K56">
        <v>16907</v>
      </c>
      <c r="L56" t="str">
        <f>DiscreteStatsTable[[#This Row],[ProjectName]]&amp;DiscreteStatsTable[[#This Row],[Name]]&amp;DiscreteStatsTable[[#This Row],[Type]]&amp;DiscreteStatsTable[[#This Row],[Source]]</f>
        <v>Unnamed ProjectNewPartNVA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10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10</v>
      </c>
      <c r="Y56">
        <f>IF(DiscreteStatsTable[[#This Row],[RepsRequested]]=DiscreteStatsTable[[#This Row],[RepsWithStatObserved]],1,0)</f>
        <v>1</v>
      </c>
    </row>
    <row r="57" spans="1:25" x14ac:dyDescent="0.25">
      <c r="A57" t="s">
        <v>67</v>
      </c>
      <c r="B57" t="s">
        <v>69</v>
      </c>
      <c r="C57">
        <v>5</v>
      </c>
      <c r="D57" t="s">
        <v>75</v>
      </c>
      <c r="E57" t="s">
        <v>78</v>
      </c>
      <c r="F57" t="s">
        <v>77</v>
      </c>
      <c r="G57">
        <v>35.585131921280997</v>
      </c>
      <c r="H57">
        <v>0.541036756210031</v>
      </c>
      <c r="I57">
        <v>0</v>
      </c>
      <c r="J57">
        <v>133.04813400494501</v>
      </c>
      <c r="K57">
        <v>16907</v>
      </c>
      <c r="L57" t="str">
        <f>DiscreteStatsTable[[#This Row],[ProjectName]]&amp;DiscreteStatsTable[[#This Row],[Name]]&amp;DiscreteStatsTable[[#This Row],[Type]]&amp;DiscreteStatsTable[[#This Row],[Source]]</f>
        <v>Unnamed ProjectNewPartOther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10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35.934414689251412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0.26771685495243369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0.19151310103497018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35.585131921280997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36.412431328094101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139.43951735453399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57">
        <f>IF((DiscreteStatsTable[[#This Row],[RepsRequested]]&gt;1),DiscreteStatsTable[[#This Row],[HalfWidth]],DiscreteStatsTable[[#This Row],[BatchMeansHalfWidth]])</f>
        <v>0.19151310103497018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10</v>
      </c>
      <c r="Y57">
        <f>IF(DiscreteStatsTable[[#This Row],[RepsRequested]]=DiscreteStatsTable[[#This Row],[RepsWithStatObserved]],1,0)</f>
        <v>1</v>
      </c>
    </row>
    <row r="58" spans="1:25" x14ac:dyDescent="0.25">
      <c r="A58" t="s">
        <v>67</v>
      </c>
      <c r="B58" t="s">
        <v>69</v>
      </c>
      <c r="C58">
        <v>5</v>
      </c>
      <c r="D58" t="s">
        <v>75</v>
      </c>
      <c r="E58" t="s">
        <v>79</v>
      </c>
      <c r="F58" t="s">
        <v>77</v>
      </c>
      <c r="G58">
        <v>82.899943217491099</v>
      </c>
      <c r="H58">
        <v>4.9172578488933896</v>
      </c>
      <c r="I58">
        <v>2.7999999993480702</v>
      </c>
      <c r="J58">
        <v>845.65217638315505</v>
      </c>
      <c r="K58">
        <v>16907</v>
      </c>
      <c r="L58" t="str">
        <f>DiscreteStatsTable[[#This Row],[ProjectName]]&amp;DiscreteStatsTable[[#This Row],[Name]]&amp;DiscreteStatsTable[[#This Row],[Type]]&amp;DiscreteStatsTable[[#This Row],[Source]]</f>
        <v>Unnamed ProjectNewPartTotal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10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82.733209003874819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1.6900397531056797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1.208981608749105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79.888714563311297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85.472032926843298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2.7999999993480702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845.65217638315505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58">
        <f>IF((DiscreteStatsTable[[#This Row],[RepsRequested]]&gt;1),DiscreteStatsTable[[#This Row],[HalfWidth]],DiscreteStatsTable[[#This Row],[BatchMeansHalfWidth]])</f>
        <v>1.208981608749105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10</v>
      </c>
      <c r="Y58">
        <f>IF(DiscreteStatsTable[[#This Row],[RepsRequested]]=DiscreteStatsTable[[#This Row],[RepsWithStatObserved]],1,0)</f>
        <v>1</v>
      </c>
    </row>
    <row r="59" spans="1:25" x14ac:dyDescent="0.25">
      <c r="A59" t="s">
        <v>67</v>
      </c>
      <c r="B59" t="s">
        <v>69</v>
      </c>
      <c r="C59">
        <v>5</v>
      </c>
      <c r="D59" t="s">
        <v>75</v>
      </c>
      <c r="E59" t="s">
        <v>80</v>
      </c>
      <c r="F59" t="s">
        <v>77</v>
      </c>
      <c r="G59">
        <v>14.7878135869397</v>
      </c>
      <c r="H59">
        <v>0.157500796681046</v>
      </c>
      <c r="I59">
        <v>2.7999999993480702</v>
      </c>
      <c r="J59">
        <v>166.64927061839299</v>
      </c>
      <c r="K59">
        <v>16907</v>
      </c>
      <c r="L59" t="str">
        <f>DiscreteStatsTable[[#This Row],[ProjectName]]&amp;DiscreteStatsTable[[#This Row],[Name]]&amp;DiscreteStatsTable[[#This Row],[Type]]&amp;DiscreteStatsTable[[#This Row],[Source]]</f>
        <v>Unnamed ProjectNewPartTransfer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10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14.7745214286692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7.7759386666993585E-2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5.5625714256277083E-2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14.6618730503506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14.8939029254873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2.7999999993480702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238.155938771786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59">
        <f>IF((DiscreteStatsTable[[#This Row],[RepsRequested]]&gt;1),DiscreteStatsTable[[#This Row],[HalfWidth]],DiscreteStatsTable[[#This Row],[BatchMeansHalfWidth]])</f>
        <v>5.5625714256277083E-2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10</v>
      </c>
      <c r="Y59">
        <f>IF(DiscreteStatsTable[[#This Row],[RepsRequested]]=DiscreteStatsTable[[#This Row],[RepsWithStatObserved]],1,0)</f>
        <v>1</v>
      </c>
    </row>
    <row r="60" spans="1:25" x14ac:dyDescent="0.25">
      <c r="A60" t="s">
        <v>67</v>
      </c>
      <c r="B60" t="s">
        <v>69</v>
      </c>
      <c r="C60">
        <v>5</v>
      </c>
      <c r="D60" t="s">
        <v>75</v>
      </c>
      <c r="E60" t="s">
        <v>81</v>
      </c>
      <c r="F60" t="s">
        <v>77</v>
      </c>
      <c r="G60">
        <v>2.7543620985390902</v>
      </c>
      <c r="H60">
        <v>4.2291626644137603E-2</v>
      </c>
      <c r="I60">
        <v>0</v>
      </c>
      <c r="J60">
        <v>8</v>
      </c>
      <c r="K60">
        <v>16907</v>
      </c>
      <c r="L60" t="str">
        <f>DiscreteStatsTable[[#This Row],[ProjectName]]&amp;DiscreteStatsTable[[#This Row],[Name]]&amp;DiscreteStatsTable[[#This Row],[Type]]&amp;DiscreteStatsTable[[#This Row],[Source]]</f>
        <v>Unnamed ProjectNewPartVA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10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2.7815747315743584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1.9879202576934346E-2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1.4220724848599816E-2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2.7543620985390902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2.8163573963120401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0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8.0000000000145501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60">
        <f>IF((DiscreteStatsTable[[#This Row],[RepsRequested]]&gt;1),DiscreteStatsTable[[#This Row],[HalfWidth]],DiscreteStatsTable[[#This Row],[BatchMeansHalfWidth]])</f>
        <v>1.4220724848599816E-2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10</v>
      </c>
      <c r="Y60">
        <f>IF(DiscreteStatsTable[[#This Row],[RepsRequested]]=DiscreteStatsTable[[#This Row],[RepsWithStatObserved]],1,0)</f>
        <v>1</v>
      </c>
    </row>
    <row r="61" spans="1:25" x14ac:dyDescent="0.25">
      <c r="A61" t="s">
        <v>67</v>
      </c>
      <c r="B61" t="s">
        <v>69</v>
      </c>
      <c r="C61">
        <v>5</v>
      </c>
      <c r="D61" t="s">
        <v>75</v>
      </c>
      <c r="E61" t="s">
        <v>82</v>
      </c>
      <c r="F61" t="s">
        <v>77</v>
      </c>
      <c r="G61">
        <v>29.772635610730902</v>
      </c>
      <c r="H61">
        <v>4.5766498170161301</v>
      </c>
      <c r="I61">
        <v>0</v>
      </c>
      <c r="J61">
        <v>707.09586624841904</v>
      </c>
      <c r="K61">
        <v>16907</v>
      </c>
      <c r="L61" t="str">
        <f>DiscreteStatsTable[[#This Row],[ProjectName]]&amp;DiscreteStatsTable[[#This Row],[Name]]&amp;DiscreteStatsTable[[#This Row],[Type]]&amp;DiscreteStatsTable[[#This Row],[Source]]</f>
        <v>Unnamed ProjectNewPartWait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10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29.242698154379905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1.5503795036667449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1.1090746848233775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26.632812348859499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31.8400605329516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707.09586624841904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61">
        <f>IF((DiscreteStatsTable[[#This Row],[RepsRequested]]&gt;1),DiscreteStatsTable[[#This Row],[HalfWidth]],DiscreteStatsTable[[#This Row],[BatchMeansHalfWidth]])</f>
        <v>1.1090746848233775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10</v>
      </c>
      <c r="Y61">
        <f>IF(DiscreteStatsTable[[#This Row],[RepsRequested]]=DiscreteStatsTable[[#This Row],[RepsWithStatObserved]],1,0)</f>
        <v>1</v>
      </c>
    </row>
    <row r="62" spans="1:25" x14ac:dyDescent="0.25">
      <c r="A62" t="s">
        <v>67</v>
      </c>
      <c r="B62" t="s">
        <v>69</v>
      </c>
      <c r="C62">
        <v>6</v>
      </c>
      <c r="D62" t="s">
        <v>75</v>
      </c>
      <c r="E62" t="s">
        <v>76</v>
      </c>
      <c r="F62" t="s">
        <v>77</v>
      </c>
      <c r="G62">
        <v>0</v>
      </c>
      <c r="H62">
        <v>0</v>
      </c>
      <c r="I62">
        <v>0</v>
      </c>
      <c r="J62">
        <v>0</v>
      </c>
      <c r="K62">
        <v>17101</v>
      </c>
      <c r="L62" t="str">
        <f>DiscreteStatsTable[[#This Row],[ProjectName]]&amp;DiscreteStatsTable[[#This Row],[Name]]&amp;DiscreteStatsTable[[#This Row],[Type]]&amp;DiscreteStatsTable[[#This Row],[Source]]</f>
        <v>Unnamed ProjectNewPartNVA TimeEntity</v>
      </c>
      <c r="M62" cm="1">
        <f t="array" ref="M62">MAX(IF((ProjectInfoTable[ProjectName]=DiscreteStatsTable[[#This Row],[ProjectName]]),(ProjectInfoTable[ProjectName]=DiscreteStatsTable[[#This Row],[ProjectName]])*ProjectInfoTable[NumberOfReplications]))</f>
        <v>10</v>
      </c>
      <c r="N62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cm="1">
        <f t="array" ref="V62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62">
        <f>IF((DiscreteStatsTable[[#This Row],[RepsRequested]]&gt;1),DiscreteStatsTable[[#This Row],[HalfWidth]],DiscreteStatsTable[[#This Row],[BatchMeansHalfWidth]])</f>
        <v>0</v>
      </c>
      <c r="X62" cm="1">
        <f t="array" ref="X62">COUNT(IF((DiscreteStatsTable[GroupByKey]=DiscreteStatsTable[[#This Row],[GroupByKey]]),(DiscreteStatsTable[GroupByKey]=DiscreteStatsTable[[#This Row],[GroupByKey]])*DiscreteStatsTable[Replication]))</f>
        <v>10</v>
      </c>
      <c r="Y62">
        <f>IF(DiscreteStatsTable[[#This Row],[RepsRequested]]=DiscreteStatsTable[[#This Row],[RepsWithStatObserved]],1,0)</f>
        <v>1</v>
      </c>
    </row>
    <row r="63" spans="1:25" x14ac:dyDescent="0.25">
      <c r="A63" t="s">
        <v>67</v>
      </c>
      <c r="B63" t="s">
        <v>69</v>
      </c>
      <c r="C63">
        <v>6</v>
      </c>
      <c r="D63" t="s">
        <v>75</v>
      </c>
      <c r="E63" t="s">
        <v>78</v>
      </c>
      <c r="F63" t="s">
        <v>77</v>
      </c>
      <c r="G63">
        <v>36.169795267756697</v>
      </c>
      <c r="H63">
        <v>0.44821940642726799</v>
      </c>
      <c r="I63">
        <v>0</v>
      </c>
      <c r="J63">
        <v>134.39344515930901</v>
      </c>
      <c r="K63">
        <v>17101</v>
      </c>
      <c r="L63" t="str">
        <f>DiscreteStatsTable[[#This Row],[ProjectName]]&amp;DiscreteStatsTable[[#This Row],[Name]]&amp;DiscreteStatsTable[[#This Row],[Type]]&amp;DiscreteStatsTable[[#This Row],[Source]]</f>
        <v>Unnamed ProjectNewPartOther TimeEntity</v>
      </c>
      <c r="M63" cm="1">
        <f t="array" ref="M63">MAX(IF((ProjectInfoTable[ProjectName]=DiscreteStatsTable[[#This Row],[ProjectName]]),(ProjectInfoTable[ProjectName]=DiscreteStatsTable[[#This Row],[ProjectName]])*ProjectInfoTable[NumberOfReplications]))</f>
        <v>10</v>
      </c>
      <c r="N63" cm="1">
        <f t="array" ref="N63">IFERROR(AVERAGE(IF((DiscreteStatsTable[GroupByKey]=DiscreteStatsTable[[#This Row],[GroupByKey]]),(DiscreteStatsTable[GroupByKey]=DiscreteStatsTable[[#This Row],[GroupByKey]])*DiscreteStatsTable[Average])),0)</f>
        <v>35.934414689251412</v>
      </c>
      <c r="O63" cm="1">
        <f t="array" ref="O63">IFERROR(_xlfn.STDEV.S(IF((DiscreteStatsTable[GroupByKey]=DiscreteStatsTable[[#This Row],[GroupByKey]]),(DiscreteStatsTable[GroupByKey]=DiscreteStatsTable[[#This Row],[GroupByKey]])*DiscreteStatsTable[Average])),0)</f>
        <v>0.26771685495243369</v>
      </c>
      <c r="P63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0.19151310103497018</v>
      </c>
      <c r="R63" cm="1">
        <f t="array" ref="R63">MIN(IF((DiscreteStatsTable[GroupByKey]=DiscreteStatsTable[[#This Row],[GroupByKey]]),(DiscreteStatsTable[GroupByKey]=DiscreteStatsTable[[#This Row],[GroupByKey]])*DiscreteStatsTable[Average]))</f>
        <v>35.585131921280997</v>
      </c>
      <c r="S63" cm="1">
        <f t="array" ref="S63">MAX(IF((DiscreteStatsTable[GroupByKey]=DiscreteStatsTable[[#This Row],[GroupByKey]]),(DiscreteStatsTable[GroupByKey]=DiscreteStatsTable[[#This Row],[GroupByKey]])*DiscreteStatsTable[Average]))</f>
        <v>36.412431328094101</v>
      </c>
      <c r="T63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cm="1">
        <f t="array" ref="U63">MAX(IF((DiscreteStatsTable[GroupByKey]=DiscreteStatsTable[[#This Row],[GroupByKey]]),(DiscreteStatsTable[GroupByKey]=DiscreteStatsTable[[#This Row],[GroupByKey]])*DiscreteStatsTable[Maximum]))</f>
        <v>139.43951735453399</v>
      </c>
      <c r="V63" cm="1">
        <f t="array" ref="V63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63">
        <f>IF((DiscreteStatsTable[[#This Row],[RepsRequested]]&gt;1),DiscreteStatsTable[[#This Row],[HalfWidth]],DiscreteStatsTable[[#This Row],[BatchMeansHalfWidth]])</f>
        <v>0.19151310103497018</v>
      </c>
      <c r="X63" cm="1">
        <f t="array" ref="X63">COUNT(IF((DiscreteStatsTable[GroupByKey]=DiscreteStatsTable[[#This Row],[GroupByKey]]),(DiscreteStatsTable[GroupByKey]=DiscreteStatsTable[[#This Row],[GroupByKey]])*DiscreteStatsTable[Replication]))</f>
        <v>10</v>
      </c>
      <c r="Y63">
        <f>IF(DiscreteStatsTable[[#This Row],[RepsRequested]]=DiscreteStatsTable[[#This Row],[RepsWithStatObserved]],1,0)</f>
        <v>1</v>
      </c>
    </row>
    <row r="64" spans="1:25" x14ac:dyDescent="0.25">
      <c r="A64" t="s">
        <v>67</v>
      </c>
      <c r="B64" t="s">
        <v>69</v>
      </c>
      <c r="C64">
        <v>6</v>
      </c>
      <c r="D64" t="s">
        <v>75</v>
      </c>
      <c r="E64" t="s">
        <v>79</v>
      </c>
      <c r="F64" t="s">
        <v>77</v>
      </c>
      <c r="G64">
        <v>85.472032926843298</v>
      </c>
      <c r="H64">
        <v>3.2756248613116901</v>
      </c>
      <c r="I64">
        <v>2.7999999993480702</v>
      </c>
      <c r="J64">
        <v>724.16217129986001</v>
      </c>
      <c r="K64">
        <v>17101</v>
      </c>
      <c r="L64" t="str">
        <f>DiscreteStatsTable[[#This Row],[ProjectName]]&amp;DiscreteStatsTable[[#This Row],[Name]]&amp;DiscreteStatsTable[[#This Row],[Type]]&amp;DiscreteStatsTable[[#This Row],[Source]]</f>
        <v>Unnamed ProjectNewPartTotal TimeEntity</v>
      </c>
      <c r="M64" cm="1">
        <f t="array" ref="M64">MAX(IF((ProjectInfoTable[ProjectName]=DiscreteStatsTable[[#This Row],[ProjectName]]),(ProjectInfoTable[ProjectName]=DiscreteStatsTable[[#This Row],[ProjectName]])*ProjectInfoTable[NumberOfReplications]))</f>
        <v>10</v>
      </c>
      <c r="N64" cm="1">
        <f t="array" ref="N64">IFERROR(AVERAGE(IF((DiscreteStatsTable[GroupByKey]=DiscreteStatsTable[[#This Row],[GroupByKey]]),(DiscreteStatsTable[GroupByKey]=DiscreteStatsTable[[#This Row],[GroupByKey]])*DiscreteStatsTable[Average])),0)</f>
        <v>82.733209003874819</v>
      </c>
      <c r="O64" cm="1">
        <f t="array" ref="O64">IFERROR(_xlfn.STDEV.S(IF((DiscreteStatsTable[GroupByKey]=DiscreteStatsTable[[#This Row],[GroupByKey]]),(DiscreteStatsTable[GroupByKey]=DiscreteStatsTable[[#This Row],[GroupByKey]])*DiscreteStatsTable[Average])),0)</f>
        <v>1.6900397531056797</v>
      </c>
      <c r="P64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1.208981608749105</v>
      </c>
      <c r="R64" cm="1">
        <f t="array" ref="R64">MIN(IF((DiscreteStatsTable[GroupByKey]=DiscreteStatsTable[[#This Row],[GroupByKey]]),(DiscreteStatsTable[GroupByKey]=DiscreteStatsTable[[#This Row],[GroupByKey]])*DiscreteStatsTable[Average]))</f>
        <v>79.888714563311297</v>
      </c>
      <c r="S64" cm="1">
        <f t="array" ref="S64">MAX(IF((DiscreteStatsTable[GroupByKey]=DiscreteStatsTable[[#This Row],[GroupByKey]]),(DiscreteStatsTable[GroupByKey]=DiscreteStatsTable[[#This Row],[GroupByKey]])*DiscreteStatsTable[Average]))</f>
        <v>85.472032926843298</v>
      </c>
      <c r="T64" cm="1">
        <f t="array" ref="T64">MIN(IF((DiscreteStatsTable[GroupByKey]=DiscreteStatsTable[[#This Row],[GroupByKey]]),(DiscreteStatsTable[GroupByKey]=DiscreteStatsTable[[#This Row],[GroupByKey]])*DiscreteStatsTable[Minimum]))</f>
        <v>2.7999999993480702</v>
      </c>
      <c r="U64" cm="1">
        <f t="array" ref="U64">MAX(IF((DiscreteStatsTable[GroupByKey]=DiscreteStatsTable[[#This Row],[GroupByKey]]),(DiscreteStatsTable[GroupByKey]=DiscreteStatsTable[[#This Row],[GroupByKey]])*DiscreteStatsTable[Maximum]))</f>
        <v>845.65217638315505</v>
      </c>
      <c r="V64" cm="1">
        <f t="array" ref="V64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64">
        <f>IF((DiscreteStatsTable[[#This Row],[RepsRequested]]&gt;1),DiscreteStatsTable[[#This Row],[HalfWidth]],DiscreteStatsTable[[#This Row],[BatchMeansHalfWidth]])</f>
        <v>1.208981608749105</v>
      </c>
      <c r="X64" cm="1">
        <f t="array" ref="X64">COUNT(IF((DiscreteStatsTable[GroupByKey]=DiscreteStatsTable[[#This Row],[GroupByKey]]),(DiscreteStatsTable[GroupByKey]=DiscreteStatsTable[[#This Row],[GroupByKey]])*DiscreteStatsTable[Replication]))</f>
        <v>10</v>
      </c>
      <c r="Y64">
        <f>IF(DiscreteStatsTable[[#This Row],[RepsRequested]]=DiscreteStatsTable[[#This Row],[RepsWithStatObserved]],1,0)</f>
        <v>1</v>
      </c>
    </row>
    <row r="65" spans="1:25" x14ac:dyDescent="0.25">
      <c r="A65" t="s">
        <v>67</v>
      </c>
      <c r="B65" t="s">
        <v>69</v>
      </c>
      <c r="C65">
        <v>6</v>
      </c>
      <c r="D65" t="s">
        <v>75</v>
      </c>
      <c r="E65" t="s">
        <v>80</v>
      </c>
      <c r="F65" t="s">
        <v>77</v>
      </c>
      <c r="G65">
        <v>14.6618730503506</v>
      </c>
      <c r="H65">
        <v>0.16043253266340801</v>
      </c>
      <c r="I65">
        <v>2.7999999993480702</v>
      </c>
      <c r="J65">
        <v>129.55527617747401</v>
      </c>
      <c r="K65">
        <v>17101</v>
      </c>
      <c r="L65" t="str">
        <f>DiscreteStatsTable[[#This Row],[ProjectName]]&amp;DiscreteStatsTable[[#This Row],[Name]]&amp;DiscreteStatsTable[[#This Row],[Type]]&amp;DiscreteStatsTable[[#This Row],[Source]]</f>
        <v>Unnamed ProjectNewPartTransfer TimeEntity</v>
      </c>
      <c r="M65" cm="1">
        <f t="array" ref="M65">MAX(IF((ProjectInfoTable[ProjectName]=DiscreteStatsTable[[#This Row],[ProjectName]]),(ProjectInfoTable[ProjectName]=DiscreteStatsTable[[#This Row],[ProjectName]])*ProjectInfoTable[NumberOfReplications]))</f>
        <v>10</v>
      </c>
      <c r="N65" cm="1">
        <f t="array" ref="N65">IFERROR(AVERAGE(IF((DiscreteStatsTable[GroupByKey]=DiscreteStatsTable[[#This Row],[GroupByKey]]),(DiscreteStatsTable[GroupByKey]=DiscreteStatsTable[[#This Row],[GroupByKey]])*DiscreteStatsTable[Average])),0)</f>
        <v>14.7745214286692</v>
      </c>
      <c r="O65" cm="1">
        <f t="array" ref="O65">IFERROR(_xlfn.STDEV.S(IF((DiscreteStatsTable[GroupByKey]=DiscreteStatsTable[[#This Row],[GroupByKey]]),(DiscreteStatsTable[GroupByKey]=DiscreteStatsTable[[#This Row],[GroupByKey]])*DiscreteStatsTable[Average])),0)</f>
        <v>7.7759386666993585E-2</v>
      </c>
      <c r="P6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5.5625714256277083E-2</v>
      </c>
      <c r="R65" cm="1">
        <f t="array" ref="R65">MIN(IF((DiscreteStatsTable[GroupByKey]=DiscreteStatsTable[[#This Row],[GroupByKey]]),(DiscreteStatsTable[GroupByKey]=DiscreteStatsTable[[#This Row],[GroupByKey]])*DiscreteStatsTable[Average]))</f>
        <v>14.6618730503506</v>
      </c>
      <c r="S65" cm="1">
        <f t="array" ref="S65">MAX(IF((DiscreteStatsTable[GroupByKey]=DiscreteStatsTable[[#This Row],[GroupByKey]]),(DiscreteStatsTable[GroupByKey]=DiscreteStatsTable[[#This Row],[GroupByKey]])*DiscreteStatsTable[Average]))</f>
        <v>14.8939029254873</v>
      </c>
      <c r="T65" cm="1">
        <f t="array" ref="T65">MIN(IF((DiscreteStatsTable[GroupByKey]=DiscreteStatsTable[[#This Row],[GroupByKey]]),(DiscreteStatsTable[GroupByKey]=DiscreteStatsTable[[#This Row],[GroupByKey]])*DiscreteStatsTable[Minimum]))</f>
        <v>2.7999999993480702</v>
      </c>
      <c r="U65" cm="1">
        <f t="array" ref="U65">MAX(IF((DiscreteStatsTable[GroupByKey]=DiscreteStatsTable[[#This Row],[GroupByKey]]),(DiscreteStatsTable[GroupByKey]=DiscreteStatsTable[[#This Row],[GroupByKey]])*DiscreteStatsTable[Maximum]))</f>
        <v>238.155938771786</v>
      </c>
      <c r="V65" cm="1">
        <f t="array" ref="V65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65">
        <f>IF((DiscreteStatsTable[[#This Row],[RepsRequested]]&gt;1),DiscreteStatsTable[[#This Row],[HalfWidth]],DiscreteStatsTable[[#This Row],[BatchMeansHalfWidth]])</f>
        <v>5.5625714256277083E-2</v>
      </c>
      <c r="X65" cm="1">
        <f t="array" ref="X65">COUNT(IF((DiscreteStatsTable[GroupByKey]=DiscreteStatsTable[[#This Row],[GroupByKey]]),(DiscreteStatsTable[GroupByKey]=DiscreteStatsTable[[#This Row],[GroupByKey]])*DiscreteStatsTable[Replication]))</f>
        <v>10</v>
      </c>
      <c r="Y65">
        <f>IF(DiscreteStatsTable[[#This Row],[RepsRequested]]=DiscreteStatsTable[[#This Row],[RepsWithStatObserved]],1,0)</f>
        <v>1</v>
      </c>
    </row>
    <row r="66" spans="1:25" x14ac:dyDescent="0.25">
      <c r="A66" t="s">
        <v>67</v>
      </c>
      <c r="B66" t="s">
        <v>69</v>
      </c>
      <c r="C66">
        <v>6</v>
      </c>
      <c r="D66" t="s">
        <v>75</v>
      </c>
      <c r="E66" t="s">
        <v>81</v>
      </c>
      <c r="F66" t="s">
        <v>77</v>
      </c>
      <c r="G66">
        <v>2.8003040757850099</v>
      </c>
      <c r="H66">
        <v>3.4728260314930398E-2</v>
      </c>
      <c r="I66">
        <v>0</v>
      </c>
      <c r="J66">
        <v>8.0000000000145501</v>
      </c>
      <c r="K66">
        <v>17101</v>
      </c>
      <c r="L66" t="str">
        <f>DiscreteStatsTable[[#This Row],[ProjectName]]&amp;DiscreteStatsTable[[#This Row],[Name]]&amp;DiscreteStatsTable[[#This Row],[Type]]&amp;DiscreteStatsTable[[#This Row],[Source]]</f>
        <v>Unnamed ProjectNewPartVA TimeEntity</v>
      </c>
      <c r="M66" cm="1">
        <f t="array" ref="M66">MAX(IF((ProjectInfoTable[ProjectName]=DiscreteStatsTable[[#This Row],[ProjectName]]),(ProjectInfoTable[ProjectName]=DiscreteStatsTable[[#This Row],[ProjectName]])*ProjectInfoTable[NumberOfReplications]))</f>
        <v>10</v>
      </c>
      <c r="N66" cm="1">
        <f t="array" ref="N66">IFERROR(AVERAGE(IF((DiscreteStatsTable[GroupByKey]=DiscreteStatsTable[[#This Row],[GroupByKey]]),(DiscreteStatsTable[GroupByKey]=DiscreteStatsTable[[#This Row],[GroupByKey]])*DiscreteStatsTable[Average])),0)</f>
        <v>2.7815747315743584</v>
      </c>
      <c r="O66" cm="1">
        <f t="array" ref="O66">IFERROR(_xlfn.STDEV.S(IF((DiscreteStatsTable[GroupByKey]=DiscreteStatsTable[[#This Row],[GroupByKey]]),(DiscreteStatsTable[GroupByKey]=DiscreteStatsTable[[#This Row],[GroupByKey]])*DiscreteStatsTable[Average])),0)</f>
        <v>1.9879202576934346E-2</v>
      </c>
      <c r="P66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1.4220724848599816E-2</v>
      </c>
      <c r="R66" cm="1">
        <f t="array" ref="R66">MIN(IF((DiscreteStatsTable[GroupByKey]=DiscreteStatsTable[[#This Row],[GroupByKey]]),(DiscreteStatsTable[GroupByKey]=DiscreteStatsTable[[#This Row],[GroupByKey]])*DiscreteStatsTable[Average]))</f>
        <v>2.7543620985390902</v>
      </c>
      <c r="S66" cm="1">
        <f t="array" ref="S66">MAX(IF((DiscreteStatsTable[GroupByKey]=DiscreteStatsTable[[#This Row],[GroupByKey]]),(DiscreteStatsTable[GroupByKey]=DiscreteStatsTable[[#This Row],[GroupByKey]])*DiscreteStatsTable[Average]))</f>
        <v>2.8163573963120401</v>
      </c>
      <c r="T66" cm="1">
        <f t="array" ref="T66">MIN(IF((DiscreteStatsTable[GroupByKey]=DiscreteStatsTable[[#This Row],[GroupByKey]]),(DiscreteStatsTable[GroupByKey]=DiscreteStatsTable[[#This Row],[GroupByKey]])*DiscreteStatsTable[Minimum]))</f>
        <v>0</v>
      </c>
      <c r="U66" cm="1">
        <f t="array" ref="U66">MAX(IF((DiscreteStatsTable[GroupByKey]=DiscreteStatsTable[[#This Row],[GroupByKey]]),(DiscreteStatsTable[GroupByKey]=DiscreteStatsTable[[#This Row],[GroupByKey]])*DiscreteStatsTable[Maximum]))</f>
        <v>8.0000000000145501</v>
      </c>
      <c r="V66" cm="1">
        <f t="array" ref="V66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66">
        <f>IF((DiscreteStatsTable[[#This Row],[RepsRequested]]&gt;1),DiscreteStatsTable[[#This Row],[HalfWidth]],DiscreteStatsTable[[#This Row],[BatchMeansHalfWidth]])</f>
        <v>1.4220724848599816E-2</v>
      </c>
      <c r="X66" cm="1">
        <f t="array" ref="X66">COUNT(IF((DiscreteStatsTable[GroupByKey]=DiscreteStatsTable[[#This Row],[GroupByKey]]),(DiscreteStatsTable[GroupByKey]=DiscreteStatsTable[[#This Row],[GroupByKey]])*DiscreteStatsTable[Replication]))</f>
        <v>10</v>
      </c>
      <c r="Y66">
        <f>IF(DiscreteStatsTable[[#This Row],[RepsRequested]]=DiscreteStatsTable[[#This Row],[RepsWithStatObserved]],1,0)</f>
        <v>1</v>
      </c>
    </row>
    <row r="67" spans="1:25" x14ac:dyDescent="0.25">
      <c r="A67" t="s">
        <v>67</v>
      </c>
      <c r="B67" t="s">
        <v>69</v>
      </c>
      <c r="C67">
        <v>6</v>
      </c>
      <c r="D67" t="s">
        <v>75</v>
      </c>
      <c r="E67" t="s">
        <v>82</v>
      </c>
      <c r="F67" t="s">
        <v>77</v>
      </c>
      <c r="G67">
        <v>31.8400605329516</v>
      </c>
      <c r="H67">
        <v>2.9901003064142802</v>
      </c>
      <c r="I67">
        <v>0</v>
      </c>
      <c r="J67">
        <v>575.10310436639702</v>
      </c>
      <c r="K67">
        <v>17101</v>
      </c>
      <c r="L67" t="str">
        <f>DiscreteStatsTable[[#This Row],[ProjectName]]&amp;DiscreteStatsTable[[#This Row],[Name]]&amp;DiscreteStatsTable[[#This Row],[Type]]&amp;DiscreteStatsTable[[#This Row],[Source]]</f>
        <v>Unnamed ProjectNewPartWait TimeEntity</v>
      </c>
      <c r="M67" cm="1">
        <f t="array" ref="M67">MAX(IF((ProjectInfoTable[ProjectName]=DiscreteStatsTable[[#This Row],[ProjectName]]),(ProjectInfoTable[ProjectName]=DiscreteStatsTable[[#This Row],[ProjectName]])*ProjectInfoTable[NumberOfReplications]))</f>
        <v>10</v>
      </c>
      <c r="N67" cm="1">
        <f t="array" ref="N67">IFERROR(AVERAGE(IF((DiscreteStatsTable[GroupByKey]=DiscreteStatsTable[[#This Row],[GroupByKey]]),(DiscreteStatsTable[GroupByKey]=DiscreteStatsTable[[#This Row],[GroupByKey]])*DiscreteStatsTable[Average])),0)</f>
        <v>29.242698154379905</v>
      </c>
      <c r="O67" cm="1">
        <f t="array" ref="O67">IFERROR(_xlfn.STDEV.S(IF((DiscreteStatsTable[GroupByKey]=DiscreteStatsTable[[#This Row],[GroupByKey]]),(DiscreteStatsTable[GroupByKey]=DiscreteStatsTable[[#This Row],[GroupByKey]])*DiscreteStatsTable[Average])),0)</f>
        <v>1.5503795036667449</v>
      </c>
      <c r="P67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1.1090746848233775</v>
      </c>
      <c r="R67" cm="1">
        <f t="array" ref="R67">MIN(IF((DiscreteStatsTable[GroupByKey]=DiscreteStatsTable[[#This Row],[GroupByKey]]),(DiscreteStatsTable[GroupByKey]=DiscreteStatsTable[[#This Row],[GroupByKey]])*DiscreteStatsTable[Average]))</f>
        <v>26.632812348859499</v>
      </c>
      <c r="S67" cm="1">
        <f t="array" ref="S67">MAX(IF((DiscreteStatsTable[GroupByKey]=DiscreteStatsTable[[#This Row],[GroupByKey]]),(DiscreteStatsTable[GroupByKey]=DiscreteStatsTable[[#This Row],[GroupByKey]])*DiscreteStatsTable[Average]))</f>
        <v>31.8400605329516</v>
      </c>
      <c r="T67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cm="1">
        <f t="array" ref="U67">MAX(IF((DiscreteStatsTable[GroupByKey]=DiscreteStatsTable[[#This Row],[GroupByKey]]),(DiscreteStatsTable[GroupByKey]=DiscreteStatsTable[[#This Row],[GroupByKey]])*DiscreteStatsTable[Maximum]))</f>
        <v>707.09586624841904</v>
      </c>
      <c r="V67" cm="1">
        <f t="array" ref="V67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67">
        <f>IF((DiscreteStatsTable[[#This Row],[RepsRequested]]&gt;1),DiscreteStatsTable[[#This Row],[HalfWidth]],DiscreteStatsTable[[#This Row],[BatchMeansHalfWidth]])</f>
        <v>1.1090746848233775</v>
      </c>
      <c r="X67" cm="1">
        <f t="array" ref="X67">COUNT(IF((DiscreteStatsTable[GroupByKey]=DiscreteStatsTable[[#This Row],[GroupByKey]]),(DiscreteStatsTable[GroupByKey]=DiscreteStatsTable[[#This Row],[GroupByKey]])*DiscreteStatsTable[Replication]))</f>
        <v>10</v>
      </c>
      <c r="Y67">
        <f>IF(DiscreteStatsTable[[#This Row],[RepsRequested]]=DiscreteStatsTable[[#This Row],[RepsWithStatObserved]],1,0)</f>
        <v>1</v>
      </c>
    </row>
    <row r="68" spans="1:25" x14ac:dyDescent="0.25">
      <c r="A68" t="s">
        <v>67</v>
      </c>
      <c r="B68" t="s">
        <v>69</v>
      </c>
      <c r="C68">
        <v>7</v>
      </c>
      <c r="D68" t="s">
        <v>75</v>
      </c>
      <c r="E68" t="s">
        <v>76</v>
      </c>
      <c r="F68" t="s">
        <v>77</v>
      </c>
      <c r="G68">
        <v>0</v>
      </c>
      <c r="H68">
        <v>0</v>
      </c>
      <c r="I68">
        <v>0</v>
      </c>
      <c r="J68">
        <v>0</v>
      </c>
      <c r="K68">
        <v>17131</v>
      </c>
      <c r="L68" t="str">
        <f>DiscreteStatsTable[[#This Row],[ProjectName]]&amp;DiscreteStatsTable[[#This Row],[Name]]&amp;DiscreteStatsTable[[#This Row],[Type]]&amp;DiscreteStatsTable[[#This Row],[Source]]</f>
        <v>Unnamed ProjectNewPartNVA TimeEntity</v>
      </c>
      <c r="M68" cm="1">
        <f t="array" ref="M68">MAX(IF((ProjectInfoTable[ProjectName]=DiscreteStatsTable[[#This Row],[ProjectName]]),(ProjectInfoTable[ProjectName]=DiscreteStatsTable[[#This Row],[ProjectName]])*ProjectInfoTable[NumberOfReplications]))</f>
        <v>10</v>
      </c>
      <c r="N68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cm="1">
        <f t="array" ref="V68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68">
        <f>IF((DiscreteStatsTable[[#This Row],[RepsRequested]]&gt;1),DiscreteStatsTable[[#This Row],[HalfWidth]],DiscreteStatsTable[[#This Row],[BatchMeansHalfWidth]])</f>
        <v>0</v>
      </c>
      <c r="X68" cm="1">
        <f t="array" ref="X68">COUNT(IF((DiscreteStatsTable[GroupByKey]=DiscreteStatsTable[[#This Row],[GroupByKey]]),(DiscreteStatsTable[GroupByKey]=DiscreteStatsTable[[#This Row],[GroupByKey]])*DiscreteStatsTable[Replication]))</f>
        <v>10</v>
      </c>
      <c r="Y68">
        <f>IF(DiscreteStatsTable[[#This Row],[RepsRequested]]=DiscreteStatsTable[[#This Row],[RepsWithStatObserved]],1,0)</f>
        <v>1</v>
      </c>
    </row>
    <row r="69" spans="1:25" x14ac:dyDescent="0.25">
      <c r="A69" t="s">
        <v>67</v>
      </c>
      <c r="B69" t="s">
        <v>69</v>
      </c>
      <c r="C69">
        <v>7</v>
      </c>
      <c r="D69" t="s">
        <v>75</v>
      </c>
      <c r="E69" t="s">
        <v>78</v>
      </c>
      <c r="F69" t="s">
        <v>77</v>
      </c>
      <c r="G69">
        <v>35.744872869697197</v>
      </c>
      <c r="H69">
        <v>0.47718435532223202</v>
      </c>
      <c r="I69">
        <v>0</v>
      </c>
      <c r="J69">
        <v>138.72601066809099</v>
      </c>
      <c r="K69">
        <v>17131</v>
      </c>
      <c r="L69" t="str">
        <f>DiscreteStatsTable[[#This Row],[ProjectName]]&amp;DiscreteStatsTable[[#This Row],[Name]]&amp;DiscreteStatsTable[[#This Row],[Type]]&amp;DiscreteStatsTable[[#This Row],[Source]]</f>
        <v>Unnamed ProjectNewPartOther TimeEntity</v>
      </c>
      <c r="M69" cm="1">
        <f t="array" ref="M69">MAX(IF((ProjectInfoTable[ProjectName]=DiscreteStatsTable[[#This Row],[ProjectName]]),(ProjectInfoTable[ProjectName]=DiscreteStatsTable[[#This Row],[ProjectName]])*ProjectInfoTable[NumberOfReplications]))</f>
        <v>10</v>
      </c>
      <c r="N69" cm="1">
        <f t="array" ref="N69">IFERROR(AVERAGE(IF((DiscreteStatsTable[GroupByKey]=DiscreteStatsTable[[#This Row],[GroupByKey]]),(DiscreteStatsTable[GroupByKey]=DiscreteStatsTable[[#This Row],[GroupByKey]])*DiscreteStatsTable[Average])),0)</f>
        <v>35.934414689251412</v>
      </c>
      <c r="O69" cm="1">
        <f t="array" ref="O69">IFERROR(_xlfn.STDEV.S(IF((DiscreteStatsTable[GroupByKey]=DiscreteStatsTable[[#This Row],[GroupByKey]]),(DiscreteStatsTable[GroupByKey]=DiscreteStatsTable[[#This Row],[GroupByKey]])*DiscreteStatsTable[Average])),0)</f>
        <v>0.26771685495243369</v>
      </c>
      <c r="P69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0.19151310103497018</v>
      </c>
      <c r="R69" cm="1">
        <f t="array" ref="R69">MIN(IF((DiscreteStatsTable[GroupByKey]=DiscreteStatsTable[[#This Row],[GroupByKey]]),(DiscreteStatsTable[GroupByKey]=DiscreteStatsTable[[#This Row],[GroupByKey]])*DiscreteStatsTable[Average]))</f>
        <v>35.585131921280997</v>
      </c>
      <c r="S69" cm="1">
        <f t="array" ref="S69">MAX(IF((DiscreteStatsTable[GroupByKey]=DiscreteStatsTable[[#This Row],[GroupByKey]]),(DiscreteStatsTable[GroupByKey]=DiscreteStatsTable[[#This Row],[GroupByKey]])*DiscreteStatsTable[Average]))</f>
        <v>36.412431328094101</v>
      </c>
      <c r="T69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cm="1">
        <f t="array" ref="U69">MAX(IF((DiscreteStatsTable[GroupByKey]=DiscreteStatsTable[[#This Row],[GroupByKey]]),(DiscreteStatsTable[GroupByKey]=DiscreteStatsTable[[#This Row],[GroupByKey]])*DiscreteStatsTable[Maximum]))</f>
        <v>139.43951735453399</v>
      </c>
      <c r="V69" cm="1">
        <f t="array" ref="V69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69">
        <f>IF((DiscreteStatsTable[[#This Row],[RepsRequested]]&gt;1),DiscreteStatsTable[[#This Row],[HalfWidth]],DiscreteStatsTable[[#This Row],[BatchMeansHalfWidth]])</f>
        <v>0.19151310103497018</v>
      </c>
      <c r="X69" cm="1">
        <f t="array" ref="X69">COUNT(IF((DiscreteStatsTable[GroupByKey]=DiscreteStatsTable[[#This Row],[GroupByKey]]),(DiscreteStatsTable[GroupByKey]=DiscreteStatsTable[[#This Row],[GroupByKey]])*DiscreteStatsTable[Replication]))</f>
        <v>10</v>
      </c>
      <c r="Y69">
        <f>IF(DiscreteStatsTable[[#This Row],[RepsRequested]]=DiscreteStatsTable[[#This Row],[RepsWithStatObserved]],1,0)</f>
        <v>1</v>
      </c>
    </row>
    <row r="70" spans="1:25" x14ac:dyDescent="0.25">
      <c r="A70" t="s">
        <v>67</v>
      </c>
      <c r="B70" t="s">
        <v>69</v>
      </c>
      <c r="C70">
        <v>7</v>
      </c>
      <c r="D70" t="s">
        <v>75</v>
      </c>
      <c r="E70" t="s">
        <v>79</v>
      </c>
      <c r="F70" t="s">
        <v>77</v>
      </c>
      <c r="G70">
        <v>81.586170891836005</v>
      </c>
      <c r="H70">
        <v>2.9001388277613098</v>
      </c>
      <c r="I70">
        <v>2.7999999993480702</v>
      </c>
      <c r="J70">
        <v>817.73990990815196</v>
      </c>
      <c r="K70">
        <v>17131</v>
      </c>
      <c r="L70" t="str">
        <f>DiscreteStatsTable[[#This Row],[ProjectName]]&amp;DiscreteStatsTable[[#This Row],[Name]]&amp;DiscreteStatsTable[[#This Row],[Type]]&amp;DiscreteStatsTable[[#This Row],[Source]]</f>
        <v>Unnamed ProjectNewPartTotal TimeEntity</v>
      </c>
      <c r="M70" cm="1">
        <f t="array" ref="M70">MAX(IF((ProjectInfoTable[ProjectName]=DiscreteStatsTable[[#This Row],[ProjectName]]),(ProjectInfoTable[ProjectName]=DiscreteStatsTable[[#This Row],[ProjectName]])*ProjectInfoTable[NumberOfReplications]))</f>
        <v>10</v>
      </c>
      <c r="N70" cm="1">
        <f t="array" ref="N70">IFERROR(AVERAGE(IF((DiscreteStatsTable[GroupByKey]=DiscreteStatsTable[[#This Row],[GroupByKey]]),(DiscreteStatsTable[GroupByKey]=DiscreteStatsTable[[#This Row],[GroupByKey]])*DiscreteStatsTable[Average])),0)</f>
        <v>82.733209003874819</v>
      </c>
      <c r="O70" cm="1">
        <f t="array" ref="O70">IFERROR(_xlfn.STDEV.S(IF((DiscreteStatsTable[GroupByKey]=DiscreteStatsTable[[#This Row],[GroupByKey]]),(DiscreteStatsTable[GroupByKey]=DiscreteStatsTable[[#This Row],[GroupByKey]])*DiscreteStatsTable[Average])),0)</f>
        <v>1.6900397531056797</v>
      </c>
      <c r="P70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1.208981608749105</v>
      </c>
      <c r="R70" cm="1">
        <f t="array" ref="R70">MIN(IF((DiscreteStatsTable[GroupByKey]=DiscreteStatsTable[[#This Row],[GroupByKey]]),(DiscreteStatsTable[GroupByKey]=DiscreteStatsTable[[#This Row],[GroupByKey]])*DiscreteStatsTable[Average]))</f>
        <v>79.888714563311297</v>
      </c>
      <c r="S70" cm="1">
        <f t="array" ref="S70">MAX(IF((DiscreteStatsTable[GroupByKey]=DiscreteStatsTable[[#This Row],[GroupByKey]]),(DiscreteStatsTable[GroupByKey]=DiscreteStatsTable[[#This Row],[GroupByKey]])*DiscreteStatsTable[Average]))</f>
        <v>85.472032926843298</v>
      </c>
      <c r="T70" cm="1">
        <f t="array" ref="T70">MIN(IF((DiscreteStatsTable[GroupByKey]=DiscreteStatsTable[[#This Row],[GroupByKey]]),(DiscreteStatsTable[GroupByKey]=DiscreteStatsTable[[#This Row],[GroupByKey]])*DiscreteStatsTable[Minimum]))</f>
        <v>2.7999999993480702</v>
      </c>
      <c r="U70" cm="1">
        <f t="array" ref="U70">MAX(IF((DiscreteStatsTable[GroupByKey]=DiscreteStatsTable[[#This Row],[GroupByKey]]),(DiscreteStatsTable[GroupByKey]=DiscreteStatsTable[[#This Row],[GroupByKey]])*DiscreteStatsTable[Maximum]))</f>
        <v>845.65217638315505</v>
      </c>
      <c r="V70" cm="1">
        <f t="array" ref="V70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70">
        <f>IF((DiscreteStatsTable[[#This Row],[RepsRequested]]&gt;1),DiscreteStatsTable[[#This Row],[HalfWidth]],DiscreteStatsTable[[#This Row],[BatchMeansHalfWidth]])</f>
        <v>1.208981608749105</v>
      </c>
      <c r="X70" cm="1">
        <f t="array" ref="X70">COUNT(IF((DiscreteStatsTable[GroupByKey]=DiscreteStatsTable[[#This Row],[GroupByKey]]),(DiscreteStatsTable[GroupByKey]=DiscreteStatsTable[[#This Row],[GroupByKey]])*DiscreteStatsTable[Replication]))</f>
        <v>10</v>
      </c>
      <c r="Y70">
        <f>IF(DiscreteStatsTable[[#This Row],[RepsRequested]]=DiscreteStatsTable[[#This Row],[RepsWithStatObserved]],1,0)</f>
        <v>1</v>
      </c>
    </row>
    <row r="71" spans="1:25" x14ac:dyDescent="0.25">
      <c r="A71" t="s">
        <v>67</v>
      </c>
      <c r="B71" t="s">
        <v>69</v>
      </c>
      <c r="C71">
        <v>7</v>
      </c>
      <c r="D71" t="s">
        <v>75</v>
      </c>
      <c r="E71" t="s">
        <v>80</v>
      </c>
      <c r="F71" t="s">
        <v>77</v>
      </c>
      <c r="G71">
        <v>14.7731790170455</v>
      </c>
      <c r="H71">
        <v>0.181745938056951</v>
      </c>
      <c r="I71">
        <v>2.7999999993480702</v>
      </c>
      <c r="J71">
        <v>106.05116134957601</v>
      </c>
      <c r="K71">
        <v>17131</v>
      </c>
      <c r="L71" t="str">
        <f>DiscreteStatsTable[[#This Row],[ProjectName]]&amp;DiscreteStatsTable[[#This Row],[Name]]&amp;DiscreteStatsTable[[#This Row],[Type]]&amp;DiscreteStatsTable[[#This Row],[Source]]</f>
        <v>Unnamed ProjectNewPartTransfer TimeEntity</v>
      </c>
      <c r="M71" cm="1">
        <f t="array" ref="M71">MAX(IF((ProjectInfoTable[ProjectName]=DiscreteStatsTable[[#This Row],[ProjectName]]),(ProjectInfoTable[ProjectName]=DiscreteStatsTable[[#This Row],[ProjectName]])*ProjectInfoTable[NumberOfReplications]))</f>
        <v>10</v>
      </c>
      <c r="N71" cm="1">
        <f t="array" ref="N71">IFERROR(AVERAGE(IF((DiscreteStatsTable[GroupByKey]=DiscreteStatsTable[[#This Row],[GroupByKey]]),(DiscreteStatsTable[GroupByKey]=DiscreteStatsTable[[#This Row],[GroupByKey]])*DiscreteStatsTable[Average])),0)</f>
        <v>14.7745214286692</v>
      </c>
      <c r="O71" cm="1">
        <f t="array" ref="O71">IFERROR(_xlfn.STDEV.S(IF((DiscreteStatsTable[GroupByKey]=DiscreteStatsTable[[#This Row],[GroupByKey]]),(DiscreteStatsTable[GroupByKey]=DiscreteStatsTable[[#This Row],[GroupByKey]])*DiscreteStatsTable[Average])),0)</f>
        <v>7.7759386666993585E-2</v>
      </c>
      <c r="P71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5.5625714256277083E-2</v>
      </c>
      <c r="R71" cm="1">
        <f t="array" ref="R71">MIN(IF((DiscreteStatsTable[GroupByKey]=DiscreteStatsTable[[#This Row],[GroupByKey]]),(DiscreteStatsTable[GroupByKey]=DiscreteStatsTable[[#This Row],[GroupByKey]])*DiscreteStatsTable[Average]))</f>
        <v>14.6618730503506</v>
      </c>
      <c r="S71" cm="1">
        <f t="array" ref="S71">MAX(IF((DiscreteStatsTable[GroupByKey]=DiscreteStatsTable[[#This Row],[GroupByKey]]),(DiscreteStatsTable[GroupByKey]=DiscreteStatsTable[[#This Row],[GroupByKey]])*DiscreteStatsTable[Average]))</f>
        <v>14.8939029254873</v>
      </c>
      <c r="T71" cm="1">
        <f t="array" ref="T71">MIN(IF((DiscreteStatsTable[GroupByKey]=DiscreteStatsTable[[#This Row],[GroupByKey]]),(DiscreteStatsTable[GroupByKey]=DiscreteStatsTable[[#This Row],[GroupByKey]])*DiscreteStatsTable[Minimum]))</f>
        <v>2.7999999993480702</v>
      </c>
      <c r="U71" cm="1">
        <f t="array" ref="U71">MAX(IF((DiscreteStatsTable[GroupByKey]=DiscreteStatsTable[[#This Row],[GroupByKey]]),(DiscreteStatsTable[GroupByKey]=DiscreteStatsTable[[#This Row],[GroupByKey]])*DiscreteStatsTable[Maximum]))</f>
        <v>238.155938771786</v>
      </c>
      <c r="V71" cm="1">
        <f t="array" ref="V71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71">
        <f>IF((DiscreteStatsTable[[#This Row],[RepsRequested]]&gt;1),DiscreteStatsTable[[#This Row],[HalfWidth]],DiscreteStatsTable[[#This Row],[BatchMeansHalfWidth]])</f>
        <v>5.5625714256277083E-2</v>
      </c>
      <c r="X71" cm="1">
        <f t="array" ref="X71">COUNT(IF((DiscreteStatsTable[GroupByKey]=DiscreteStatsTable[[#This Row],[GroupByKey]]),(DiscreteStatsTable[GroupByKey]=DiscreteStatsTable[[#This Row],[GroupByKey]])*DiscreteStatsTable[Replication]))</f>
        <v>10</v>
      </c>
      <c r="Y71">
        <f>IF(DiscreteStatsTable[[#This Row],[RepsRequested]]=DiscreteStatsTable[[#This Row],[RepsWithStatObserved]],1,0)</f>
        <v>1</v>
      </c>
    </row>
    <row r="72" spans="1:25" x14ac:dyDescent="0.25">
      <c r="A72" t="s">
        <v>67</v>
      </c>
      <c r="B72" t="s">
        <v>69</v>
      </c>
      <c r="C72">
        <v>7</v>
      </c>
      <c r="D72" t="s">
        <v>75</v>
      </c>
      <c r="E72" t="s">
        <v>81</v>
      </c>
      <c r="F72" t="s">
        <v>77</v>
      </c>
      <c r="G72">
        <v>2.7711166890432599</v>
      </c>
      <c r="H72">
        <v>3.6649695485378497E-2</v>
      </c>
      <c r="I72">
        <v>0</v>
      </c>
      <c r="J72">
        <v>8</v>
      </c>
      <c r="K72">
        <v>17131</v>
      </c>
      <c r="L72" t="str">
        <f>DiscreteStatsTable[[#This Row],[ProjectName]]&amp;DiscreteStatsTable[[#This Row],[Name]]&amp;DiscreteStatsTable[[#This Row],[Type]]&amp;DiscreteStatsTable[[#This Row],[Source]]</f>
        <v>Unnamed ProjectNewPartVA TimeEntity</v>
      </c>
      <c r="M72" cm="1">
        <f t="array" ref="M72">MAX(IF((ProjectInfoTable[ProjectName]=DiscreteStatsTable[[#This Row],[ProjectName]]),(ProjectInfoTable[ProjectName]=DiscreteStatsTable[[#This Row],[ProjectName]])*ProjectInfoTable[NumberOfReplications]))</f>
        <v>10</v>
      </c>
      <c r="N72" cm="1">
        <f t="array" ref="N72">IFERROR(AVERAGE(IF((DiscreteStatsTable[GroupByKey]=DiscreteStatsTable[[#This Row],[GroupByKey]]),(DiscreteStatsTable[GroupByKey]=DiscreteStatsTable[[#This Row],[GroupByKey]])*DiscreteStatsTable[Average])),0)</f>
        <v>2.7815747315743584</v>
      </c>
      <c r="O72" cm="1">
        <f t="array" ref="O72">IFERROR(_xlfn.STDEV.S(IF((DiscreteStatsTable[GroupByKey]=DiscreteStatsTable[[#This Row],[GroupByKey]]),(DiscreteStatsTable[GroupByKey]=DiscreteStatsTable[[#This Row],[GroupByKey]])*DiscreteStatsTable[Average])),0)</f>
        <v>1.9879202576934346E-2</v>
      </c>
      <c r="P72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1.4220724848599816E-2</v>
      </c>
      <c r="R72" cm="1">
        <f t="array" ref="R72">MIN(IF((DiscreteStatsTable[GroupByKey]=DiscreteStatsTable[[#This Row],[GroupByKey]]),(DiscreteStatsTable[GroupByKey]=DiscreteStatsTable[[#This Row],[GroupByKey]])*DiscreteStatsTable[Average]))</f>
        <v>2.7543620985390902</v>
      </c>
      <c r="S72" cm="1">
        <f t="array" ref="S72">MAX(IF((DiscreteStatsTable[GroupByKey]=DiscreteStatsTable[[#This Row],[GroupByKey]]),(DiscreteStatsTable[GroupByKey]=DiscreteStatsTable[[#This Row],[GroupByKey]])*DiscreteStatsTable[Average]))</f>
        <v>2.8163573963120401</v>
      </c>
      <c r="T72" cm="1">
        <f t="array" ref="T72">MIN(IF((DiscreteStatsTable[GroupByKey]=DiscreteStatsTable[[#This Row],[GroupByKey]]),(DiscreteStatsTable[GroupByKey]=DiscreteStatsTable[[#This Row],[GroupByKey]])*DiscreteStatsTable[Minimum]))</f>
        <v>0</v>
      </c>
      <c r="U72" cm="1">
        <f t="array" ref="U72">MAX(IF((DiscreteStatsTable[GroupByKey]=DiscreteStatsTable[[#This Row],[GroupByKey]]),(DiscreteStatsTable[GroupByKey]=DiscreteStatsTable[[#This Row],[GroupByKey]])*DiscreteStatsTable[Maximum]))</f>
        <v>8.0000000000145501</v>
      </c>
      <c r="V72" cm="1">
        <f t="array" ref="V72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72">
        <f>IF((DiscreteStatsTable[[#This Row],[RepsRequested]]&gt;1),DiscreteStatsTable[[#This Row],[HalfWidth]],DiscreteStatsTable[[#This Row],[BatchMeansHalfWidth]])</f>
        <v>1.4220724848599816E-2</v>
      </c>
      <c r="X72" cm="1">
        <f t="array" ref="X72">COUNT(IF((DiscreteStatsTable[GroupByKey]=DiscreteStatsTable[[#This Row],[GroupByKey]]),(DiscreteStatsTable[GroupByKey]=DiscreteStatsTable[[#This Row],[GroupByKey]])*DiscreteStatsTable[Replication]))</f>
        <v>10</v>
      </c>
      <c r="Y72">
        <f>IF(DiscreteStatsTable[[#This Row],[RepsRequested]]=DiscreteStatsTable[[#This Row],[RepsWithStatObserved]],1,0)</f>
        <v>1</v>
      </c>
    </row>
    <row r="73" spans="1:25" x14ac:dyDescent="0.25">
      <c r="A73" t="s">
        <v>67</v>
      </c>
      <c r="B73" t="s">
        <v>69</v>
      </c>
      <c r="C73">
        <v>7</v>
      </c>
      <c r="D73" t="s">
        <v>75</v>
      </c>
      <c r="E73" t="s">
        <v>82</v>
      </c>
      <c r="F73" t="s">
        <v>77</v>
      </c>
      <c r="G73">
        <v>28.297002316050399</v>
      </c>
      <c r="H73">
        <v>2.59455526363497</v>
      </c>
      <c r="I73">
        <v>0</v>
      </c>
      <c r="J73">
        <v>664.06479787867295</v>
      </c>
      <c r="K73">
        <v>17131</v>
      </c>
      <c r="L73" t="str">
        <f>DiscreteStatsTable[[#This Row],[ProjectName]]&amp;DiscreteStatsTable[[#This Row],[Name]]&amp;DiscreteStatsTable[[#This Row],[Type]]&amp;DiscreteStatsTable[[#This Row],[Source]]</f>
        <v>Unnamed ProjectNewPartWait TimeEntity</v>
      </c>
      <c r="M73" cm="1">
        <f t="array" ref="M73">MAX(IF((ProjectInfoTable[ProjectName]=DiscreteStatsTable[[#This Row],[ProjectName]]),(ProjectInfoTable[ProjectName]=DiscreteStatsTable[[#This Row],[ProjectName]])*ProjectInfoTable[NumberOfReplications]))</f>
        <v>10</v>
      </c>
      <c r="N73" cm="1">
        <f t="array" ref="N73">IFERROR(AVERAGE(IF((DiscreteStatsTable[GroupByKey]=DiscreteStatsTable[[#This Row],[GroupByKey]]),(DiscreteStatsTable[GroupByKey]=DiscreteStatsTable[[#This Row],[GroupByKey]])*DiscreteStatsTable[Average])),0)</f>
        <v>29.242698154379905</v>
      </c>
      <c r="O73" cm="1">
        <f t="array" ref="O73">IFERROR(_xlfn.STDEV.S(IF((DiscreteStatsTable[GroupByKey]=DiscreteStatsTable[[#This Row],[GroupByKey]]),(DiscreteStatsTable[GroupByKey]=DiscreteStatsTable[[#This Row],[GroupByKey]])*DiscreteStatsTable[Average])),0)</f>
        <v>1.5503795036667449</v>
      </c>
      <c r="P73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1.1090746848233775</v>
      </c>
      <c r="R73" cm="1">
        <f t="array" ref="R73">MIN(IF((DiscreteStatsTable[GroupByKey]=DiscreteStatsTable[[#This Row],[GroupByKey]]),(DiscreteStatsTable[GroupByKey]=DiscreteStatsTable[[#This Row],[GroupByKey]])*DiscreteStatsTable[Average]))</f>
        <v>26.632812348859499</v>
      </c>
      <c r="S73" cm="1">
        <f t="array" ref="S73">MAX(IF((DiscreteStatsTable[GroupByKey]=DiscreteStatsTable[[#This Row],[GroupByKey]]),(DiscreteStatsTable[GroupByKey]=DiscreteStatsTable[[#This Row],[GroupByKey]])*DiscreteStatsTable[Average]))</f>
        <v>31.8400605329516</v>
      </c>
      <c r="T73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cm="1">
        <f t="array" ref="U73">MAX(IF((DiscreteStatsTable[GroupByKey]=DiscreteStatsTable[[#This Row],[GroupByKey]]),(DiscreteStatsTable[GroupByKey]=DiscreteStatsTable[[#This Row],[GroupByKey]])*DiscreteStatsTable[Maximum]))</f>
        <v>707.09586624841904</v>
      </c>
      <c r="V73" cm="1">
        <f t="array" ref="V73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73">
        <f>IF((DiscreteStatsTable[[#This Row],[RepsRequested]]&gt;1),DiscreteStatsTable[[#This Row],[HalfWidth]],DiscreteStatsTable[[#This Row],[BatchMeansHalfWidth]])</f>
        <v>1.1090746848233775</v>
      </c>
      <c r="X73" cm="1">
        <f t="array" ref="X73">COUNT(IF((DiscreteStatsTable[GroupByKey]=DiscreteStatsTable[[#This Row],[GroupByKey]]),(DiscreteStatsTable[GroupByKey]=DiscreteStatsTable[[#This Row],[GroupByKey]])*DiscreteStatsTable[Replication]))</f>
        <v>10</v>
      </c>
      <c r="Y73">
        <f>IF(DiscreteStatsTable[[#This Row],[RepsRequested]]=DiscreteStatsTable[[#This Row],[RepsWithStatObserved]],1,0)</f>
        <v>1</v>
      </c>
    </row>
    <row r="74" spans="1:25" x14ac:dyDescent="0.25">
      <c r="A74" t="s">
        <v>67</v>
      </c>
      <c r="B74" t="s">
        <v>69</v>
      </c>
      <c r="C74">
        <v>8</v>
      </c>
      <c r="D74" t="s">
        <v>75</v>
      </c>
      <c r="E74" t="s">
        <v>76</v>
      </c>
      <c r="F74" t="s">
        <v>77</v>
      </c>
      <c r="G74">
        <v>0</v>
      </c>
      <c r="H74">
        <v>0</v>
      </c>
      <c r="I74">
        <v>0</v>
      </c>
      <c r="J74">
        <v>0</v>
      </c>
      <c r="K74">
        <v>16909</v>
      </c>
      <c r="L74" t="str">
        <f>DiscreteStatsTable[[#This Row],[ProjectName]]&amp;DiscreteStatsTable[[#This Row],[Name]]&amp;DiscreteStatsTable[[#This Row],[Type]]&amp;DiscreteStatsTable[[#This Row],[Source]]</f>
        <v>Unnamed ProjectNewPartNVA TimeEntity</v>
      </c>
      <c r="M74" cm="1">
        <f t="array" ref="M74">MAX(IF((ProjectInfoTable[ProjectName]=DiscreteStatsTable[[#This Row],[ProjectName]]),(ProjectInfoTable[ProjectName]=DiscreteStatsTable[[#This Row],[ProjectName]])*ProjectInfoTable[NumberOfReplications]))</f>
        <v>10</v>
      </c>
      <c r="N74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cm="1">
        <f t="array" ref="V74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74">
        <f>IF((DiscreteStatsTable[[#This Row],[RepsRequested]]&gt;1),DiscreteStatsTable[[#This Row],[HalfWidth]],DiscreteStatsTable[[#This Row],[BatchMeansHalfWidth]])</f>
        <v>0</v>
      </c>
      <c r="X74" cm="1">
        <f t="array" ref="X74">COUNT(IF((DiscreteStatsTable[GroupByKey]=DiscreteStatsTable[[#This Row],[GroupByKey]]),(DiscreteStatsTable[GroupByKey]=DiscreteStatsTable[[#This Row],[GroupByKey]])*DiscreteStatsTable[Replication]))</f>
        <v>10</v>
      </c>
      <c r="Y74">
        <f>IF(DiscreteStatsTable[[#This Row],[RepsRequested]]=DiscreteStatsTable[[#This Row],[RepsWithStatObserved]],1,0)</f>
        <v>1</v>
      </c>
    </row>
    <row r="75" spans="1:25" x14ac:dyDescent="0.25">
      <c r="A75" t="s">
        <v>67</v>
      </c>
      <c r="B75" t="s">
        <v>69</v>
      </c>
      <c r="C75">
        <v>8</v>
      </c>
      <c r="D75" t="s">
        <v>75</v>
      </c>
      <c r="E75" t="s">
        <v>78</v>
      </c>
      <c r="F75" t="s">
        <v>77</v>
      </c>
      <c r="G75">
        <v>35.974749186311797</v>
      </c>
      <c r="H75">
        <v>0.60972586347972202</v>
      </c>
      <c r="I75">
        <v>0</v>
      </c>
      <c r="J75">
        <v>139.43951735453399</v>
      </c>
      <c r="K75">
        <v>16909</v>
      </c>
      <c r="L75" t="str">
        <f>DiscreteStatsTable[[#This Row],[ProjectName]]&amp;DiscreteStatsTable[[#This Row],[Name]]&amp;DiscreteStatsTable[[#This Row],[Type]]&amp;DiscreteStatsTable[[#This Row],[Source]]</f>
        <v>Unnamed ProjectNewPartOther TimeEntity</v>
      </c>
      <c r="M75" cm="1">
        <f t="array" ref="M75">MAX(IF((ProjectInfoTable[ProjectName]=DiscreteStatsTable[[#This Row],[ProjectName]]),(ProjectInfoTable[ProjectName]=DiscreteStatsTable[[#This Row],[ProjectName]])*ProjectInfoTable[NumberOfReplications]))</f>
        <v>10</v>
      </c>
      <c r="N75" cm="1">
        <f t="array" ref="N75">IFERROR(AVERAGE(IF((DiscreteStatsTable[GroupByKey]=DiscreteStatsTable[[#This Row],[GroupByKey]]),(DiscreteStatsTable[GroupByKey]=DiscreteStatsTable[[#This Row],[GroupByKey]])*DiscreteStatsTable[Average])),0)</f>
        <v>35.934414689251412</v>
      </c>
      <c r="O75" cm="1">
        <f t="array" ref="O75">IFERROR(_xlfn.STDEV.S(IF((DiscreteStatsTable[GroupByKey]=DiscreteStatsTable[[#This Row],[GroupByKey]]),(DiscreteStatsTable[GroupByKey]=DiscreteStatsTable[[#This Row],[GroupByKey]])*DiscreteStatsTable[Average])),0)</f>
        <v>0.26771685495243369</v>
      </c>
      <c r="P7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0.19151310103497018</v>
      </c>
      <c r="R75" cm="1">
        <f t="array" ref="R75">MIN(IF((DiscreteStatsTable[GroupByKey]=DiscreteStatsTable[[#This Row],[GroupByKey]]),(DiscreteStatsTable[GroupByKey]=DiscreteStatsTable[[#This Row],[GroupByKey]])*DiscreteStatsTable[Average]))</f>
        <v>35.585131921280997</v>
      </c>
      <c r="S75" cm="1">
        <f t="array" ref="S75">MAX(IF((DiscreteStatsTable[GroupByKey]=DiscreteStatsTable[[#This Row],[GroupByKey]]),(DiscreteStatsTable[GroupByKey]=DiscreteStatsTable[[#This Row],[GroupByKey]])*DiscreteStatsTable[Average]))</f>
        <v>36.412431328094101</v>
      </c>
      <c r="T7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cm="1">
        <f t="array" ref="U75">MAX(IF((DiscreteStatsTable[GroupByKey]=DiscreteStatsTable[[#This Row],[GroupByKey]]),(DiscreteStatsTable[GroupByKey]=DiscreteStatsTable[[#This Row],[GroupByKey]])*DiscreteStatsTable[Maximum]))</f>
        <v>139.43951735453399</v>
      </c>
      <c r="V75" cm="1">
        <f t="array" ref="V75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75">
        <f>IF((DiscreteStatsTable[[#This Row],[RepsRequested]]&gt;1),DiscreteStatsTable[[#This Row],[HalfWidth]],DiscreteStatsTable[[#This Row],[BatchMeansHalfWidth]])</f>
        <v>0.19151310103497018</v>
      </c>
      <c r="X75" cm="1">
        <f t="array" ref="X75">COUNT(IF((DiscreteStatsTable[GroupByKey]=DiscreteStatsTable[[#This Row],[GroupByKey]]),(DiscreteStatsTable[GroupByKey]=DiscreteStatsTable[[#This Row],[GroupByKey]])*DiscreteStatsTable[Replication]))</f>
        <v>10</v>
      </c>
      <c r="Y75">
        <f>IF(DiscreteStatsTable[[#This Row],[RepsRequested]]=DiscreteStatsTable[[#This Row],[RepsWithStatObserved]],1,0)</f>
        <v>1</v>
      </c>
    </row>
    <row r="76" spans="1:25" x14ac:dyDescent="0.25">
      <c r="A76" t="s">
        <v>67</v>
      </c>
      <c r="B76" t="s">
        <v>69</v>
      </c>
      <c r="C76">
        <v>8</v>
      </c>
      <c r="D76" t="s">
        <v>75</v>
      </c>
      <c r="E76" t="s">
        <v>79</v>
      </c>
      <c r="F76" t="s">
        <v>77</v>
      </c>
      <c r="G76">
        <v>82.482794126766706</v>
      </c>
      <c r="H76">
        <v>2.6344269110518401</v>
      </c>
      <c r="I76">
        <v>2.7999999993480702</v>
      </c>
      <c r="J76">
        <v>639.12123771314498</v>
      </c>
      <c r="K76">
        <v>16909</v>
      </c>
      <c r="L76" t="str">
        <f>DiscreteStatsTable[[#This Row],[ProjectName]]&amp;DiscreteStatsTable[[#This Row],[Name]]&amp;DiscreteStatsTable[[#This Row],[Type]]&amp;DiscreteStatsTable[[#This Row],[Source]]</f>
        <v>Unnamed ProjectNewPartTotal TimeEntity</v>
      </c>
      <c r="M76" cm="1">
        <f t="array" ref="M76">MAX(IF((ProjectInfoTable[ProjectName]=DiscreteStatsTable[[#This Row],[ProjectName]]),(ProjectInfoTable[ProjectName]=DiscreteStatsTable[[#This Row],[ProjectName]])*ProjectInfoTable[NumberOfReplications]))</f>
        <v>10</v>
      </c>
      <c r="N76" cm="1">
        <f t="array" ref="N76">IFERROR(AVERAGE(IF((DiscreteStatsTable[GroupByKey]=DiscreteStatsTable[[#This Row],[GroupByKey]]),(DiscreteStatsTable[GroupByKey]=DiscreteStatsTable[[#This Row],[GroupByKey]])*DiscreteStatsTable[Average])),0)</f>
        <v>82.733209003874819</v>
      </c>
      <c r="O76" cm="1">
        <f t="array" ref="O76">IFERROR(_xlfn.STDEV.S(IF((DiscreteStatsTable[GroupByKey]=DiscreteStatsTable[[#This Row],[GroupByKey]]),(DiscreteStatsTable[GroupByKey]=DiscreteStatsTable[[#This Row],[GroupByKey]])*DiscreteStatsTable[Average])),0)</f>
        <v>1.6900397531056797</v>
      </c>
      <c r="P76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1.208981608749105</v>
      </c>
      <c r="R76" cm="1">
        <f t="array" ref="R76">MIN(IF((DiscreteStatsTable[GroupByKey]=DiscreteStatsTable[[#This Row],[GroupByKey]]),(DiscreteStatsTable[GroupByKey]=DiscreteStatsTable[[#This Row],[GroupByKey]])*DiscreteStatsTable[Average]))</f>
        <v>79.888714563311297</v>
      </c>
      <c r="S76" cm="1">
        <f t="array" ref="S76">MAX(IF((DiscreteStatsTable[GroupByKey]=DiscreteStatsTable[[#This Row],[GroupByKey]]),(DiscreteStatsTable[GroupByKey]=DiscreteStatsTable[[#This Row],[GroupByKey]])*DiscreteStatsTable[Average]))</f>
        <v>85.472032926843298</v>
      </c>
      <c r="T76" cm="1">
        <f t="array" ref="T76">MIN(IF((DiscreteStatsTable[GroupByKey]=DiscreteStatsTable[[#This Row],[GroupByKey]]),(DiscreteStatsTable[GroupByKey]=DiscreteStatsTable[[#This Row],[GroupByKey]])*DiscreteStatsTable[Minimum]))</f>
        <v>2.7999999993480702</v>
      </c>
      <c r="U76" cm="1">
        <f t="array" ref="U76">MAX(IF((DiscreteStatsTable[GroupByKey]=DiscreteStatsTable[[#This Row],[GroupByKey]]),(DiscreteStatsTable[GroupByKey]=DiscreteStatsTable[[#This Row],[GroupByKey]])*DiscreteStatsTable[Maximum]))</f>
        <v>845.65217638315505</v>
      </c>
      <c r="V76" cm="1">
        <f t="array" ref="V76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76">
        <f>IF((DiscreteStatsTable[[#This Row],[RepsRequested]]&gt;1),DiscreteStatsTable[[#This Row],[HalfWidth]],DiscreteStatsTable[[#This Row],[BatchMeansHalfWidth]])</f>
        <v>1.208981608749105</v>
      </c>
      <c r="X76" cm="1">
        <f t="array" ref="X76">COUNT(IF((DiscreteStatsTable[GroupByKey]=DiscreteStatsTable[[#This Row],[GroupByKey]]),(DiscreteStatsTable[GroupByKey]=DiscreteStatsTable[[#This Row],[GroupByKey]])*DiscreteStatsTable[Replication]))</f>
        <v>10</v>
      </c>
      <c r="Y76">
        <f>IF(DiscreteStatsTable[[#This Row],[RepsRequested]]=DiscreteStatsTable[[#This Row],[RepsWithStatObserved]],1,0)</f>
        <v>1</v>
      </c>
    </row>
    <row r="77" spans="1:25" x14ac:dyDescent="0.25">
      <c r="A77" t="s">
        <v>67</v>
      </c>
      <c r="B77" t="s">
        <v>69</v>
      </c>
      <c r="C77">
        <v>8</v>
      </c>
      <c r="D77" t="s">
        <v>75</v>
      </c>
      <c r="E77" t="s">
        <v>80</v>
      </c>
      <c r="F77" t="s">
        <v>77</v>
      </c>
      <c r="G77">
        <v>14.727548455632</v>
      </c>
      <c r="H77">
        <v>0.17789369331978799</v>
      </c>
      <c r="I77">
        <v>2.7999999993480702</v>
      </c>
      <c r="J77">
        <v>238.155938771786</v>
      </c>
      <c r="K77">
        <v>16909</v>
      </c>
      <c r="L77" t="str">
        <f>DiscreteStatsTable[[#This Row],[ProjectName]]&amp;DiscreteStatsTable[[#This Row],[Name]]&amp;DiscreteStatsTable[[#This Row],[Type]]&amp;DiscreteStatsTable[[#This Row],[Source]]</f>
        <v>Unnamed ProjectNewPartTransfer TimeEntity</v>
      </c>
      <c r="M77" cm="1">
        <f t="array" ref="M77">MAX(IF((ProjectInfoTable[ProjectName]=DiscreteStatsTable[[#This Row],[ProjectName]]),(ProjectInfoTable[ProjectName]=DiscreteStatsTable[[#This Row],[ProjectName]])*ProjectInfoTable[NumberOfReplications]))</f>
        <v>10</v>
      </c>
      <c r="N77" cm="1">
        <f t="array" ref="N77">IFERROR(AVERAGE(IF((DiscreteStatsTable[GroupByKey]=DiscreteStatsTable[[#This Row],[GroupByKey]]),(DiscreteStatsTable[GroupByKey]=DiscreteStatsTable[[#This Row],[GroupByKey]])*DiscreteStatsTable[Average])),0)</f>
        <v>14.7745214286692</v>
      </c>
      <c r="O77" cm="1">
        <f t="array" ref="O77">IFERROR(_xlfn.STDEV.S(IF((DiscreteStatsTable[GroupByKey]=DiscreteStatsTable[[#This Row],[GroupByKey]]),(DiscreteStatsTable[GroupByKey]=DiscreteStatsTable[[#This Row],[GroupByKey]])*DiscreteStatsTable[Average])),0)</f>
        <v>7.7759386666993585E-2</v>
      </c>
      <c r="P77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5.5625714256277083E-2</v>
      </c>
      <c r="R77" cm="1">
        <f t="array" ref="R77">MIN(IF((DiscreteStatsTable[GroupByKey]=DiscreteStatsTable[[#This Row],[GroupByKey]]),(DiscreteStatsTable[GroupByKey]=DiscreteStatsTable[[#This Row],[GroupByKey]])*DiscreteStatsTable[Average]))</f>
        <v>14.6618730503506</v>
      </c>
      <c r="S77" cm="1">
        <f t="array" ref="S77">MAX(IF((DiscreteStatsTable[GroupByKey]=DiscreteStatsTable[[#This Row],[GroupByKey]]),(DiscreteStatsTable[GroupByKey]=DiscreteStatsTable[[#This Row],[GroupByKey]])*DiscreteStatsTable[Average]))</f>
        <v>14.8939029254873</v>
      </c>
      <c r="T77" cm="1">
        <f t="array" ref="T77">MIN(IF((DiscreteStatsTable[GroupByKey]=DiscreteStatsTable[[#This Row],[GroupByKey]]),(DiscreteStatsTable[GroupByKey]=DiscreteStatsTable[[#This Row],[GroupByKey]])*DiscreteStatsTable[Minimum]))</f>
        <v>2.7999999993480702</v>
      </c>
      <c r="U77" cm="1">
        <f t="array" ref="U77">MAX(IF((DiscreteStatsTable[GroupByKey]=DiscreteStatsTable[[#This Row],[GroupByKey]]),(DiscreteStatsTable[GroupByKey]=DiscreteStatsTable[[#This Row],[GroupByKey]])*DiscreteStatsTable[Maximum]))</f>
        <v>238.155938771786</v>
      </c>
      <c r="V77" cm="1">
        <f t="array" ref="V77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77">
        <f>IF((DiscreteStatsTable[[#This Row],[RepsRequested]]&gt;1),DiscreteStatsTable[[#This Row],[HalfWidth]],DiscreteStatsTable[[#This Row],[BatchMeansHalfWidth]])</f>
        <v>5.5625714256277083E-2</v>
      </c>
      <c r="X77" cm="1">
        <f t="array" ref="X77">COUNT(IF((DiscreteStatsTable[GroupByKey]=DiscreteStatsTable[[#This Row],[GroupByKey]]),(DiscreteStatsTable[GroupByKey]=DiscreteStatsTable[[#This Row],[GroupByKey]])*DiscreteStatsTable[Replication]))</f>
        <v>10</v>
      </c>
      <c r="Y77">
        <f>IF(DiscreteStatsTable[[#This Row],[RepsRequested]]=DiscreteStatsTable[[#This Row],[RepsWithStatObserved]],1,0)</f>
        <v>1</v>
      </c>
    </row>
    <row r="78" spans="1:25" x14ac:dyDescent="0.25">
      <c r="A78" t="s">
        <v>67</v>
      </c>
      <c r="B78" t="s">
        <v>69</v>
      </c>
      <c r="C78">
        <v>8</v>
      </c>
      <c r="D78" t="s">
        <v>75</v>
      </c>
      <c r="E78" t="s">
        <v>81</v>
      </c>
      <c r="F78" t="s">
        <v>77</v>
      </c>
      <c r="G78">
        <v>2.7833698030634499</v>
      </c>
      <c r="H78">
        <v>4.6946684598552599E-2</v>
      </c>
      <c r="I78">
        <v>0</v>
      </c>
      <c r="J78">
        <v>8</v>
      </c>
      <c r="K78">
        <v>16909</v>
      </c>
      <c r="L78" t="str">
        <f>DiscreteStatsTable[[#This Row],[ProjectName]]&amp;DiscreteStatsTable[[#This Row],[Name]]&amp;DiscreteStatsTable[[#This Row],[Type]]&amp;DiscreteStatsTable[[#This Row],[Source]]</f>
        <v>Unnamed ProjectNewPartVA TimeEntity</v>
      </c>
      <c r="M78" cm="1">
        <f t="array" ref="M78">MAX(IF((ProjectInfoTable[ProjectName]=DiscreteStatsTable[[#This Row],[ProjectName]]),(ProjectInfoTable[ProjectName]=DiscreteStatsTable[[#This Row],[ProjectName]])*ProjectInfoTable[NumberOfReplications]))</f>
        <v>10</v>
      </c>
      <c r="N78" cm="1">
        <f t="array" ref="N78">IFERROR(AVERAGE(IF((DiscreteStatsTable[GroupByKey]=DiscreteStatsTable[[#This Row],[GroupByKey]]),(DiscreteStatsTable[GroupByKey]=DiscreteStatsTable[[#This Row],[GroupByKey]])*DiscreteStatsTable[Average])),0)</f>
        <v>2.7815747315743584</v>
      </c>
      <c r="O78" cm="1">
        <f t="array" ref="O78">IFERROR(_xlfn.STDEV.S(IF((DiscreteStatsTable[GroupByKey]=DiscreteStatsTable[[#This Row],[GroupByKey]]),(DiscreteStatsTable[GroupByKey]=DiscreteStatsTable[[#This Row],[GroupByKey]])*DiscreteStatsTable[Average])),0)</f>
        <v>1.9879202576934346E-2</v>
      </c>
      <c r="P78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1.4220724848599816E-2</v>
      </c>
      <c r="R78" cm="1">
        <f t="array" ref="R78">MIN(IF((DiscreteStatsTable[GroupByKey]=DiscreteStatsTable[[#This Row],[GroupByKey]]),(DiscreteStatsTable[GroupByKey]=DiscreteStatsTable[[#This Row],[GroupByKey]])*DiscreteStatsTable[Average]))</f>
        <v>2.7543620985390902</v>
      </c>
      <c r="S78" cm="1">
        <f t="array" ref="S78">MAX(IF((DiscreteStatsTable[GroupByKey]=DiscreteStatsTable[[#This Row],[GroupByKey]]),(DiscreteStatsTable[GroupByKey]=DiscreteStatsTable[[#This Row],[GroupByKey]])*DiscreteStatsTable[Average]))</f>
        <v>2.8163573963120401</v>
      </c>
      <c r="T78" cm="1">
        <f t="array" ref="T78">MIN(IF((DiscreteStatsTable[GroupByKey]=DiscreteStatsTable[[#This Row],[GroupByKey]]),(DiscreteStatsTable[GroupByKey]=DiscreteStatsTable[[#This Row],[GroupByKey]])*DiscreteStatsTable[Minimum]))</f>
        <v>0</v>
      </c>
      <c r="U78" cm="1">
        <f t="array" ref="U78">MAX(IF((DiscreteStatsTable[GroupByKey]=DiscreteStatsTable[[#This Row],[GroupByKey]]),(DiscreteStatsTable[GroupByKey]=DiscreteStatsTable[[#This Row],[GroupByKey]])*DiscreteStatsTable[Maximum]))</f>
        <v>8.0000000000145501</v>
      </c>
      <c r="V78" cm="1">
        <f t="array" ref="V78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78">
        <f>IF((DiscreteStatsTable[[#This Row],[RepsRequested]]&gt;1),DiscreteStatsTable[[#This Row],[HalfWidth]],DiscreteStatsTable[[#This Row],[BatchMeansHalfWidth]])</f>
        <v>1.4220724848599816E-2</v>
      </c>
      <c r="X78" cm="1">
        <f t="array" ref="X78">COUNT(IF((DiscreteStatsTable[GroupByKey]=DiscreteStatsTable[[#This Row],[GroupByKey]]),(DiscreteStatsTable[GroupByKey]=DiscreteStatsTable[[#This Row],[GroupByKey]])*DiscreteStatsTable[Replication]))</f>
        <v>10</v>
      </c>
      <c r="Y78">
        <f>IF(DiscreteStatsTable[[#This Row],[RepsRequested]]=DiscreteStatsTable[[#This Row],[RepsWithStatObserved]],1,0)</f>
        <v>1</v>
      </c>
    </row>
    <row r="79" spans="1:25" x14ac:dyDescent="0.25">
      <c r="A79" t="s">
        <v>67</v>
      </c>
      <c r="B79" t="s">
        <v>69</v>
      </c>
      <c r="C79">
        <v>8</v>
      </c>
      <c r="D79" t="s">
        <v>75</v>
      </c>
      <c r="E79" t="s">
        <v>82</v>
      </c>
      <c r="F79" t="s">
        <v>77</v>
      </c>
      <c r="G79">
        <v>28.997126681759301</v>
      </c>
      <c r="H79">
        <v>2.1765238737288999</v>
      </c>
      <c r="I79">
        <v>0</v>
      </c>
      <c r="J79">
        <v>491.78047473426</v>
      </c>
      <c r="K79">
        <v>16909</v>
      </c>
      <c r="L79" t="str">
        <f>DiscreteStatsTable[[#This Row],[ProjectName]]&amp;DiscreteStatsTable[[#This Row],[Name]]&amp;DiscreteStatsTable[[#This Row],[Type]]&amp;DiscreteStatsTable[[#This Row],[Source]]</f>
        <v>Unnamed ProjectNewPartWait TimeEntity</v>
      </c>
      <c r="M79" cm="1">
        <f t="array" ref="M79">MAX(IF((ProjectInfoTable[ProjectName]=DiscreteStatsTable[[#This Row],[ProjectName]]),(ProjectInfoTable[ProjectName]=DiscreteStatsTable[[#This Row],[ProjectName]])*ProjectInfoTable[NumberOfReplications]))</f>
        <v>10</v>
      </c>
      <c r="N79" cm="1">
        <f t="array" ref="N79">IFERROR(AVERAGE(IF((DiscreteStatsTable[GroupByKey]=DiscreteStatsTable[[#This Row],[GroupByKey]]),(DiscreteStatsTable[GroupByKey]=DiscreteStatsTable[[#This Row],[GroupByKey]])*DiscreteStatsTable[Average])),0)</f>
        <v>29.242698154379905</v>
      </c>
      <c r="O79" cm="1">
        <f t="array" ref="O79">IFERROR(_xlfn.STDEV.S(IF((DiscreteStatsTable[GroupByKey]=DiscreteStatsTable[[#This Row],[GroupByKey]]),(DiscreteStatsTable[GroupByKey]=DiscreteStatsTable[[#This Row],[GroupByKey]])*DiscreteStatsTable[Average])),0)</f>
        <v>1.5503795036667449</v>
      </c>
      <c r="P79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1.1090746848233775</v>
      </c>
      <c r="R79" cm="1">
        <f t="array" ref="R79">MIN(IF((DiscreteStatsTable[GroupByKey]=DiscreteStatsTable[[#This Row],[GroupByKey]]),(DiscreteStatsTable[GroupByKey]=DiscreteStatsTable[[#This Row],[GroupByKey]])*DiscreteStatsTable[Average]))</f>
        <v>26.632812348859499</v>
      </c>
      <c r="S79" cm="1">
        <f t="array" ref="S79">MAX(IF((DiscreteStatsTable[GroupByKey]=DiscreteStatsTable[[#This Row],[GroupByKey]]),(DiscreteStatsTable[GroupByKey]=DiscreteStatsTable[[#This Row],[GroupByKey]])*DiscreteStatsTable[Average]))</f>
        <v>31.8400605329516</v>
      </c>
      <c r="T79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cm="1">
        <f t="array" ref="U79">MAX(IF((DiscreteStatsTable[GroupByKey]=DiscreteStatsTable[[#This Row],[GroupByKey]]),(DiscreteStatsTable[GroupByKey]=DiscreteStatsTable[[#This Row],[GroupByKey]])*DiscreteStatsTable[Maximum]))</f>
        <v>707.09586624841904</v>
      </c>
      <c r="V79" cm="1">
        <f t="array" ref="V79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79">
        <f>IF((DiscreteStatsTable[[#This Row],[RepsRequested]]&gt;1),DiscreteStatsTable[[#This Row],[HalfWidth]],DiscreteStatsTable[[#This Row],[BatchMeansHalfWidth]])</f>
        <v>1.1090746848233775</v>
      </c>
      <c r="X79" cm="1">
        <f t="array" ref="X79">COUNT(IF((DiscreteStatsTable[GroupByKey]=DiscreteStatsTable[[#This Row],[GroupByKey]]),(DiscreteStatsTable[GroupByKey]=DiscreteStatsTable[[#This Row],[GroupByKey]])*DiscreteStatsTable[Replication]))</f>
        <v>10</v>
      </c>
      <c r="Y79">
        <f>IF(DiscreteStatsTable[[#This Row],[RepsRequested]]=DiscreteStatsTable[[#This Row],[RepsWithStatObserved]],1,0)</f>
        <v>1</v>
      </c>
    </row>
    <row r="80" spans="1:25" x14ac:dyDescent="0.25">
      <c r="A80" t="s">
        <v>67</v>
      </c>
      <c r="B80" t="s">
        <v>69</v>
      </c>
      <c r="C80">
        <v>9</v>
      </c>
      <c r="D80" t="s">
        <v>75</v>
      </c>
      <c r="E80" t="s">
        <v>76</v>
      </c>
      <c r="F80" t="s">
        <v>77</v>
      </c>
      <c r="G80">
        <v>0</v>
      </c>
      <c r="H80">
        <v>0</v>
      </c>
      <c r="I80">
        <v>0</v>
      </c>
      <c r="J80">
        <v>0</v>
      </c>
      <c r="K80">
        <v>16712</v>
      </c>
      <c r="L80" t="str">
        <f>DiscreteStatsTable[[#This Row],[ProjectName]]&amp;DiscreteStatsTable[[#This Row],[Name]]&amp;DiscreteStatsTable[[#This Row],[Type]]&amp;DiscreteStatsTable[[#This Row],[Source]]</f>
        <v>Unnamed ProjectNewPartNVA TimeEntity</v>
      </c>
      <c r="M80" cm="1">
        <f t="array" ref="M80">MAX(IF((ProjectInfoTable[ProjectName]=DiscreteStatsTable[[#This Row],[ProjectName]]),(ProjectInfoTable[ProjectName]=DiscreteStatsTable[[#This Row],[ProjectName]])*ProjectInfoTable[NumberOfReplications]))</f>
        <v>10</v>
      </c>
      <c r="N80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cm="1">
        <f t="array" ref="V80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80">
        <f>IF((DiscreteStatsTable[[#This Row],[RepsRequested]]&gt;1),DiscreteStatsTable[[#This Row],[HalfWidth]],DiscreteStatsTable[[#This Row],[BatchMeansHalfWidth]])</f>
        <v>0</v>
      </c>
      <c r="X80" cm="1">
        <f t="array" ref="X80">COUNT(IF((DiscreteStatsTable[GroupByKey]=DiscreteStatsTable[[#This Row],[GroupByKey]]),(DiscreteStatsTable[GroupByKey]=DiscreteStatsTable[[#This Row],[GroupByKey]])*DiscreteStatsTable[Replication]))</f>
        <v>10</v>
      </c>
      <c r="Y80">
        <f>IF(DiscreteStatsTable[[#This Row],[RepsRequested]]=DiscreteStatsTable[[#This Row],[RepsWithStatObserved]],1,0)</f>
        <v>1</v>
      </c>
    </row>
    <row r="81" spans="1:25" x14ac:dyDescent="0.25">
      <c r="A81" t="s">
        <v>67</v>
      </c>
      <c r="B81" t="s">
        <v>69</v>
      </c>
      <c r="C81">
        <v>9</v>
      </c>
      <c r="D81" t="s">
        <v>75</v>
      </c>
      <c r="E81" t="s">
        <v>78</v>
      </c>
      <c r="F81" t="s">
        <v>77</v>
      </c>
      <c r="G81">
        <v>36.133701430785699</v>
      </c>
      <c r="H81">
        <v>0.57239134379238898</v>
      </c>
      <c r="I81">
        <v>0</v>
      </c>
      <c r="J81">
        <v>134.536420724588</v>
      </c>
      <c r="K81">
        <v>16712</v>
      </c>
      <c r="L81" t="str">
        <f>DiscreteStatsTable[[#This Row],[ProjectName]]&amp;DiscreteStatsTable[[#This Row],[Name]]&amp;DiscreteStatsTable[[#This Row],[Type]]&amp;DiscreteStatsTable[[#This Row],[Source]]</f>
        <v>Unnamed ProjectNewPartOther TimeEntity</v>
      </c>
      <c r="M81" cm="1">
        <f t="array" ref="M81">MAX(IF((ProjectInfoTable[ProjectName]=DiscreteStatsTable[[#This Row],[ProjectName]]),(ProjectInfoTable[ProjectName]=DiscreteStatsTable[[#This Row],[ProjectName]])*ProjectInfoTable[NumberOfReplications]))</f>
        <v>10</v>
      </c>
      <c r="N81" cm="1">
        <f t="array" ref="N81">IFERROR(AVERAGE(IF((DiscreteStatsTable[GroupByKey]=DiscreteStatsTable[[#This Row],[GroupByKey]]),(DiscreteStatsTable[GroupByKey]=DiscreteStatsTable[[#This Row],[GroupByKey]])*DiscreteStatsTable[Average])),0)</f>
        <v>35.934414689251412</v>
      </c>
      <c r="O81" cm="1">
        <f t="array" ref="O81">IFERROR(_xlfn.STDEV.S(IF((DiscreteStatsTable[GroupByKey]=DiscreteStatsTable[[#This Row],[GroupByKey]]),(DiscreteStatsTable[GroupByKey]=DiscreteStatsTable[[#This Row],[GroupByKey]])*DiscreteStatsTable[Average])),0)</f>
        <v>0.26771685495243369</v>
      </c>
      <c r="P81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0.19151310103497018</v>
      </c>
      <c r="R81" cm="1">
        <f t="array" ref="R81">MIN(IF((DiscreteStatsTable[GroupByKey]=DiscreteStatsTable[[#This Row],[GroupByKey]]),(DiscreteStatsTable[GroupByKey]=DiscreteStatsTable[[#This Row],[GroupByKey]])*DiscreteStatsTable[Average]))</f>
        <v>35.585131921280997</v>
      </c>
      <c r="S81" cm="1">
        <f t="array" ref="S81">MAX(IF((DiscreteStatsTable[GroupByKey]=DiscreteStatsTable[[#This Row],[GroupByKey]]),(DiscreteStatsTable[GroupByKey]=DiscreteStatsTable[[#This Row],[GroupByKey]])*DiscreteStatsTable[Average]))</f>
        <v>36.412431328094101</v>
      </c>
      <c r="T81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cm="1">
        <f t="array" ref="U81">MAX(IF((DiscreteStatsTable[GroupByKey]=DiscreteStatsTable[[#This Row],[GroupByKey]]),(DiscreteStatsTable[GroupByKey]=DiscreteStatsTable[[#This Row],[GroupByKey]])*DiscreteStatsTable[Maximum]))</f>
        <v>139.43951735453399</v>
      </c>
      <c r="V81" cm="1">
        <f t="array" ref="V81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81">
        <f>IF((DiscreteStatsTable[[#This Row],[RepsRequested]]&gt;1),DiscreteStatsTable[[#This Row],[HalfWidth]],DiscreteStatsTable[[#This Row],[BatchMeansHalfWidth]])</f>
        <v>0.19151310103497018</v>
      </c>
      <c r="X81" cm="1">
        <f t="array" ref="X81">COUNT(IF((DiscreteStatsTable[GroupByKey]=DiscreteStatsTable[[#This Row],[GroupByKey]]),(DiscreteStatsTable[GroupByKey]=DiscreteStatsTable[[#This Row],[GroupByKey]])*DiscreteStatsTable[Replication]))</f>
        <v>10</v>
      </c>
      <c r="Y81">
        <f>IF(DiscreteStatsTable[[#This Row],[RepsRequested]]=DiscreteStatsTable[[#This Row],[RepsWithStatObserved]],1,0)</f>
        <v>1</v>
      </c>
    </row>
    <row r="82" spans="1:25" x14ac:dyDescent="0.25">
      <c r="A82" t="s">
        <v>67</v>
      </c>
      <c r="B82" t="s">
        <v>69</v>
      </c>
      <c r="C82">
        <v>9</v>
      </c>
      <c r="D82" t="s">
        <v>75</v>
      </c>
      <c r="E82" t="s">
        <v>79</v>
      </c>
      <c r="F82" t="s">
        <v>77</v>
      </c>
      <c r="G82">
        <v>82.165101185298596</v>
      </c>
      <c r="H82">
        <v>3.27054654849145</v>
      </c>
      <c r="I82">
        <v>2.7999999993480702</v>
      </c>
      <c r="J82">
        <v>635.86683304997905</v>
      </c>
      <c r="K82">
        <v>16712</v>
      </c>
      <c r="L82" t="str">
        <f>DiscreteStatsTable[[#This Row],[ProjectName]]&amp;DiscreteStatsTable[[#This Row],[Name]]&amp;DiscreteStatsTable[[#This Row],[Type]]&amp;DiscreteStatsTable[[#This Row],[Source]]</f>
        <v>Unnamed ProjectNewPartTotal TimeEntity</v>
      </c>
      <c r="M82" cm="1">
        <f t="array" ref="M82">MAX(IF((ProjectInfoTable[ProjectName]=DiscreteStatsTable[[#This Row],[ProjectName]]),(ProjectInfoTable[ProjectName]=DiscreteStatsTable[[#This Row],[ProjectName]])*ProjectInfoTable[NumberOfReplications]))</f>
        <v>10</v>
      </c>
      <c r="N82" cm="1">
        <f t="array" ref="N82">IFERROR(AVERAGE(IF((DiscreteStatsTable[GroupByKey]=DiscreteStatsTable[[#This Row],[GroupByKey]]),(DiscreteStatsTable[GroupByKey]=DiscreteStatsTable[[#This Row],[GroupByKey]])*DiscreteStatsTable[Average])),0)</f>
        <v>82.733209003874819</v>
      </c>
      <c r="O82" cm="1">
        <f t="array" ref="O82">IFERROR(_xlfn.STDEV.S(IF((DiscreteStatsTable[GroupByKey]=DiscreteStatsTable[[#This Row],[GroupByKey]]),(DiscreteStatsTable[GroupByKey]=DiscreteStatsTable[[#This Row],[GroupByKey]])*DiscreteStatsTable[Average])),0)</f>
        <v>1.6900397531056797</v>
      </c>
      <c r="P82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1.208981608749105</v>
      </c>
      <c r="R82" cm="1">
        <f t="array" ref="R82">MIN(IF((DiscreteStatsTable[GroupByKey]=DiscreteStatsTable[[#This Row],[GroupByKey]]),(DiscreteStatsTable[GroupByKey]=DiscreteStatsTable[[#This Row],[GroupByKey]])*DiscreteStatsTable[Average]))</f>
        <v>79.888714563311297</v>
      </c>
      <c r="S82" cm="1">
        <f t="array" ref="S82">MAX(IF((DiscreteStatsTable[GroupByKey]=DiscreteStatsTable[[#This Row],[GroupByKey]]),(DiscreteStatsTable[GroupByKey]=DiscreteStatsTable[[#This Row],[GroupByKey]])*DiscreteStatsTable[Average]))</f>
        <v>85.472032926843298</v>
      </c>
      <c r="T82" cm="1">
        <f t="array" ref="T82">MIN(IF((DiscreteStatsTable[GroupByKey]=DiscreteStatsTable[[#This Row],[GroupByKey]]),(DiscreteStatsTable[GroupByKey]=DiscreteStatsTable[[#This Row],[GroupByKey]])*DiscreteStatsTable[Minimum]))</f>
        <v>2.7999999993480702</v>
      </c>
      <c r="U82" cm="1">
        <f t="array" ref="U82">MAX(IF((DiscreteStatsTable[GroupByKey]=DiscreteStatsTable[[#This Row],[GroupByKey]]),(DiscreteStatsTable[GroupByKey]=DiscreteStatsTable[[#This Row],[GroupByKey]])*DiscreteStatsTable[Maximum]))</f>
        <v>845.65217638315505</v>
      </c>
      <c r="V82" cm="1">
        <f t="array" ref="V82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82">
        <f>IF((DiscreteStatsTable[[#This Row],[RepsRequested]]&gt;1),DiscreteStatsTable[[#This Row],[HalfWidth]],DiscreteStatsTable[[#This Row],[BatchMeansHalfWidth]])</f>
        <v>1.208981608749105</v>
      </c>
      <c r="X82" cm="1">
        <f t="array" ref="X82">COUNT(IF((DiscreteStatsTable[GroupByKey]=DiscreteStatsTable[[#This Row],[GroupByKey]]),(DiscreteStatsTable[GroupByKey]=DiscreteStatsTable[[#This Row],[GroupByKey]])*DiscreteStatsTable[Replication]))</f>
        <v>10</v>
      </c>
      <c r="Y82">
        <f>IF(DiscreteStatsTable[[#This Row],[RepsRequested]]=DiscreteStatsTable[[#This Row],[RepsWithStatObserved]],1,0)</f>
        <v>1</v>
      </c>
    </row>
    <row r="83" spans="1:25" x14ac:dyDescent="0.25">
      <c r="A83" t="s">
        <v>67</v>
      </c>
      <c r="B83" t="s">
        <v>69</v>
      </c>
      <c r="C83">
        <v>9</v>
      </c>
      <c r="D83" t="s">
        <v>75</v>
      </c>
      <c r="E83" t="s">
        <v>80</v>
      </c>
      <c r="F83" t="s">
        <v>77</v>
      </c>
      <c r="G83">
        <v>14.856978076511901</v>
      </c>
      <c r="H83">
        <v>0.17115604951136501</v>
      </c>
      <c r="I83">
        <v>2.7999999993480702</v>
      </c>
      <c r="J83">
        <v>146.403341832542</v>
      </c>
      <c r="K83">
        <v>16712</v>
      </c>
      <c r="L83" t="str">
        <f>DiscreteStatsTable[[#This Row],[ProjectName]]&amp;DiscreteStatsTable[[#This Row],[Name]]&amp;DiscreteStatsTable[[#This Row],[Type]]&amp;DiscreteStatsTable[[#This Row],[Source]]</f>
        <v>Unnamed ProjectNewPartTransfer TimeEntity</v>
      </c>
      <c r="M83" cm="1">
        <f t="array" ref="M83">MAX(IF((ProjectInfoTable[ProjectName]=DiscreteStatsTable[[#This Row],[ProjectName]]),(ProjectInfoTable[ProjectName]=DiscreteStatsTable[[#This Row],[ProjectName]])*ProjectInfoTable[NumberOfReplications]))</f>
        <v>10</v>
      </c>
      <c r="N83" cm="1">
        <f t="array" ref="N83">IFERROR(AVERAGE(IF((DiscreteStatsTable[GroupByKey]=DiscreteStatsTable[[#This Row],[GroupByKey]]),(DiscreteStatsTable[GroupByKey]=DiscreteStatsTable[[#This Row],[GroupByKey]])*DiscreteStatsTable[Average])),0)</f>
        <v>14.7745214286692</v>
      </c>
      <c r="O83" cm="1">
        <f t="array" ref="O83">IFERROR(_xlfn.STDEV.S(IF((DiscreteStatsTable[GroupByKey]=DiscreteStatsTable[[#This Row],[GroupByKey]]),(DiscreteStatsTable[GroupByKey]=DiscreteStatsTable[[#This Row],[GroupByKey]])*DiscreteStatsTable[Average])),0)</f>
        <v>7.7759386666993585E-2</v>
      </c>
      <c r="P83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5.5625714256277083E-2</v>
      </c>
      <c r="R83" cm="1">
        <f t="array" ref="R83">MIN(IF((DiscreteStatsTable[GroupByKey]=DiscreteStatsTable[[#This Row],[GroupByKey]]),(DiscreteStatsTable[GroupByKey]=DiscreteStatsTable[[#This Row],[GroupByKey]])*DiscreteStatsTable[Average]))</f>
        <v>14.6618730503506</v>
      </c>
      <c r="S83" cm="1">
        <f t="array" ref="S83">MAX(IF((DiscreteStatsTable[GroupByKey]=DiscreteStatsTable[[#This Row],[GroupByKey]]),(DiscreteStatsTable[GroupByKey]=DiscreteStatsTable[[#This Row],[GroupByKey]])*DiscreteStatsTable[Average]))</f>
        <v>14.8939029254873</v>
      </c>
      <c r="T83" cm="1">
        <f t="array" ref="T83">MIN(IF((DiscreteStatsTable[GroupByKey]=DiscreteStatsTable[[#This Row],[GroupByKey]]),(DiscreteStatsTable[GroupByKey]=DiscreteStatsTable[[#This Row],[GroupByKey]])*DiscreteStatsTable[Minimum]))</f>
        <v>2.7999999993480702</v>
      </c>
      <c r="U83" cm="1">
        <f t="array" ref="U83">MAX(IF((DiscreteStatsTable[GroupByKey]=DiscreteStatsTable[[#This Row],[GroupByKey]]),(DiscreteStatsTable[GroupByKey]=DiscreteStatsTable[[#This Row],[GroupByKey]])*DiscreteStatsTable[Maximum]))</f>
        <v>238.155938771786</v>
      </c>
      <c r="V83" cm="1">
        <f t="array" ref="V83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83">
        <f>IF((DiscreteStatsTable[[#This Row],[RepsRequested]]&gt;1),DiscreteStatsTable[[#This Row],[HalfWidth]],DiscreteStatsTable[[#This Row],[BatchMeansHalfWidth]])</f>
        <v>5.5625714256277083E-2</v>
      </c>
      <c r="X83" cm="1">
        <f t="array" ref="X83">COUNT(IF((DiscreteStatsTable[GroupByKey]=DiscreteStatsTable[[#This Row],[GroupByKey]]),(DiscreteStatsTable[GroupByKey]=DiscreteStatsTable[[#This Row],[GroupByKey]])*DiscreteStatsTable[Replication]))</f>
        <v>10</v>
      </c>
      <c r="Y83">
        <f>IF(DiscreteStatsTable[[#This Row],[RepsRequested]]=DiscreteStatsTable[[#This Row],[RepsWithStatObserved]],1,0)</f>
        <v>1</v>
      </c>
    </row>
    <row r="84" spans="1:25" x14ac:dyDescent="0.25">
      <c r="A84" t="s">
        <v>67</v>
      </c>
      <c r="B84" t="s">
        <v>69</v>
      </c>
      <c r="C84">
        <v>9</v>
      </c>
      <c r="D84" t="s">
        <v>75</v>
      </c>
      <c r="E84" t="s">
        <v>81</v>
      </c>
      <c r="F84" t="s">
        <v>77</v>
      </c>
      <c r="G84">
        <v>2.7975107707036901</v>
      </c>
      <c r="H84">
        <v>3E+20</v>
      </c>
      <c r="I84">
        <v>0</v>
      </c>
      <c r="J84">
        <v>8</v>
      </c>
      <c r="K84">
        <v>16712</v>
      </c>
      <c r="L84" t="str">
        <f>DiscreteStatsTable[[#This Row],[ProjectName]]&amp;DiscreteStatsTable[[#This Row],[Name]]&amp;DiscreteStatsTable[[#This Row],[Type]]&amp;DiscreteStatsTable[[#This Row],[Source]]</f>
        <v>Unnamed ProjectNewPartVA TimeEntity</v>
      </c>
      <c r="M84" cm="1">
        <f t="array" ref="M84">MAX(IF((ProjectInfoTable[ProjectName]=DiscreteStatsTable[[#This Row],[ProjectName]]),(ProjectInfoTable[ProjectName]=DiscreteStatsTable[[#This Row],[ProjectName]])*ProjectInfoTable[NumberOfReplications]))</f>
        <v>10</v>
      </c>
      <c r="N84" cm="1">
        <f t="array" ref="N84">IFERROR(AVERAGE(IF((DiscreteStatsTable[GroupByKey]=DiscreteStatsTable[[#This Row],[GroupByKey]]),(DiscreteStatsTable[GroupByKey]=DiscreteStatsTable[[#This Row],[GroupByKey]])*DiscreteStatsTable[Average])),0)</f>
        <v>2.7815747315743584</v>
      </c>
      <c r="O84" cm="1">
        <f t="array" ref="O84">IFERROR(_xlfn.STDEV.S(IF((DiscreteStatsTable[GroupByKey]=DiscreteStatsTable[[#This Row],[GroupByKey]]),(DiscreteStatsTable[GroupByKey]=DiscreteStatsTable[[#This Row],[GroupByKey]])*DiscreteStatsTable[Average])),0)</f>
        <v>1.9879202576934346E-2</v>
      </c>
      <c r="P84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1.4220724848599816E-2</v>
      </c>
      <c r="R84" cm="1">
        <f t="array" ref="R84">MIN(IF((DiscreteStatsTable[GroupByKey]=DiscreteStatsTable[[#This Row],[GroupByKey]]),(DiscreteStatsTable[GroupByKey]=DiscreteStatsTable[[#This Row],[GroupByKey]])*DiscreteStatsTable[Average]))</f>
        <v>2.7543620985390902</v>
      </c>
      <c r="S84" cm="1">
        <f t="array" ref="S84">MAX(IF((DiscreteStatsTable[GroupByKey]=DiscreteStatsTable[[#This Row],[GroupByKey]]),(DiscreteStatsTable[GroupByKey]=DiscreteStatsTable[[#This Row],[GroupByKey]])*DiscreteStatsTable[Average]))</f>
        <v>2.8163573963120401</v>
      </c>
      <c r="T84" cm="1">
        <f t="array" ref="T84">MIN(IF((DiscreteStatsTable[GroupByKey]=DiscreteStatsTable[[#This Row],[GroupByKey]]),(DiscreteStatsTable[GroupByKey]=DiscreteStatsTable[[#This Row],[GroupByKey]])*DiscreteStatsTable[Minimum]))</f>
        <v>0</v>
      </c>
      <c r="U84" cm="1">
        <f t="array" ref="U84">MAX(IF((DiscreteStatsTable[GroupByKey]=DiscreteStatsTable[[#This Row],[GroupByKey]]),(DiscreteStatsTable[GroupByKey]=DiscreteStatsTable[[#This Row],[GroupByKey]])*DiscreteStatsTable[Maximum]))</f>
        <v>8.0000000000145501</v>
      </c>
      <c r="V84" cm="1">
        <f t="array" ref="V84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84">
        <f>IF((DiscreteStatsTable[[#This Row],[RepsRequested]]&gt;1),DiscreteStatsTable[[#This Row],[HalfWidth]],DiscreteStatsTable[[#This Row],[BatchMeansHalfWidth]])</f>
        <v>1.4220724848599816E-2</v>
      </c>
      <c r="X84" cm="1">
        <f t="array" ref="X84">COUNT(IF((DiscreteStatsTable[GroupByKey]=DiscreteStatsTable[[#This Row],[GroupByKey]]),(DiscreteStatsTable[GroupByKey]=DiscreteStatsTable[[#This Row],[GroupByKey]])*DiscreteStatsTable[Replication]))</f>
        <v>10</v>
      </c>
      <c r="Y84">
        <f>IF(DiscreteStatsTable[[#This Row],[RepsRequested]]=DiscreteStatsTable[[#This Row],[RepsWithStatObserved]],1,0)</f>
        <v>1</v>
      </c>
    </row>
    <row r="85" spans="1:25" x14ac:dyDescent="0.25">
      <c r="A85" t="s">
        <v>67</v>
      </c>
      <c r="B85" t="s">
        <v>69</v>
      </c>
      <c r="C85">
        <v>9</v>
      </c>
      <c r="D85" t="s">
        <v>75</v>
      </c>
      <c r="E85" t="s">
        <v>82</v>
      </c>
      <c r="F85" t="s">
        <v>77</v>
      </c>
      <c r="G85">
        <v>28.3769109072974</v>
      </c>
      <c r="H85">
        <v>2.8261954184073002</v>
      </c>
      <c r="I85">
        <v>0</v>
      </c>
      <c r="J85">
        <v>487.04543057945602</v>
      </c>
      <c r="K85">
        <v>16712</v>
      </c>
      <c r="L85" t="str">
        <f>DiscreteStatsTable[[#This Row],[ProjectName]]&amp;DiscreteStatsTable[[#This Row],[Name]]&amp;DiscreteStatsTable[[#This Row],[Type]]&amp;DiscreteStatsTable[[#This Row],[Source]]</f>
        <v>Unnamed ProjectNewPartWait TimeEntity</v>
      </c>
      <c r="M85" cm="1">
        <f t="array" ref="M85">MAX(IF((ProjectInfoTable[ProjectName]=DiscreteStatsTable[[#This Row],[ProjectName]]),(ProjectInfoTable[ProjectName]=DiscreteStatsTable[[#This Row],[ProjectName]])*ProjectInfoTable[NumberOfReplications]))</f>
        <v>10</v>
      </c>
      <c r="N85" cm="1">
        <f t="array" ref="N85">IFERROR(AVERAGE(IF((DiscreteStatsTable[GroupByKey]=DiscreteStatsTable[[#This Row],[GroupByKey]]),(DiscreteStatsTable[GroupByKey]=DiscreteStatsTable[[#This Row],[GroupByKey]])*DiscreteStatsTable[Average])),0)</f>
        <v>29.242698154379905</v>
      </c>
      <c r="O85" cm="1">
        <f t="array" ref="O85">IFERROR(_xlfn.STDEV.S(IF((DiscreteStatsTable[GroupByKey]=DiscreteStatsTable[[#This Row],[GroupByKey]]),(DiscreteStatsTable[GroupByKey]=DiscreteStatsTable[[#This Row],[GroupByKey]])*DiscreteStatsTable[Average])),0)</f>
        <v>1.5503795036667449</v>
      </c>
      <c r="P8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1.1090746848233775</v>
      </c>
      <c r="R85" cm="1">
        <f t="array" ref="R85">MIN(IF((DiscreteStatsTable[GroupByKey]=DiscreteStatsTable[[#This Row],[GroupByKey]]),(DiscreteStatsTable[GroupByKey]=DiscreteStatsTable[[#This Row],[GroupByKey]])*DiscreteStatsTable[Average]))</f>
        <v>26.632812348859499</v>
      </c>
      <c r="S85" cm="1">
        <f t="array" ref="S85">MAX(IF((DiscreteStatsTable[GroupByKey]=DiscreteStatsTable[[#This Row],[GroupByKey]]),(DiscreteStatsTable[GroupByKey]=DiscreteStatsTable[[#This Row],[GroupByKey]])*DiscreteStatsTable[Average]))</f>
        <v>31.8400605329516</v>
      </c>
      <c r="T8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cm="1">
        <f t="array" ref="U85">MAX(IF((DiscreteStatsTable[GroupByKey]=DiscreteStatsTable[[#This Row],[GroupByKey]]),(DiscreteStatsTable[GroupByKey]=DiscreteStatsTable[[#This Row],[GroupByKey]])*DiscreteStatsTable[Maximum]))</f>
        <v>707.09586624841904</v>
      </c>
      <c r="V85" cm="1">
        <f t="array" ref="V85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85">
        <f>IF((DiscreteStatsTable[[#This Row],[RepsRequested]]&gt;1),DiscreteStatsTable[[#This Row],[HalfWidth]],DiscreteStatsTable[[#This Row],[BatchMeansHalfWidth]])</f>
        <v>1.1090746848233775</v>
      </c>
      <c r="X85" cm="1">
        <f t="array" ref="X85">COUNT(IF((DiscreteStatsTable[GroupByKey]=DiscreteStatsTable[[#This Row],[GroupByKey]]),(DiscreteStatsTable[GroupByKey]=DiscreteStatsTable[[#This Row],[GroupByKey]])*DiscreteStatsTable[Replication]))</f>
        <v>10</v>
      </c>
      <c r="Y85">
        <f>IF(DiscreteStatsTable[[#This Row],[RepsRequested]]=DiscreteStatsTable[[#This Row],[RepsWithStatObserved]],1,0)</f>
        <v>1</v>
      </c>
    </row>
    <row r="86" spans="1:25" x14ac:dyDescent="0.25">
      <c r="A86" t="s">
        <v>67</v>
      </c>
      <c r="B86" t="s">
        <v>69</v>
      </c>
      <c r="C86">
        <v>10</v>
      </c>
      <c r="D86" t="s">
        <v>75</v>
      </c>
      <c r="E86" t="s">
        <v>76</v>
      </c>
      <c r="F86" t="s">
        <v>77</v>
      </c>
      <c r="G86">
        <v>0</v>
      </c>
      <c r="H86">
        <v>0</v>
      </c>
      <c r="I86">
        <v>0</v>
      </c>
      <c r="J86">
        <v>0</v>
      </c>
      <c r="K86">
        <v>16789</v>
      </c>
      <c r="L86" t="str">
        <f>DiscreteStatsTable[[#This Row],[ProjectName]]&amp;DiscreteStatsTable[[#This Row],[Name]]&amp;DiscreteStatsTable[[#This Row],[Type]]&amp;DiscreteStatsTable[[#This Row],[Source]]</f>
        <v>Unnamed ProjectNewPartNVA TimeEntity</v>
      </c>
      <c r="M86" cm="1">
        <f t="array" ref="M86">MAX(IF((ProjectInfoTable[ProjectName]=DiscreteStatsTable[[#This Row],[ProjectName]]),(ProjectInfoTable[ProjectName]=DiscreteStatsTable[[#This Row],[ProjectName]])*ProjectInfoTable[NumberOfReplications]))</f>
        <v>10</v>
      </c>
      <c r="N86" cm="1">
        <f t="array" ref="N86">IFERROR(AVERAGE(IF((DiscreteStatsTable[GroupByKey]=DiscreteStatsTable[[#This Row],[GroupByKey]]),(DiscreteStatsTable[GroupByKey]=DiscreteStatsTable[[#This Row],[GroupByKey]])*DiscreteStatsTable[Average])),0)</f>
        <v>0</v>
      </c>
      <c r="O86" cm="1">
        <f t="array" ref="O86">IFERROR(_xlfn.STDEV.S(IF((DiscreteStatsTable[GroupByKey]=DiscreteStatsTable[[#This Row],[GroupByKey]]),(DiscreteStatsTable[GroupByKey]=DiscreteStatsTable[[#This Row],[GroupByKey]])*DiscreteStatsTable[Average])),0)</f>
        <v>0</v>
      </c>
      <c r="P86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cm="1">
        <f t="array" ref="S86">MAX(IF((DiscreteStatsTable[GroupByKey]=DiscreteStatsTable[[#This Row],[GroupByKey]]),(DiscreteStatsTable[GroupByKey]=DiscreteStatsTable[[#This Row],[GroupByKey]])*DiscreteStatsTable[Average]))</f>
        <v>0</v>
      </c>
      <c r="T86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cm="1">
        <f t="array" ref="U86">MAX(IF((DiscreteStatsTable[GroupByKey]=DiscreteStatsTable[[#This Row],[GroupByKey]]),(DiscreteStatsTable[GroupByKey]=DiscreteStatsTable[[#This Row],[GroupByKey]])*DiscreteStatsTable[Maximum]))</f>
        <v>0</v>
      </c>
      <c r="V86" cm="1">
        <f t="array" ref="V86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86">
        <f>IF((DiscreteStatsTable[[#This Row],[RepsRequested]]&gt;1),DiscreteStatsTable[[#This Row],[HalfWidth]],DiscreteStatsTable[[#This Row],[BatchMeansHalfWidth]])</f>
        <v>0</v>
      </c>
      <c r="X86" cm="1">
        <f t="array" ref="X86">COUNT(IF((DiscreteStatsTable[GroupByKey]=DiscreteStatsTable[[#This Row],[GroupByKey]]),(DiscreteStatsTable[GroupByKey]=DiscreteStatsTable[[#This Row],[GroupByKey]])*DiscreteStatsTable[Replication]))</f>
        <v>10</v>
      </c>
      <c r="Y86">
        <f>IF(DiscreteStatsTable[[#This Row],[RepsRequested]]=DiscreteStatsTable[[#This Row],[RepsWithStatObserved]],1,0)</f>
        <v>1</v>
      </c>
    </row>
    <row r="87" spans="1:25" x14ac:dyDescent="0.25">
      <c r="A87" t="s">
        <v>67</v>
      </c>
      <c r="B87" t="s">
        <v>69</v>
      </c>
      <c r="C87">
        <v>10</v>
      </c>
      <c r="D87" t="s">
        <v>75</v>
      </c>
      <c r="E87" t="s">
        <v>78</v>
      </c>
      <c r="F87" t="s">
        <v>77</v>
      </c>
      <c r="G87">
        <v>35.813673985757902</v>
      </c>
      <c r="H87">
        <v>0.63591923684050899</v>
      </c>
      <c r="I87">
        <v>0</v>
      </c>
      <c r="J87">
        <v>137.12519108562299</v>
      </c>
      <c r="K87">
        <v>16789</v>
      </c>
      <c r="L87" t="str">
        <f>DiscreteStatsTable[[#This Row],[ProjectName]]&amp;DiscreteStatsTable[[#This Row],[Name]]&amp;DiscreteStatsTable[[#This Row],[Type]]&amp;DiscreteStatsTable[[#This Row],[Source]]</f>
        <v>Unnamed ProjectNewPartOther TimeEntity</v>
      </c>
      <c r="M87" cm="1">
        <f t="array" ref="M87">MAX(IF((ProjectInfoTable[ProjectName]=DiscreteStatsTable[[#This Row],[ProjectName]]),(ProjectInfoTable[ProjectName]=DiscreteStatsTable[[#This Row],[ProjectName]])*ProjectInfoTable[NumberOfReplications]))</f>
        <v>10</v>
      </c>
      <c r="N87" cm="1">
        <f t="array" ref="N87">IFERROR(AVERAGE(IF((DiscreteStatsTable[GroupByKey]=DiscreteStatsTable[[#This Row],[GroupByKey]]),(DiscreteStatsTable[GroupByKey]=DiscreteStatsTable[[#This Row],[GroupByKey]])*DiscreteStatsTable[Average])),0)</f>
        <v>35.934414689251412</v>
      </c>
      <c r="O87" cm="1">
        <f t="array" ref="O87">IFERROR(_xlfn.STDEV.S(IF((DiscreteStatsTable[GroupByKey]=DiscreteStatsTable[[#This Row],[GroupByKey]]),(DiscreteStatsTable[GroupByKey]=DiscreteStatsTable[[#This Row],[GroupByKey]])*DiscreteStatsTable[Average])),0)</f>
        <v>0.26771685495243369</v>
      </c>
      <c r="P87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0.19151310103497018</v>
      </c>
      <c r="R87" cm="1">
        <f t="array" ref="R87">MIN(IF((DiscreteStatsTable[GroupByKey]=DiscreteStatsTable[[#This Row],[GroupByKey]]),(DiscreteStatsTable[GroupByKey]=DiscreteStatsTable[[#This Row],[GroupByKey]])*DiscreteStatsTable[Average]))</f>
        <v>35.585131921280997</v>
      </c>
      <c r="S87" cm="1">
        <f t="array" ref="S87">MAX(IF((DiscreteStatsTable[GroupByKey]=DiscreteStatsTable[[#This Row],[GroupByKey]]),(DiscreteStatsTable[GroupByKey]=DiscreteStatsTable[[#This Row],[GroupByKey]])*DiscreteStatsTable[Average]))</f>
        <v>36.412431328094101</v>
      </c>
      <c r="T87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cm="1">
        <f t="array" ref="U87">MAX(IF((DiscreteStatsTable[GroupByKey]=DiscreteStatsTable[[#This Row],[GroupByKey]]),(DiscreteStatsTable[GroupByKey]=DiscreteStatsTable[[#This Row],[GroupByKey]])*DiscreteStatsTable[Maximum]))</f>
        <v>139.43951735453399</v>
      </c>
      <c r="V87" cm="1">
        <f t="array" ref="V87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87">
        <f>IF((DiscreteStatsTable[[#This Row],[RepsRequested]]&gt;1),DiscreteStatsTable[[#This Row],[HalfWidth]],DiscreteStatsTable[[#This Row],[BatchMeansHalfWidth]])</f>
        <v>0.19151310103497018</v>
      </c>
      <c r="X87" cm="1">
        <f t="array" ref="X87">COUNT(IF((DiscreteStatsTable[GroupByKey]=DiscreteStatsTable[[#This Row],[GroupByKey]]),(DiscreteStatsTable[GroupByKey]=DiscreteStatsTable[[#This Row],[GroupByKey]])*DiscreteStatsTable[Replication]))</f>
        <v>10</v>
      </c>
      <c r="Y87">
        <f>IF(DiscreteStatsTable[[#This Row],[RepsRequested]]=DiscreteStatsTable[[#This Row],[RepsWithStatObserved]],1,0)</f>
        <v>1</v>
      </c>
    </row>
    <row r="88" spans="1:25" x14ac:dyDescent="0.25">
      <c r="A88" t="s">
        <v>67</v>
      </c>
      <c r="B88" t="s">
        <v>69</v>
      </c>
      <c r="C88">
        <v>10</v>
      </c>
      <c r="D88" t="s">
        <v>75</v>
      </c>
      <c r="E88" t="s">
        <v>79</v>
      </c>
      <c r="F88" t="s">
        <v>77</v>
      </c>
      <c r="G88">
        <v>81.477854157530004</v>
      </c>
      <c r="H88">
        <v>3.3750256547828599</v>
      </c>
      <c r="I88">
        <v>2.7999999993480702</v>
      </c>
      <c r="J88">
        <v>697.31718773476302</v>
      </c>
      <c r="K88">
        <v>16789</v>
      </c>
      <c r="L88" t="str">
        <f>DiscreteStatsTable[[#This Row],[ProjectName]]&amp;DiscreteStatsTable[[#This Row],[Name]]&amp;DiscreteStatsTable[[#This Row],[Type]]&amp;DiscreteStatsTable[[#This Row],[Source]]</f>
        <v>Unnamed ProjectNewPartTotal TimeEntity</v>
      </c>
      <c r="M88" cm="1">
        <f t="array" ref="M88">MAX(IF((ProjectInfoTable[ProjectName]=DiscreteStatsTable[[#This Row],[ProjectName]]),(ProjectInfoTable[ProjectName]=DiscreteStatsTable[[#This Row],[ProjectName]])*ProjectInfoTable[NumberOfReplications]))</f>
        <v>10</v>
      </c>
      <c r="N88" cm="1">
        <f t="array" ref="N88">IFERROR(AVERAGE(IF((DiscreteStatsTable[GroupByKey]=DiscreteStatsTable[[#This Row],[GroupByKey]]),(DiscreteStatsTable[GroupByKey]=DiscreteStatsTable[[#This Row],[GroupByKey]])*DiscreteStatsTable[Average])),0)</f>
        <v>82.733209003874819</v>
      </c>
      <c r="O88" cm="1">
        <f t="array" ref="O88">IFERROR(_xlfn.STDEV.S(IF((DiscreteStatsTable[GroupByKey]=DiscreteStatsTable[[#This Row],[GroupByKey]]),(DiscreteStatsTable[GroupByKey]=DiscreteStatsTable[[#This Row],[GroupByKey]])*DiscreteStatsTable[Average])),0)</f>
        <v>1.6900397531056797</v>
      </c>
      <c r="P88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1.208981608749105</v>
      </c>
      <c r="R88" cm="1">
        <f t="array" ref="R88">MIN(IF((DiscreteStatsTable[GroupByKey]=DiscreteStatsTable[[#This Row],[GroupByKey]]),(DiscreteStatsTable[GroupByKey]=DiscreteStatsTable[[#This Row],[GroupByKey]])*DiscreteStatsTable[Average]))</f>
        <v>79.888714563311297</v>
      </c>
      <c r="S88" cm="1">
        <f t="array" ref="S88">MAX(IF((DiscreteStatsTable[GroupByKey]=DiscreteStatsTable[[#This Row],[GroupByKey]]),(DiscreteStatsTable[GroupByKey]=DiscreteStatsTable[[#This Row],[GroupByKey]])*DiscreteStatsTable[Average]))</f>
        <v>85.472032926843298</v>
      </c>
      <c r="T88" cm="1">
        <f t="array" ref="T88">MIN(IF((DiscreteStatsTable[GroupByKey]=DiscreteStatsTable[[#This Row],[GroupByKey]]),(DiscreteStatsTable[GroupByKey]=DiscreteStatsTable[[#This Row],[GroupByKey]])*DiscreteStatsTable[Minimum]))</f>
        <v>2.7999999993480702</v>
      </c>
      <c r="U88" cm="1">
        <f t="array" ref="U88">MAX(IF((DiscreteStatsTable[GroupByKey]=DiscreteStatsTable[[#This Row],[GroupByKey]]),(DiscreteStatsTable[GroupByKey]=DiscreteStatsTable[[#This Row],[GroupByKey]])*DiscreteStatsTable[Maximum]))</f>
        <v>845.65217638315505</v>
      </c>
      <c r="V88" cm="1">
        <f t="array" ref="V88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88">
        <f>IF((DiscreteStatsTable[[#This Row],[RepsRequested]]&gt;1),DiscreteStatsTable[[#This Row],[HalfWidth]],DiscreteStatsTable[[#This Row],[BatchMeansHalfWidth]])</f>
        <v>1.208981608749105</v>
      </c>
      <c r="X88" cm="1">
        <f t="array" ref="X88">COUNT(IF((DiscreteStatsTable[GroupByKey]=DiscreteStatsTable[[#This Row],[GroupByKey]]),(DiscreteStatsTable[GroupByKey]=DiscreteStatsTable[[#This Row],[GroupByKey]])*DiscreteStatsTable[Replication]))</f>
        <v>10</v>
      </c>
      <c r="Y88">
        <f>IF(DiscreteStatsTable[[#This Row],[RepsRequested]]=DiscreteStatsTable[[#This Row],[RepsWithStatObserved]],1,0)</f>
        <v>1</v>
      </c>
    </row>
    <row r="89" spans="1:25" x14ac:dyDescent="0.25">
      <c r="A89" t="s">
        <v>67</v>
      </c>
      <c r="B89" t="s">
        <v>69</v>
      </c>
      <c r="C89">
        <v>10</v>
      </c>
      <c r="D89" t="s">
        <v>75</v>
      </c>
      <c r="E89" t="s">
        <v>80</v>
      </c>
      <c r="F89" t="s">
        <v>77</v>
      </c>
      <c r="G89">
        <v>14.8449060334009</v>
      </c>
      <c r="H89">
        <v>0.16715298411458199</v>
      </c>
      <c r="I89">
        <v>2.7999999993480702</v>
      </c>
      <c r="J89">
        <v>146.80006496363799</v>
      </c>
      <c r="K89">
        <v>16789</v>
      </c>
      <c r="L89" t="str">
        <f>DiscreteStatsTable[[#This Row],[ProjectName]]&amp;DiscreteStatsTable[[#This Row],[Name]]&amp;DiscreteStatsTable[[#This Row],[Type]]&amp;DiscreteStatsTable[[#This Row],[Source]]</f>
        <v>Unnamed ProjectNewPartTransfer TimeEntity</v>
      </c>
      <c r="M89" cm="1">
        <f t="array" ref="M89">MAX(IF((ProjectInfoTable[ProjectName]=DiscreteStatsTable[[#This Row],[ProjectName]]),(ProjectInfoTable[ProjectName]=DiscreteStatsTable[[#This Row],[ProjectName]])*ProjectInfoTable[NumberOfReplications]))</f>
        <v>10</v>
      </c>
      <c r="N89" cm="1">
        <f t="array" ref="N89">IFERROR(AVERAGE(IF((DiscreteStatsTable[GroupByKey]=DiscreteStatsTable[[#This Row],[GroupByKey]]),(DiscreteStatsTable[GroupByKey]=DiscreteStatsTable[[#This Row],[GroupByKey]])*DiscreteStatsTable[Average])),0)</f>
        <v>14.7745214286692</v>
      </c>
      <c r="O89" cm="1">
        <f t="array" ref="O89">IFERROR(_xlfn.STDEV.S(IF((DiscreteStatsTable[GroupByKey]=DiscreteStatsTable[[#This Row],[GroupByKey]]),(DiscreteStatsTable[GroupByKey]=DiscreteStatsTable[[#This Row],[GroupByKey]])*DiscreteStatsTable[Average])),0)</f>
        <v>7.7759386666993585E-2</v>
      </c>
      <c r="P89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5.5625714256277083E-2</v>
      </c>
      <c r="R89" cm="1">
        <f t="array" ref="R89">MIN(IF((DiscreteStatsTable[GroupByKey]=DiscreteStatsTable[[#This Row],[GroupByKey]]),(DiscreteStatsTable[GroupByKey]=DiscreteStatsTable[[#This Row],[GroupByKey]])*DiscreteStatsTable[Average]))</f>
        <v>14.6618730503506</v>
      </c>
      <c r="S89" cm="1">
        <f t="array" ref="S89">MAX(IF((DiscreteStatsTable[GroupByKey]=DiscreteStatsTable[[#This Row],[GroupByKey]]),(DiscreteStatsTable[GroupByKey]=DiscreteStatsTable[[#This Row],[GroupByKey]])*DiscreteStatsTable[Average]))</f>
        <v>14.8939029254873</v>
      </c>
      <c r="T89" cm="1">
        <f t="array" ref="T89">MIN(IF((DiscreteStatsTable[GroupByKey]=DiscreteStatsTable[[#This Row],[GroupByKey]]),(DiscreteStatsTable[GroupByKey]=DiscreteStatsTable[[#This Row],[GroupByKey]])*DiscreteStatsTable[Minimum]))</f>
        <v>2.7999999993480702</v>
      </c>
      <c r="U89" cm="1">
        <f t="array" ref="U89">MAX(IF((DiscreteStatsTable[GroupByKey]=DiscreteStatsTable[[#This Row],[GroupByKey]]),(DiscreteStatsTable[GroupByKey]=DiscreteStatsTable[[#This Row],[GroupByKey]])*DiscreteStatsTable[Maximum]))</f>
        <v>238.155938771786</v>
      </c>
      <c r="V89" cm="1">
        <f t="array" ref="V89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89">
        <f>IF((DiscreteStatsTable[[#This Row],[RepsRequested]]&gt;1),DiscreteStatsTable[[#This Row],[HalfWidth]],DiscreteStatsTable[[#This Row],[BatchMeansHalfWidth]])</f>
        <v>5.5625714256277083E-2</v>
      </c>
      <c r="X89" cm="1">
        <f t="array" ref="X89">COUNT(IF((DiscreteStatsTable[GroupByKey]=DiscreteStatsTable[[#This Row],[GroupByKey]]),(DiscreteStatsTable[GroupByKey]=DiscreteStatsTable[[#This Row],[GroupByKey]])*DiscreteStatsTable[Replication]))</f>
        <v>10</v>
      </c>
      <c r="Y89">
        <f>IF(DiscreteStatsTable[[#This Row],[RepsRequested]]=DiscreteStatsTable[[#This Row],[RepsWithStatObserved]],1,0)</f>
        <v>1</v>
      </c>
    </row>
    <row r="90" spans="1:25" x14ac:dyDescent="0.25">
      <c r="A90" t="s">
        <v>67</v>
      </c>
      <c r="B90" t="s">
        <v>69</v>
      </c>
      <c r="C90">
        <v>10</v>
      </c>
      <c r="D90" t="s">
        <v>75</v>
      </c>
      <c r="E90" t="s">
        <v>81</v>
      </c>
      <c r="F90" t="s">
        <v>77</v>
      </c>
      <c r="G90">
        <v>2.7751503960926902</v>
      </c>
      <c r="H90">
        <v>4.9454825855673998E-2</v>
      </c>
      <c r="I90">
        <v>0</v>
      </c>
      <c r="J90">
        <v>8</v>
      </c>
      <c r="K90">
        <v>16789</v>
      </c>
      <c r="L90" t="str">
        <f>DiscreteStatsTable[[#This Row],[ProjectName]]&amp;DiscreteStatsTable[[#This Row],[Name]]&amp;DiscreteStatsTable[[#This Row],[Type]]&amp;DiscreteStatsTable[[#This Row],[Source]]</f>
        <v>Unnamed ProjectNewPartVA TimeEntity</v>
      </c>
      <c r="M90" cm="1">
        <f t="array" ref="M90">MAX(IF((ProjectInfoTable[ProjectName]=DiscreteStatsTable[[#This Row],[ProjectName]]),(ProjectInfoTable[ProjectName]=DiscreteStatsTable[[#This Row],[ProjectName]])*ProjectInfoTable[NumberOfReplications]))</f>
        <v>10</v>
      </c>
      <c r="N90" cm="1">
        <f t="array" ref="N90">IFERROR(AVERAGE(IF((DiscreteStatsTable[GroupByKey]=DiscreteStatsTable[[#This Row],[GroupByKey]]),(DiscreteStatsTable[GroupByKey]=DiscreteStatsTable[[#This Row],[GroupByKey]])*DiscreteStatsTable[Average])),0)</f>
        <v>2.7815747315743584</v>
      </c>
      <c r="O90" cm="1">
        <f t="array" ref="O90">IFERROR(_xlfn.STDEV.S(IF((DiscreteStatsTable[GroupByKey]=DiscreteStatsTable[[#This Row],[GroupByKey]]),(DiscreteStatsTable[GroupByKey]=DiscreteStatsTable[[#This Row],[GroupByKey]])*DiscreteStatsTable[Average])),0)</f>
        <v>1.9879202576934346E-2</v>
      </c>
      <c r="P90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1.4220724848599816E-2</v>
      </c>
      <c r="R90" cm="1">
        <f t="array" ref="R90">MIN(IF((DiscreteStatsTable[GroupByKey]=DiscreteStatsTable[[#This Row],[GroupByKey]]),(DiscreteStatsTable[GroupByKey]=DiscreteStatsTable[[#This Row],[GroupByKey]])*DiscreteStatsTable[Average]))</f>
        <v>2.7543620985390902</v>
      </c>
      <c r="S90" cm="1">
        <f t="array" ref="S90">MAX(IF((DiscreteStatsTable[GroupByKey]=DiscreteStatsTable[[#This Row],[GroupByKey]]),(DiscreteStatsTable[GroupByKey]=DiscreteStatsTable[[#This Row],[GroupByKey]])*DiscreteStatsTable[Average]))</f>
        <v>2.8163573963120401</v>
      </c>
      <c r="T90" cm="1">
        <f t="array" ref="T90">MIN(IF((DiscreteStatsTable[GroupByKey]=DiscreteStatsTable[[#This Row],[GroupByKey]]),(DiscreteStatsTable[GroupByKey]=DiscreteStatsTable[[#This Row],[GroupByKey]])*DiscreteStatsTable[Minimum]))</f>
        <v>0</v>
      </c>
      <c r="U90" cm="1">
        <f t="array" ref="U90">MAX(IF((DiscreteStatsTable[GroupByKey]=DiscreteStatsTable[[#This Row],[GroupByKey]]),(DiscreteStatsTable[GroupByKey]=DiscreteStatsTable[[#This Row],[GroupByKey]])*DiscreteStatsTable[Maximum]))</f>
        <v>8.0000000000145501</v>
      </c>
      <c r="V90" cm="1">
        <f t="array" ref="V90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90">
        <f>IF((DiscreteStatsTable[[#This Row],[RepsRequested]]&gt;1),DiscreteStatsTable[[#This Row],[HalfWidth]],DiscreteStatsTable[[#This Row],[BatchMeansHalfWidth]])</f>
        <v>1.4220724848599816E-2</v>
      </c>
      <c r="X90" cm="1">
        <f t="array" ref="X90">COUNT(IF((DiscreteStatsTable[GroupByKey]=DiscreteStatsTable[[#This Row],[GroupByKey]]),(DiscreteStatsTable[GroupByKey]=DiscreteStatsTable[[#This Row],[GroupByKey]])*DiscreteStatsTable[Replication]))</f>
        <v>10</v>
      </c>
      <c r="Y90">
        <f>IF(DiscreteStatsTable[[#This Row],[RepsRequested]]=DiscreteStatsTable[[#This Row],[RepsWithStatObserved]],1,0)</f>
        <v>1</v>
      </c>
    </row>
    <row r="91" spans="1:25" x14ac:dyDescent="0.25">
      <c r="A91" t="s">
        <v>67</v>
      </c>
      <c r="B91" t="s">
        <v>69</v>
      </c>
      <c r="C91">
        <v>10</v>
      </c>
      <c r="D91" t="s">
        <v>75</v>
      </c>
      <c r="E91" t="s">
        <v>82</v>
      </c>
      <c r="F91" t="s">
        <v>77</v>
      </c>
      <c r="G91">
        <v>28.044123742278501</v>
      </c>
      <c r="H91">
        <v>2.8994735471875099</v>
      </c>
      <c r="I91">
        <v>0</v>
      </c>
      <c r="J91">
        <v>558.86617944529303</v>
      </c>
      <c r="K91">
        <v>16789</v>
      </c>
      <c r="L91" t="str">
        <f>DiscreteStatsTable[[#This Row],[ProjectName]]&amp;DiscreteStatsTable[[#This Row],[Name]]&amp;DiscreteStatsTable[[#This Row],[Type]]&amp;DiscreteStatsTable[[#This Row],[Source]]</f>
        <v>Unnamed ProjectNewPartWait TimeEntity</v>
      </c>
      <c r="M91" cm="1">
        <f t="array" ref="M91">MAX(IF((ProjectInfoTable[ProjectName]=DiscreteStatsTable[[#This Row],[ProjectName]]),(ProjectInfoTable[ProjectName]=DiscreteStatsTable[[#This Row],[ProjectName]])*ProjectInfoTable[NumberOfReplications]))</f>
        <v>10</v>
      </c>
      <c r="N91" cm="1">
        <f t="array" ref="N91">IFERROR(AVERAGE(IF((DiscreteStatsTable[GroupByKey]=DiscreteStatsTable[[#This Row],[GroupByKey]]),(DiscreteStatsTable[GroupByKey]=DiscreteStatsTable[[#This Row],[GroupByKey]])*DiscreteStatsTable[Average])),0)</f>
        <v>29.242698154379905</v>
      </c>
      <c r="O91" cm="1">
        <f t="array" ref="O91">IFERROR(_xlfn.STDEV.S(IF((DiscreteStatsTable[GroupByKey]=DiscreteStatsTable[[#This Row],[GroupByKey]]),(DiscreteStatsTable[GroupByKey]=DiscreteStatsTable[[#This Row],[GroupByKey]])*DiscreteStatsTable[Average])),0)</f>
        <v>1.5503795036667449</v>
      </c>
      <c r="P91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1.1090746848233775</v>
      </c>
      <c r="R91" cm="1">
        <f t="array" ref="R91">MIN(IF((DiscreteStatsTable[GroupByKey]=DiscreteStatsTable[[#This Row],[GroupByKey]]),(DiscreteStatsTable[GroupByKey]=DiscreteStatsTable[[#This Row],[GroupByKey]])*DiscreteStatsTable[Average]))</f>
        <v>26.632812348859499</v>
      </c>
      <c r="S91" cm="1">
        <f t="array" ref="S91">MAX(IF((DiscreteStatsTable[GroupByKey]=DiscreteStatsTable[[#This Row],[GroupByKey]]),(DiscreteStatsTable[GroupByKey]=DiscreteStatsTable[[#This Row],[GroupByKey]])*DiscreteStatsTable[Average]))</f>
        <v>31.8400605329516</v>
      </c>
      <c r="T91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cm="1">
        <f t="array" ref="U91">MAX(IF((DiscreteStatsTable[GroupByKey]=DiscreteStatsTable[[#This Row],[GroupByKey]]),(DiscreteStatsTable[GroupByKey]=DiscreteStatsTable[[#This Row],[GroupByKey]])*DiscreteStatsTable[Maximum]))</f>
        <v>707.09586624841904</v>
      </c>
      <c r="V91" cm="1">
        <f t="array" ref="V91">IFERROR(AVERAGE(IF((DiscreteStatsTable[GroupByKey]=DiscreteStatsTable[[#This Row],[GroupByKey]]),(DiscreteStatsTable[GroupByKey]=DiscreteStatsTable[[#This Row],[GroupByKey]])*DiscreteStatsTable[NumberObservations])),0)</f>
        <v>16948.099999999999</v>
      </c>
      <c r="W91">
        <f>IF((DiscreteStatsTable[[#This Row],[RepsRequested]]&gt;1),DiscreteStatsTable[[#This Row],[HalfWidth]],DiscreteStatsTable[[#This Row],[BatchMeansHalfWidth]])</f>
        <v>1.1090746848233775</v>
      </c>
      <c r="X91" cm="1">
        <f t="array" ref="X91">COUNT(IF((DiscreteStatsTable[GroupByKey]=DiscreteStatsTable[[#This Row],[GroupByKey]]),(DiscreteStatsTable[GroupByKey]=DiscreteStatsTable[[#This Row],[GroupByKey]])*DiscreteStatsTable[Replication]))</f>
        <v>10</v>
      </c>
      <c r="Y91">
        <f>IF(DiscreteStatsTable[[#This Row],[RepsRequested]]=DiscreteStatsTable[[#This Row],[RepsWithStatObserved]],1,0)</f>
        <v>1</v>
      </c>
    </row>
    <row r="92" spans="1:25" x14ac:dyDescent="0.25">
      <c r="A92" t="s">
        <v>67</v>
      </c>
      <c r="B92" t="s">
        <v>69</v>
      </c>
      <c r="C92">
        <v>1</v>
      </c>
      <c r="D92" t="s">
        <v>83</v>
      </c>
      <c r="E92" t="s">
        <v>76</v>
      </c>
      <c r="F92" t="s">
        <v>77</v>
      </c>
      <c r="G92">
        <v>0</v>
      </c>
      <c r="H92">
        <v>0</v>
      </c>
      <c r="I92">
        <v>0</v>
      </c>
      <c r="J92">
        <v>0</v>
      </c>
      <c r="K92">
        <v>38588</v>
      </c>
      <c r="L92" t="str">
        <f>DiscreteStatsTable[[#This Row],[ProjectName]]&amp;DiscreteStatsTable[[#This Row],[Name]]&amp;DiscreteStatsTable[[#This Row],[Type]]&amp;DiscreteStatsTable[[#This Row],[Source]]</f>
        <v>Unnamed ProjectOldPartNVA TimeEntity</v>
      </c>
      <c r="M92" cm="1">
        <f t="array" ref="M92">MAX(IF((ProjectInfoTable[ProjectName]=DiscreteStatsTable[[#This Row],[ProjectName]]),(ProjectInfoTable[ProjectName]=DiscreteStatsTable[[#This Row],[ProjectName]])*ProjectInfoTable[NumberOfReplications]))</f>
        <v>10</v>
      </c>
      <c r="N92" cm="1">
        <f t="array" ref="N92">IFERROR(AVERAGE(IF((DiscreteStatsTable[GroupByKey]=DiscreteStatsTable[[#This Row],[GroupByKey]]),(DiscreteStatsTable[GroupByKey]=DiscreteStatsTable[[#This Row],[GroupByKey]])*DiscreteStatsTable[Average])),0)</f>
        <v>0</v>
      </c>
      <c r="O92" cm="1">
        <f t="array" ref="O92">IFERROR(_xlfn.STDEV.S(IF((DiscreteStatsTable[GroupByKey]=DiscreteStatsTable[[#This Row],[GroupByKey]]),(DiscreteStatsTable[GroupByKey]=DiscreteStatsTable[[#This Row],[GroupByKey]])*DiscreteStatsTable[Average])),0)</f>
        <v>0</v>
      </c>
      <c r="P92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" cm="1">
        <f t="array" ref="R92">MIN(IF((DiscreteStatsTable[GroupByKey]=DiscreteStatsTable[[#This Row],[GroupByKey]]),(DiscreteStatsTable[GroupByKey]=DiscreteStatsTable[[#This Row],[GroupByKey]])*DiscreteStatsTable[Average]))</f>
        <v>0</v>
      </c>
      <c r="S92" cm="1">
        <f t="array" ref="S92">MAX(IF((DiscreteStatsTable[GroupByKey]=DiscreteStatsTable[[#This Row],[GroupByKey]]),(DiscreteStatsTable[GroupByKey]=DiscreteStatsTable[[#This Row],[GroupByKey]])*DiscreteStatsTable[Average]))</f>
        <v>0</v>
      </c>
      <c r="T92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cm="1">
        <f t="array" ref="U92">MAX(IF((DiscreteStatsTable[GroupByKey]=DiscreteStatsTable[[#This Row],[GroupByKey]]),(DiscreteStatsTable[GroupByKey]=DiscreteStatsTable[[#This Row],[GroupByKey]])*DiscreteStatsTable[Maximum]))</f>
        <v>0</v>
      </c>
      <c r="V92" cm="1">
        <f t="array" ref="V92">IFERROR(AVERAGE(IF((DiscreteStatsTable[GroupByKey]=DiscreteStatsTable[[#This Row],[GroupByKey]]),(DiscreteStatsTable[GroupByKey]=DiscreteStatsTable[[#This Row],[GroupByKey]])*DiscreteStatsTable[NumberObservations])),0)</f>
        <v>39114.6</v>
      </c>
      <c r="W92">
        <f>IF((DiscreteStatsTable[[#This Row],[RepsRequested]]&gt;1),DiscreteStatsTable[[#This Row],[HalfWidth]],DiscreteStatsTable[[#This Row],[BatchMeansHalfWidth]])</f>
        <v>0</v>
      </c>
      <c r="X92" cm="1">
        <f t="array" ref="X92">COUNT(IF((DiscreteStatsTable[GroupByKey]=DiscreteStatsTable[[#This Row],[GroupByKey]]),(DiscreteStatsTable[GroupByKey]=DiscreteStatsTable[[#This Row],[GroupByKey]])*DiscreteStatsTable[Replication]))</f>
        <v>10</v>
      </c>
      <c r="Y92">
        <f>IF(DiscreteStatsTable[[#This Row],[RepsRequested]]=DiscreteStatsTable[[#This Row],[RepsWithStatObserved]],1,0)</f>
        <v>1</v>
      </c>
    </row>
    <row r="93" spans="1:25" x14ac:dyDescent="0.25">
      <c r="A93" t="s">
        <v>67</v>
      </c>
      <c r="B93" t="s">
        <v>69</v>
      </c>
      <c r="C93">
        <v>1</v>
      </c>
      <c r="D93" t="s">
        <v>83</v>
      </c>
      <c r="E93" t="s">
        <v>78</v>
      </c>
      <c r="F93" t="s">
        <v>77</v>
      </c>
      <c r="G93">
        <v>26.474455976573299</v>
      </c>
      <c r="H93">
        <v>0.26374169236436901</v>
      </c>
      <c r="I93">
        <v>0</v>
      </c>
      <c r="J93">
        <v>101.31046061452101</v>
      </c>
      <c r="K93">
        <v>38588</v>
      </c>
      <c r="L93" t="str">
        <f>DiscreteStatsTable[[#This Row],[ProjectName]]&amp;DiscreteStatsTable[[#This Row],[Name]]&amp;DiscreteStatsTable[[#This Row],[Type]]&amp;DiscreteStatsTable[[#This Row],[Source]]</f>
        <v>Unnamed ProjectOldPartOther TimeEntity</v>
      </c>
      <c r="M93" cm="1">
        <f t="array" ref="M93">MAX(IF((ProjectInfoTable[ProjectName]=DiscreteStatsTable[[#This Row],[ProjectName]]),(ProjectInfoTable[ProjectName]=DiscreteStatsTable[[#This Row],[ProjectName]])*ProjectInfoTable[NumberOfReplications]))</f>
        <v>10</v>
      </c>
      <c r="N93" cm="1">
        <f t="array" ref="N93">IFERROR(AVERAGE(IF((DiscreteStatsTable[GroupByKey]=DiscreteStatsTable[[#This Row],[GroupByKey]]),(DiscreteStatsTable[GroupByKey]=DiscreteStatsTable[[#This Row],[GroupByKey]])*DiscreteStatsTable[Average])),0)</f>
        <v>26.5549021198449</v>
      </c>
      <c r="O93" cm="1">
        <f t="array" ref="O93">IFERROR(_xlfn.STDEV.S(IF((DiscreteStatsTable[GroupByKey]=DiscreteStatsTable[[#This Row],[GroupByKey]]),(DiscreteStatsTable[GroupByKey]=DiscreteStatsTable[[#This Row],[GroupByKey]])*DiscreteStatsTable[Average])),0)</f>
        <v>0.10060394881248749</v>
      </c>
      <c r="P93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7.1967729550932169E-2</v>
      </c>
      <c r="R93" cm="1">
        <f t="array" ref="R93">MIN(IF((DiscreteStatsTable[GroupByKey]=DiscreteStatsTable[[#This Row],[GroupByKey]]),(DiscreteStatsTable[GroupByKey]=DiscreteStatsTable[[#This Row],[GroupByKey]])*DiscreteStatsTable[Average]))</f>
        <v>26.429032514931901</v>
      </c>
      <c r="S93" cm="1">
        <f t="array" ref="S93">MAX(IF((DiscreteStatsTable[GroupByKey]=DiscreteStatsTable[[#This Row],[GroupByKey]]),(DiscreteStatsTable[GroupByKey]=DiscreteStatsTable[[#This Row],[GroupByKey]])*DiscreteStatsTable[Average]))</f>
        <v>26.770475746157199</v>
      </c>
      <c r="T93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cm="1">
        <f t="array" ref="U93">MAX(IF((DiscreteStatsTable[GroupByKey]=DiscreteStatsTable[[#This Row],[GroupByKey]]),(DiscreteStatsTable[GroupByKey]=DiscreteStatsTable[[#This Row],[GroupByKey]])*DiscreteStatsTable[Maximum]))</f>
        <v>102.681411641621</v>
      </c>
      <c r="V93" cm="1">
        <f t="array" ref="V93">IFERROR(AVERAGE(IF((DiscreteStatsTable[GroupByKey]=DiscreteStatsTable[[#This Row],[GroupByKey]]),(DiscreteStatsTable[GroupByKey]=DiscreteStatsTable[[#This Row],[GroupByKey]])*DiscreteStatsTable[NumberObservations])),0)</f>
        <v>39114.6</v>
      </c>
      <c r="W93">
        <f>IF((DiscreteStatsTable[[#This Row],[RepsRequested]]&gt;1),DiscreteStatsTable[[#This Row],[HalfWidth]],DiscreteStatsTable[[#This Row],[BatchMeansHalfWidth]])</f>
        <v>7.1967729550932169E-2</v>
      </c>
      <c r="X93" cm="1">
        <f t="array" ref="X93">COUNT(IF((DiscreteStatsTable[GroupByKey]=DiscreteStatsTable[[#This Row],[GroupByKey]]),(DiscreteStatsTable[GroupByKey]=DiscreteStatsTable[[#This Row],[GroupByKey]])*DiscreteStatsTable[Replication]))</f>
        <v>10</v>
      </c>
      <c r="Y93">
        <f>IF(DiscreteStatsTable[[#This Row],[RepsRequested]]=DiscreteStatsTable[[#This Row],[RepsWithStatObserved]],1,0)</f>
        <v>1</v>
      </c>
    </row>
    <row r="94" spans="1:25" x14ac:dyDescent="0.25">
      <c r="A94" t="s">
        <v>67</v>
      </c>
      <c r="B94" t="s">
        <v>69</v>
      </c>
      <c r="C94">
        <v>1</v>
      </c>
      <c r="D94" t="s">
        <v>83</v>
      </c>
      <c r="E94" t="s">
        <v>79</v>
      </c>
      <c r="F94" t="s">
        <v>77</v>
      </c>
      <c r="G94">
        <v>69.282495076368093</v>
      </c>
      <c r="H94">
        <v>2.6722706004228201</v>
      </c>
      <c r="I94">
        <v>2.5999999993946399</v>
      </c>
      <c r="J94">
        <v>577.18863697542099</v>
      </c>
      <c r="K94">
        <v>38588</v>
      </c>
      <c r="L94" t="str">
        <f>DiscreteStatsTable[[#This Row],[ProjectName]]&amp;DiscreteStatsTable[[#This Row],[Name]]&amp;DiscreteStatsTable[[#This Row],[Type]]&amp;DiscreteStatsTable[[#This Row],[Source]]</f>
        <v>Unnamed ProjectOldPartTotal TimeEntity</v>
      </c>
      <c r="M94" cm="1">
        <f t="array" ref="M94">MAX(IF((ProjectInfoTable[ProjectName]=DiscreteStatsTable[[#This Row],[ProjectName]]),(ProjectInfoTable[ProjectName]=DiscreteStatsTable[[#This Row],[ProjectName]])*ProjectInfoTable[NumberOfReplications]))</f>
        <v>10</v>
      </c>
      <c r="N94" cm="1">
        <f t="array" ref="N94">IFERROR(AVERAGE(IF((DiscreteStatsTable[GroupByKey]=DiscreteStatsTable[[#This Row],[GroupByKey]]),(DiscreteStatsTable[GroupByKey]=DiscreteStatsTable[[#This Row],[GroupByKey]])*DiscreteStatsTable[Average])),0)</f>
        <v>69.628311992504038</v>
      </c>
      <c r="O94" cm="1">
        <f t="array" ref="O94">IFERROR(_xlfn.STDEV.S(IF((DiscreteStatsTable[GroupByKey]=DiscreteStatsTable[[#This Row],[GroupByKey]]),(DiscreteStatsTable[GroupByKey]=DiscreteStatsTable[[#This Row],[GroupByKey]])*DiscreteStatsTable[Average])),0)</f>
        <v>1.2322643661026464</v>
      </c>
      <c r="P94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0.88150882427309152</v>
      </c>
      <c r="R94" cm="1">
        <f t="array" ref="R94">MIN(IF((DiscreteStatsTable[GroupByKey]=DiscreteStatsTable[[#This Row],[GroupByKey]]),(DiscreteStatsTable[GroupByKey]=DiscreteStatsTable[[#This Row],[GroupByKey]])*DiscreteStatsTable[Average]))</f>
        <v>67.806850464608502</v>
      </c>
      <c r="S94" cm="1">
        <f t="array" ref="S94">MAX(IF((DiscreteStatsTable[GroupByKey]=DiscreteStatsTable[[#This Row],[GroupByKey]]),(DiscreteStatsTable[GroupByKey]=DiscreteStatsTable[[#This Row],[GroupByKey]])*DiscreteStatsTable[Average]))</f>
        <v>71.785243392167402</v>
      </c>
      <c r="T94" cm="1">
        <f t="array" ref="T94">MIN(IF((DiscreteStatsTable[GroupByKey]=DiscreteStatsTable[[#This Row],[GroupByKey]]),(DiscreteStatsTable[GroupByKey]=DiscreteStatsTable[[#This Row],[GroupByKey]])*DiscreteStatsTable[Minimum]))</f>
        <v>2.5999999993946399</v>
      </c>
      <c r="U94" cm="1">
        <f t="array" ref="U94">MAX(IF((DiscreteStatsTable[GroupByKey]=DiscreteStatsTable[[#This Row],[GroupByKey]]),(DiscreteStatsTable[GroupByKey]=DiscreteStatsTable[[#This Row],[GroupByKey]])*DiscreteStatsTable[Maximum]))</f>
        <v>801.14163618703606</v>
      </c>
      <c r="V94" cm="1">
        <f t="array" ref="V94">IFERROR(AVERAGE(IF((DiscreteStatsTable[GroupByKey]=DiscreteStatsTable[[#This Row],[GroupByKey]]),(DiscreteStatsTable[GroupByKey]=DiscreteStatsTable[[#This Row],[GroupByKey]])*DiscreteStatsTable[NumberObservations])),0)</f>
        <v>39114.6</v>
      </c>
      <c r="W94">
        <f>IF((DiscreteStatsTable[[#This Row],[RepsRequested]]&gt;1),DiscreteStatsTable[[#This Row],[HalfWidth]],DiscreteStatsTable[[#This Row],[BatchMeansHalfWidth]])</f>
        <v>0.88150882427309152</v>
      </c>
      <c r="X94" cm="1">
        <f t="array" ref="X94">COUNT(IF((DiscreteStatsTable[GroupByKey]=DiscreteStatsTable[[#This Row],[GroupByKey]]),(DiscreteStatsTable[GroupByKey]=DiscreteStatsTable[[#This Row],[GroupByKey]])*DiscreteStatsTable[Replication]))</f>
        <v>10</v>
      </c>
      <c r="Y94">
        <f>IF(DiscreteStatsTable[[#This Row],[RepsRequested]]=DiscreteStatsTable[[#This Row],[RepsWithStatObserved]],1,0)</f>
        <v>1</v>
      </c>
    </row>
    <row r="95" spans="1:25" x14ac:dyDescent="0.25">
      <c r="A95" t="s">
        <v>67</v>
      </c>
      <c r="B95" t="s">
        <v>69</v>
      </c>
      <c r="C95">
        <v>1</v>
      </c>
      <c r="D95" t="s">
        <v>83</v>
      </c>
      <c r="E95" t="s">
        <v>80</v>
      </c>
      <c r="F95" t="s">
        <v>77</v>
      </c>
      <c r="G95">
        <v>14.931691684612799</v>
      </c>
      <c r="H95">
        <v>0.13740645010875399</v>
      </c>
      <c r="I95">
        <v>2.5999999993946399</v>
      </c>
      <c r="J95">
        <v>199.77102312236099</v>
      </c>
      <c r="K95">
        <v>38588</v>
      </c>
      <c r="L95" t="str">
        <f>DiscreteStatsTable[[#This Row],[ProjectName]]&amp;DiscreteStatsTable[[#This Row],[Name]]&amp;DiscreteStatsTable[[#This Row],[Type]]&amp;DiscreteStatsTable[[#This Row],[Source]]</f>
        <v>Unnamed ProjectOldPartTransfer TimeEntity</v>
      </c>
      <c r="M95" cm="1">
        <f t="array" ref="M95">MAX(IF((ProjectInfoTable[ProjectName]=DiscreteStatsTable[[#This Row],[ProjectName]]),(ProjectInfoTable[ProjectName]=DiscreteStatsTable[[#This Row],[ProjectName]])*ProjectInfoTable[NumberOfReplications]))</f>
        <v>10</v>
      </c>
      <c r="N95" cm="1">
        <f t="array" ref="N95">IFERROR(AVERAGE(IF((DiscreteStatsTable[GroupByKey]=DiscreteStatsTable[[#This Row],[GroupByKey]]),(DiscreteStatsTable[GroupByKey]=DiscreteStatsTable[[#This Row],[GroupByKey]])*DiscreteStatsTable[Average])),0)</f>
        <v>14.80738990479856</v>
      </c>
      <c r="O95" cm="1">
        <f t="array" ref="O95">IFERROR(_xlfn.STDEV.S(IF((DiscreteStatsTable[GroupByKey]=DiscreteStatsTable[[#This Row],[GroupByKey]]),(DiscreteStatsTable[GroupByKey]=DiscreteStatsTable[[#This Row],[GroupByKey]])*DiscreteStatsTable[Average])),0)</f>
        <v>8.7394837578947643E-2</v>
      </c>
      <c r="P9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6.2518500608284761E-2</v>
      </c>
      <c r="R95" cm="1">
        <f t="array" ref="R95">MIN(IF((DiscreteStatsTable[GroupByKey]=DiscreteStatsTable[[#This Row],[GroupByKey]]),(DiscreteStatsTable[GroupByKey]=DiscreteStatsTable[[#This Row],[GroupByKey]])*DiscreteStatsTable[Average]))</f>
        <v>14.638753868636099</v>
      </c>
      <c r="S95" cm="1">
        <f t="array" ref="S95">MAX(IF((DiscreteStatsTable[GroupByKey]=DiscreteStatsTable[[#This Row],[GroupByKey]]),(DiscreteStatsTable[GroupByKey]=DiscreteStatsTable[[#This Row],[GroupByKey]])*DiscreteStatsTable[Average]))</f>
        <v>14.938387130672201</v>
      </c>
      <c r="T95" cm="1">
        <f t="array" ref="T95">MIN(IF((DiscreteStatsTable[GroupByKey]=DiscreteStatsTable[[#This Row],[GroupByKey]]),(DiscreteStatsTable[GroupByKey]=DiscreteStatsTable[[#This Row],[GroupByKey]])*DiscreteStatsTable[Minimum]))</f>
        <v>2.5999999993946399</v>
      </c>
      <c r="U95" cm="1">
        <f t="array" ref="U95">MAX(IF((DiscreteStatsTable[GroupByKey]=DiscreteStatsTable[[#This Row],[GroupByKey]]),(DiscreteStatsTable[GroupByKey]=DiscreteStatsTable[[#This Row],[GroupByKey]])*DiscreteStatsTable[Maximum]))</f>
        <v>301.61300022101199</v>
      </c>
      <c r="V95" cm="1">
        <f t="array" ref="V95">IFERROR(AVERAGE(IF((DiscreteStatsTable[GroupByKey]=DiscreteStatsTable[[#This Row],[GroupByKey]]),(DiscreteStatsTable[GroupByKey]=DiscreteStatsTable[[#This Row],[GroupByKey]])*DiscreteStatsTable[NumberObservations])),0)</f>
        <v>39114.6</v>
      </c>
      <c r="W95">
        <f>IF((DiscreteStatsTable[[#This Row],[RepsRequested]]&gt;1),DiscreteStatsTable[[#This Row],[HalfWidth]],DiscreteStatsTable[[#This Row],[BatchMeansHalfWidth]])</f>
        <v>6.2518500608284761E-2</v>
      </c>
      <c r="X95" cm="1">
        <f t="array" ref="X95">COUNT(IF((DiscreteStatsTable[GroupByKey]=DiscreteStatsTable[[#This Row],[GroupByKey]]),(DiscreteStatsTable[GroupByKey]=DiscreteStatsTable[[#This Row],[GroupByKey]])*DiscreteStatsTable[Replication]))</f>
        <v>10</v>
      </c>
      <c r="Y95">
        <f>IF(DiscreteStatsTable[[#This Row],[RepsRequested]]=DiscreteStatsTable[[#This Row],[RepsWithStatObserved]],1,0)</f>
        <v>1</v>
      </c>
    </row>
    <row r="96" spans="1:25" x14ac:dyDescent="0.25">
      <c r="A96" t="s">
        <v>67</v>
      </c>
      <c r="B96" t="s">
        <v>69</v>
      </c>
      <c r="C96">
        <v>1</v>
      </c>
      <c r="D96" t="s">
        <v>83</v>
      </c>
      <c r="E96" t="s">
        <v>81</v>
      </c>
      <c r="F96" t="s">
        <v>77</v>
      </c>
      <c r="G96">
        <v>2.7981755986317198</v>
      </c>
      <c r="H96">
        <v>2.7924028713629701E-2</v>
      </c>
      <c r="I96">
        <v>0</v>
      </c>
      <c r="J96">
        <v>8</v>
      </c>
      <c r="K96">
        <v>38588</v>
      </c>
      <c r="L96" t="str">
        <f>DiscreteStatsTable[[#This Row],[ProjectName]]&amp;DiscreteStatsTable[[#This Row],[Name]]&amp;DiscreteStatsTable[[#This Row],[Type]]&amp;DiscreteStatsTable[[#This Row],[Source]]</f>
        <v>Unnamed ProjectOldPartVA TimeEntity</v>
      </c>
      <c r="M96" cm="1">
        <f t="array" ref="M96">MAX(IF((ProjectInfoTable[ProjectName]=DiscreteStatsTable[[#This Row],[ProjectName]]),(ProjectInfoTable[ProjectName]=DiscreteStatsTable[[#This Row],[ProjectName]])*ProjectInfoTable[NumberOfReplications]))</f>
        <v>10</v>
      </c>
      <c r="N96" cm="1">
        <f t="array" ref="N96">IFERROR(AVERAGE(IF((DiscreteStatsTable[GroupByKey]=DiscreteStatsTable[[#This Row],[GroupByKey]]),(DiscreteStatsTable[GroupByKey]=DiscreteStatsTable[[#This Row],[GroupByKey]])*DiscreteStatsTable[Average])),0)</f>
        <v>2.8068584162430272</v>
      </c>
      <c r="O96" cm="1">
        <f t="array" ref="O96">IFERROR(_xlfn.STDEV.S(IF((DiscreteStatsTable[GroupByKey]=DiscreteStatsTable[[#This Row],[GroupByKey]]),(DiscreteStatsTable[GroupByKey]=DiscreteStatsTable[[#This Row],[GroupByKey]])*DiscreteStatsTable[Average])),0)</f>
        <v>1.0844368772089623E-2</v>
      </c>
      <c r="P96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7.7575940920069286E-3</v>
      </c>
      <c r="R96" cm="1">
        <f t="array" ref="R96">MIN(IF((DiscreteStatsTable[GroupByKey]=DiscreteStatsTable[[#This Row],[GroupByKey]]),(DiscreteStatsTable[GroupByKey]=DiscreteStatsTable[[#This Row],[GroupByKey]])*DiscreteStatsTable[Average]))</f>
        <v>2.7926069641580802</v>
      </c>
      <c r="S96" cm="1">
        <f t="array" ref="S96">MAX(IF((DiscreteStatsTable[GroupByKey]=DiscreteStatsTable[[#This Row],[GroupByKey]]),(DiscreteStatsTable[GroupByKey]=DiscreteStatsTable[[#This Row],[GroupByKey]])*DiscreteStatsTable[Average]))</f>
        <v>2.8286311922860898</v>
      </c>
      <c r="T96" cm="1">
        <f t="array" ref="T96">MIN(IF((DiscreteStatsTable[GroupByKey]=DiscreteStatsTable[[#This Row],[GroupByKey]]),(DiscreteStatsTable[GroupByKey]=DiscreteStatsTable[[#This Row],[GroupByKey]])*DiscreteStatsTable[Minimum]))</f>
        <v>0</v>
      </c>
      <c r="U96" cm="1">
        <f t="array" ref="U96">MAX(IF((DiscreteStatsTable[GroupByKey]=DiscreteStatsTable[[#This Row],[GroupByKey]]),(DiscreteStatsTable[GroupByKey]=DiscreteStatsTable[[#This Row],[GroupByKey]])*DiscreteStatsTable[Maximum]))</f>
        <v>8.0000000000291003</v>
      </c>
      <c r="V96" cm="1">
        <f t="array" ref="V96">IFERROR(AVERAGE(IF((DiscreteStatsTable[GroupByKey]=DiscreteStatsTable[[#This Row],[GroupByKey]]),(DiscreteStatsTable[GroupByKey]=DiscreteStatsTable[[#This Row],[GroupByKey]])*DiscreteStatsTable[NumberObservations])),0)</f>
        <v>39114.6</v>
      </c>
      <c r="W96">
        <f>IF((DiscreteStatsTable[[#This Row],[RepsRequested]]&gt;1),DiscreteStatsTable[[#This Row],[HalfWidth]],DiscreteStatsTable[[#This Row],[BatchMeansHalfWidth]])</f>
        <v>7.7575940920069286E-3</v>
      </c>
      <c r="X96" cm="1">
        <f t="array" ref="X96">COUNT(IF((DiscreteStatsTable[GroupByKey]=DiscreteStatsTable[[#This Row],[GroupByKey]]),(DiscreteStatsTable[GroupByKey]=DiscreteStatsTable[[#This Row],[GroupByKey]])*DiscreteStatsTable[Replication]))</f>
        <v>10</v>
      </c>
      <c r="Y96">
        <f>IF(DiscreteStatsTable[[#This Row],[RepsRequested]]=DiscreteStatsTable[[#This Row],[RepsWithStatObserved]],1,0)</f>
        <v>1</v>
      </c>
    </row>
    <row r="97" spans="1:25" x14ac:dyDescent="0.25">
      <c r="A97" t="s">
        <v>67</v>
      </c>
      <c r="B97" t="s">
        <v>69</v>
      </c>
      <c r="C97">
        <v>1</v>
      </c>
      <c r="D97" t="s">
        <v>83</v>
      </c>
      <c r="E97" t="s">
        <v>82</v>
      </c>
      <c r="F97" t="s">
        <v>77</v>
      </c>
      <c r="G97">
        <v>25.07817181655</v>
      </c>
      <c r="H97">
        <v>2.50694922970805</v>
      </c>
      <c r="I97">
        <v>0</v>
      </c>
      <c r="J97">
        <v>465.669918536296</v>
      </c>
      <c r="K97">
        <v>38588</v>
      </c>
      <c r="L97" t="str">
        <f>DiscreteStatsTable[[#This Row],[ProjectName]]&amp;DiscreteStatsTable[[#This Row],[Name]]&amp;DiscreteStatsTable[[#This Row],[Type]]&amp;DiscreteStatsTable[[#This Row],[Source]]</f>
        <v>Unnamed ProjectOldPartWait TimeEntity</v>
      </c>
      <c r="M97" cm="1">
        <f t="array" ref="M97">MAX(IF((ProjectInfoTable[ProjectName]=DiscreteStatsTable[[#This Row],[ProjectName]]),(ProjectInfoTable[ProjectName]=DiscreteStatsTable[[#This Row],[ProjectName]])*ProjectInfoTable[NumberOfReplications]))</f>
        <v>10</v>
      </c>
      <c r="N97" cm="1">
        <f t="array" ref="N97">IFERROR(AVERAGE(IF((DiscreteStatsTable[GroupByKey]=DiscreteStatsTable[[#This Row],[GroupByKey]]),(DiscreteStatsTable[GroupByKey]=DiscreteStatsTable[[#This Row],[GroupByKey]])*DiscreteStatsTable[Average])),0)</f>
        <v>25.459161551617594</v>
      </c>
      <c r="O97" cm="1">
        <f t="array" ref="O97">IFERROR(_xlfn.STDEV.S(IF((DiscreteStatsTable[GroupByKey]=DiscreteStatsTable[[#This Row],[GroupByKey]]),(DiscreteStatsTable[GroupByKey]=DiscreteStatsTable[[#This Row],[GroupByKey]])*DiscreteStatsTable[Average])),0)</f>
        <v>1.1829151497487862</v>
      </c>
      <c r="P97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0.84620652155011711</v>
      </c>
      <c r="R97" cm="1">
        <f t="array" ref="R97">MIN(IF((DiscreteStatsTable[GroupByKey]=DiscreteStatsTable[[#This Row],[GroupByKey]]),(DiscreteStatsTable[GroupByKey]=DiscreteStatsTable[[#This Row],[GroupByKey]])*DiscreteStatsTable[Average]))</f>
        <v>23.749747212782399</v>
      </c>
      <c r="S97" cm="1">
        <f t="array" ref="S97">MAX(IF((DiscreteStatsTable[GroupByKey]=DiscreteStatsTable[[#This Row],[GroupByKey]]),(DiscreteStatsTable[GroupByKey]=DiscreteStatsTable[[#This Row],[GroupByKey]])*DiscreteStatsTable[Average]))</f>
        <v>27.4385105303964</v>
      </c>
      <c r="T97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cm="1">
        <f t="array" ref="U97">MAX(IF((DiscreteStatsTable[GroupByKey]=DiscreteStatsTable[[#This Row],[GroupByKey]]),(DiscreteStatsTable[GroupByKey]=DiscreteStatsTable[[#This Row],[GroupByKey]])*DiscreteStatsTable[Maximum]))</f>
        <v>697.97683727095102</v>
      </c>
      <c r="V97" cm="1">
        <f t="array" ref="V97">IFERROR(AVERAGE(IF((DiscreteStatsTable[GroupByKey]=DiscreteStatsTable[[#This Row],[GroupByKey]]),(DiscreteStatsTable[GroupByKey]=DiscreteStatsTable[[#This Row],[GroupByKey]])*DiscreteStatsTable[NumberObservations])),0)</f>
        <v>39114.6</v>
      </c>
      <c r="W97">
        <f>IF((DiscreteStatsTable[[#This Row],[RepsRequested]]&gt;1),DiscreteStatsTable[[#This Row],[HalfWidth]],DiscreteStatsTable[[#This Row],[BatchMeansHalfWidth]])</f>
        <v>0.84620652155011711</v>
      </c>
      <c r="X97" cm="1">
        <f t="array" ref="X97">COUNT(IF((DiscreteStatsTable[GroupByKey]=DiscreteStatsTable[[#This Row],[GroupByKey]]),(DiscreteStatsTable[GroupByKey]=DiscreteStatsTable[[#This Row],[GroupByKey]])*DiscreteStatsTable[Replication]))</f>
        <v>10</v>
      </c>
      <c r="Y97">
        <f>IF(DiscreteStatsTable[[#This Row],[RepsRequested]]=DiscreteStatsTable[[#This Row],[RepsWithStatObserved]],1,0)</f>
        <v>1</v>
      </c>
    </row>
    <row r="98" spans="1:25" x14ac:dyDescent="0.25">
      <c r="A98" t="s">
        <v>67</v>
      </c>
      <c r="B98" t="s">
        <v>69</v>
      </c>
      <c r="C98">
        <v>2</v>
      </c>
      <c r="D98" t="s">
        <v>83</v>
      </c>
      <c r="E98" t="s">
        <v>76</v>
      </c>
      <c r="F98" t="s">
        <v>77</v>
      </c>
      <c r="G98">
        <v>0</v>
      </c>
      <c r="H98">
        <v>0</v>
      </c>
      <c r="I98">
        <v>0</v>
      </c>
      <c r="J98">
        <v>0</v>
      </c>
      <c r="K98">
        <v>39189</v>
      </c>
      <c r="L98" t="str">
        <f>DiscreteStatsTable[[#This Row],[ProjectName]]&amp;DiscreteStatsTable[[#This Row],[Name]]&amp;DiscreteStatsTable[[#This Row],[Type]]&amp;DiscreteStatsTable[[#This Row],[Source]]</f>
        <v>Unnamed ProjectOldPartNVA TimeEntity</v>
      </c>
      <c r="M98" cm="1">
        <f t="array" ref="M98">MAX(IF((ProjectInfoTable[ProjectName]=DiscreteStatsTable[[#This Row],[ProjectName]]),(ProjectInfoTable[ProjectName]=DiscreteStatsTable[[#This Row],[ProjectName]])*ProjectInfoTable[NumberOfReplications]))</f>
        <v>10</v>
      </c>
      <c r="N98" cm="1">
        <f t="array" ref="N98">IFERROR(AVERAGE(IF((DiscreteStatsTable[GroupByKey]=DiscreteStatsTable[[#This Row],[GroupByKey]]),(DiscreteStatsTable[GroupByKey]=DiscreteStatsTable[[#This Row],[GroupByKey]])*DiscreteStatsTable[Average])),0)</f>
        <v>0</v>
      </c>
      <c r="O98" cm="1">
        <f t="array" ref="O98">IFERROR(_xlfn.STDEV.S(IF((DiscreteStatsTable[GroupByKey]=DiscreteStatsTable[[#This Row],[GroupByKey]]),(DiscreteStatsTable[GroupByKey]=DiscreteStatsTable[[#This Row],[GroupByKey]])*DiscreteStatsTable[Average])),0)</f>
        <v>0</v>
      </c>
      <c r="P98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" cm="1">
        <f t="array" ref="R98">MIN(IF((DiscreteStatsTable[GroupByKey]=DiscreteStatsTable[[#This Row],[GroupByKey]]),(DiscreteStatsTable[GroupByKey]=DiscreteStatsTable[[#This Row],[GroupByKey]])*DiscreteStatsTable[Average]))</f>
        <v>0</v>
      </c>
      <c r="S98" cm="1">
        <f t="array" ref="S98">MAX(IF((DiscreteStatsTable[GroupByKey]=DiscreteStatsTable[[#This Row],[GroupByKey]]),(DiscreteStatsTable[GroupByKey]=DiscreteStatsTable[[#This Row],[GroupByKey]])*DiscreteStatsTable[Average]))</f>
        <v>0</v>
      </c>
      <c r="T98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cm="1">
        <f t="array" ref="U98">MAX(IF((DiscreteStatsTable[GroupByKey]=DiscreteStatsTable[[#This Row],[GroupByKey]]),(DiscreteStatsTable[GroupByKey]=DiscreteStatsTable[[#This Row],[GroupByKey]])*DiscreteStatsTable[Maximum]))</f>
        <v>0</v>
      </c>
      <c r="V98" cm="1">
        <f t="array" ref="V98">IFERROR(AVERAGE(IF((DiscreteStatsTable[GroupByKey]=DiscreteStatsTable[[#This Row],[GroupByKey]]),(DiscreteStatsTable[GroupByKey]=DiscreteStatsTable[[#This Row],[GroupByKey]])*DiscreteStatsTable[NumberObservations])),0)</f>
        <v>39114.6</v>
      </c>
      <c r="W98">
        <f>IF((DiscreteStatsTable[[#This Row],[RepsRequested]]&gt;1),DiscreteStatsTable[[#This Row],[HalfWidth]],DiscreteStatsTable[[#This Row],[BatchMeansHalfWidth]])</f>
        <v>0</v>
      </c>
      <c r="X98" cm="1">
        <f t="array" ref="X98">COUNT(IF((DiscreteStatsTable[GroupByKey]=DiscreteStatsTable[[#This Row],[GroupByKey]]),(DiscreteStatsTable[GroupByKey]=DiscreteStatsTable[[#This Row],[GroupByKey]])*DiscreteStatsTable[Replication]))</f>
        <v>10</v>
      </c>
      <c r="Y98">
        <f>IF(DiscreteStatsTable[[#This Row],[RepsRequested]]=DiscreteStatsTable[[#This Row],[RepsWithStatObserved]],1,0)</f>
        <v>1</v>
      </c>
    </row>
    <row r="99" spans="1:25" x14ac:dyDescent="0.25">
      <c r="A99" t="s">
        <v>67</v>
      </c>
      <c r="B99" t="s">
        <v>69</v>
      </c>
      <c r="C99">
        <v>2</v>
      </c>
      <c r="D99" t="s">
        <v>83</v>
      </c>
      <c r="E99" t="s">
        <v>78</v>
      </c>
      <c r="F99" t="s">
        <v>77</v>
      </c>
      <c r="G99">
        <v>26.505172793220499</v>
      </c>
      <c r="H99">
        <v>0.31865517074726601</v>
      </c>
      <c r="I99">
        <v>0</v>
      </c>
      <c r="J99">
        <v>102.681411641621</v>
      </c>
      <c r="K99">
        <v>39189</v>
      </c>
      <c r="L99" t="str">
        <f>DiscreteStatsTable[[#This Row],[ProjectName]]&amp;DiscreteStatsTable[[#This Row],[Name]]&amp;DiscreteStatsTable[[#This Row],[Type]]&amp;DiscreteStatsTable[[#This Row],[Source]]</f>
        <v>Unnamed ProjectOldPartOther TimeEntity</v>
      </c>
      <c r="M99" cm="1">
        <f t="array" ref="M99">MAX(IF((ProjectInfoTable[ProjectName]=DiscreteStatsTable[[#This Row],[ProjectName]]),(ProjectInfoTable[ProjectName]=DiscreteStatsTable[[#This Row],[ProjectName]])*ProjectInfoTable[NumberOfReplications]))</f>
        <v>10</v>
      </c>
      <c r="N99" cm="1">
        <f t="array" ref="N99">IFERROR(AVERAGE(IF((DiscreteStatsTable[GroupByKey]=DiscreteStatsTable[[#This Row],[GroupByKey]]),(DiscreteStatsTable[GroupByKey]=DiscreteStatsTable[[#This Row],[GroupByKey]])*DiscreteStatsTable[Average])),0)</f>
        <v>26.5549021198449</v>
      </c>
      <c r="O99" cm="1">
        <f t="array" ref="O99">IFERROR(_xlfn.STDEV.S(IF((DiscreteStatsTable[GroupByKey]=DiscreteStatsTable[[#This Row],[GroupByKey]]),(DiscreteStatsTable[GroupByKey]=DiscreteStatsTable[[#This Row],[GroupByKey]])*DiscreteStatsTable[Average])),0)</f>
        <v>0.10060394881248749</v>
      </c>
      <c r="P99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7.1967729550932169E-2</v>
      </c>
      <c r="R99" cm="1">
        <f t="array" ref="R99">MIN(IF((DiscreteStatsTable[GroupByKey]=DiscreteStatsTable[[#This Row],[GroupByKey]]),(DiscreteStatsTable[GroupByKey]=DiscreteStatsTable[[#This Row],[GroupByKey]])*DiscreteStatsTable[Average]))</f>
        <v>26.429032514931901</v>
      </c>
      <c r="S99" cm="1">
        <f t="array" ref="S99">MAX(IF((DiscreteStatsTable[GroupByKey]=DiscreteStatsTable[[#This Row],[GroupByKey]]),(DiscreteStatsTable[GroupByKey]=DiscreteStatsTable[[#This Row],[GroupByKey]])*DiscreteStatsTable[Average]))</f>
        <v>26.770475746157199</v>
      </c>
      <c r="T99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cm="1">
        <f t="array" ref="U99">MAX(IF((DiscreteStatsTable[GroupByKey]=DiscreteStatsTable[[#This Row],[GroupByKey]]),(DiscreteStatsTable[GroupByKey]=DiscreteStatsTable[[#This Row],[GroupByKey]])*DiscreteStatsTable[Maximum]))</f>
        <v>102.681411641621</v>
      </c>
      <c r="V99" cm="1">
        <f t="array" ref="V99">IFERROR(AVERAGE(IF((DiscreteStatsTable[GroupByKey]=DiscreteStatsTable[[#This Row],[GroupByKey]]),(DiscreteStatsTable[GroupByKey]=DiscreteStatsTable[[#This Row],[GroupByKey]])*DiscreteStatsTable[NumberObservations])),0)</f>
        <v>39114.6</v>
      </c>
      <c r="W99">
        <f>IF((DiscreteStatsTable[[#This Row],[RepsRequested]]&gt;1),DiscreteStatsTable[[#This Row],[HalfWidth]],DiscreteStatsTable[[#This Row],[BatchMeansHalfWidth]])</f>
        <v>7.1967729550932169E-2</v>
      </c>
      <c r="X99" cm="1">
        <f t="array" ref="X99">COUNT(IF((DiscreteStatsTable[GroupByKey]=DiscreteStatsTable[[#This Row],[GroupByKey]]),(DiscreteStatsTable[GroupByKey]=DiscreteStatsTable[[#This Row],[GroupByKey]])*DiscreteStatsTable[Replication]))</f>
        <v>10</v>
      </c>
      <c r="Y99">
        <f>IF(DiscreteStatsTable[[#This Row],[RepsRequested]]=DiscreteStatsTable[[#This Row],[RepsWithStatObserved]],1,0)</f>
        <v>1</v>
      </c>
    </row>
    <row r="100" spans="1:25" x14ac:dyDescent="0.25">
      <c r="A100" t="s">
        <v>67</v>
      </c>
      <c r="B100" t="s">
        <v>69</v>
      </c>
      <c r="C100">
        <v>2</v>
      </c>
      <c r="D100" t="s">
        <v>83</v>
      </c>
      <c r="E100" t="s">
        <v>79</v>
      </c>
      <c r="F100" t="s">
        <v>77</v>
      </c>
      <c r="G100">
        <v>69.1600350727131</v>
      </c>
      <c r="H100">
        <v>2.6902873003591301</v>
      </c>
      <c r="I100">
        <v>2.5999999993946399</v>
      </c>
      <c r="J100">
        <v>563.10089742424304</v>
      </c>
      <c r="K100">
        <v>39189</v>
      </c>
      <c r="L100" t="str">
        <f>DiscreteStatsTable[[#This Row],[ProjectName]]&amp;DiscreteStatsTable[[#This Row],[Name]]&amp;DiscreteStatsTable[[#This Row],[Type]]&amp;DiscreteStatsTable[[#This Row],[Source]]</f>
        <v>Unnamed ProjectOldPartTotal TimeEntity</v>
      </c>
      <c r="M100" cm="1">
        <f t="array" ref="M100">MAX(IF((ProjectInfoTable[ProjectName]=DiscreteStatsTable[[#This Row],[ProjectName]]),(ProjectInfoTable[ProjectName]=DiscreteStatsTable[[#This Row],[ProjectName]])*ProjectInfoTable[NumberOfReplications]))</f>
        <v>10</v>
      </c>
      <c r="N100" cm="1">
        <f t="array" ref="N100">IFERROR(AVERAGE(IF((DiscreteStatsTable[GroupByKey]=DiscreteStatsTable[[#This Row],[GroupByKey]]),(DiscreteStatsTable[GroupByKey]=DiscreteStatsTable[[#This Row],[GroupByKey]])*DiscreteStatsTable[Average])),0)</f>
        <v>69.628311992504038</v>
      </c>
      <c r="O100" cm="1">
        <f t="array" ref="O100">IFERROR(_xlfn.STDEV.S(IF((DiscreteStatsTable[GroupByKey]=DiscreteStatsTable[[#This Row],[GroupByKey]]),(DiscreteStatsTable[GroupByKey]=DiscreteStatsTable[[#This Row],[GroupByKey]])*DiscreteStatsTable[Average])),0)</f>
        <v>1.2322643661026464</v>
      </c>
      <c r="P100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0.88150882427309152</v>
      </c>
      <c r="R100" cm="1">
        <f t="array" ref="R100">MIN(IF((DiscreteStatsTable[GroupByKey]=DiscreteStatsTable[[#This Row],[GroupByKey]]),(DiscreteStatsTable[GroupByKey]=DiscreteStatsTable[[#This Row],[GroupByKey]])*DiscreteStatsTable[Average]))</f>
        <v>67.806850464608502</v>
      </c>
      <c r="S100" cm="1">
        <f t="array" ref="S100">MAX(IF((DiscreteStatsTable[GroupByKey]=DiscreteStatsTable[[#This Row],[GroupByKey]]),(DiscreteStatsTable[GroupByKey]=DiscreteStatsTable[[#This Row],[GroupByKey]])*DiscreteStatsTable[Average]))</f>
        <v>71.785243392167402</v>
      </c>
      <c r="T100" cm="1">
        <f t="array" ref="T100">MIN(IF((DiscreteStatsTable[GroupByKey]=DiscreteStatsTable[[#This Row],[GroupByKey]]),(DiscreteStatsTable[GroupByKey]=DiscreteStatsTable[[#This Row],[GroupByKey]])*DiscreteStatsTable[Minimum]))</f>
        <v>2.5999999993946399</v>
      </c>
      <c r="U100" cm="1">
        <f t="array" ref="U100">MAX(IF((DiscreteStatsTable[GroupByKey]=DiscreteStatsTable[[#This Row],[GroupByKey]]),(DiscreteStatsTable[GroupByKey]=DiscreteStatsTable[[#This Row],[GroupByKey]])*DiscreteStatsTable[Maximum]))</f>
        <v>801.14163618703606</v>
      </c>
      <c r="V100" cm="1">
        <f t="array" ref="V100">IFERROR(AVERAGE(IF((DiscreteStatsTable[GroupByKey]=DiscreteStatsTable[[#This Row],[GroupByKey]]),(DiscreteStatsTable[GroupByKey]=DiscreteStatsTable[[#This Row],[GroupByKey]])*DiscreteStatsTable[NumberObservations])),0)</f>
        <v>39114.6</v>
      </c>
      <c r="W100">
        <f>IF((DiscreteStatsTable[[#This Row],[RepsRequested]]&gt;1),DiscreteStatsTable[[#This Row],[HalfWidth]],DiscreteStatsTable[[#This Row],[BatchMeansHalfWidth]])</f>
        <v>0.88150882427309152</v>
      </c>
      <c r="X100" cm="1">
        <f t="array" ref="X100">COUNT(IF((DiscreteStatsTable[GroupByKey]=DiscreteStatsTable[[#This Row],[GroupByKey]]),(DiscreteStatsTable[GroupByKey]=DiscreteStatsTable[[#This Row],[GroupByKey]])*DiscreteStatsTable[Replication]))</f>
        <v>10</v>
      </c>
      <c r="Y100">
        <f>IF(DiscreteStatsTable[[#This Row],[RepsRequested]]=DiscreteStatsTable[[#This Row],[RepsWithStatObserved]],1,0)</f>
        <v>1</v>
      </c>
    </row>
    <row r="101" spans="1:25" x14ac:dyDescent="0.25">
      <c r="A101" t="s">
        <v>67</v>
      </c>
      <c r="B101" t="s">
        <v>69</v>
      </c>
      <c r="C101">
        <v>2</v>
      </c>
      <c r="D101" t="s">
        <v>83</v>
      </c>
      <c r="E101" t="s">
        <v>80</v>
      </c>
      <c r="F101" t="s">
        <v>77</v>
      </c>
      <c r="G101">
        <v>14.752269205410499</v>
      </c>
      <c r="H101">
        <v>0.126643153319736</v>
      </c>
      <c r="I101">
        <v>2.5999999993946399</v>
      </c>
      <c r="J101">
        <v>164.27686626867199</v>
      </c>
      <c r="K101">
        <v>39189</v>
      </c>
      <c r="L101" t="str">
        <f>DiscreteStatsTable[[#This Row],[ProjectName]]&amp;DiscreteStatsTable[[#This Row],[Name]]&amp;DiscreteStatsTable[[#This Row],[Type]]&amp;DiscreteStatsTable[[#This Row],[Source]]</f>
        <v>Unnamed ProjectOldPartTransfer TimeEntity</v>
      </c>
      <c r="M101" cm="1">
        <f t="array" ref="M101">MAX(IF((ProjectInfoTable[ProjectName]=DiscreteStatsTable[[#This Row],[ProjectName]]),(ProjectInfoTable[ProjectName]=DiscreteStatsTable[[#This Row],[ProjectName]])*ProjectInfoTable[NumberOfReplications]))</f>
        <v>10</v>
      </c>
      <c r="N101" cm="1">
        <f t="array" ref="N101">IFERROR(AVERAGE(IF((DiscreteStatsTable[GroupByKey]=DiscreteStatsTable[[#This Row],[GroupByKey]]),(DiscreteStatsTable[GroupByKey]=DiscreteStatsTable[[#This Row],[GroupByKey]])*DiscreteStatsTable[Average])),0)</f>
        <v>14.80738990479856</v>
      </c>
      <c r="O101" cm="1">
        <f t="array" ref="O101">IFERROR(_xlfn.STDEV.S(IF((DiscreteStatsTable[GroupByKey]=DiscreteStatsTable[[#This Row],[GroupByKey]]),(DiscreteStatsTable[GroupByKey]=DiscreteStatsTable[[#This Row],[GroupByKey]])*DiscreteStatsTable[Average])),0)</f>
        <v>8.7394837578947643E-2</v>
      </c>
      <c r="P101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6.2518500608284761E-2</v>
      </c>
      <c r="R101" cm="1">
        <f t="array" ref="R101">MIN(IF((DiscreteStatsTable[GroupByKey]=DiscreteStatsTable[[#This Row],[GroupByKey]]),(DiscreteStatsTable[GroupByKey]=DiscreteStatsTable[[#This Row],[GroupByKey]])*DiscreteStatsTable[Average]))</f>
        <v>14.638753868636099</v>
      </c>
      <c r="S101" cm="1">
        <f t="array" ref="S101">MAX(IF((DiscreteStatsTable[GroupByKey]=DiscreteStatsTable[[#This Row],[GroupByKey]]),(DiscreteStatsTable[GroupByKey]=DiscreteStatsTable[[#This Row],[GroupByKey]])*DiscreteStatsTable[Average]))</f>
        <v>14.938387130672201</v>
      </c>
      <c r="T101" cm="1">
        <f t="array" ref="T101">MIN(IF((DiscreteStatsTable[GroupByKey]=DiscreteStatsTable[[#This Row],[GroupByKey]]),(DiscreteStatsTable[GroupByKey]=DiscreteStatsTable[[#This Row],[GroupByKey]])*DiscreteStatsTable[Minimum]))</f>
        <v>2.5999999993946399</v>
      </c>
      <c r="U101" cm="1">
        <f t="array" ref="U101">MAX(IF((DiscreteStatsTable[GroupByKey]=DiscreteStatsTable[[#This Row],[GroupByKey]]),(DiscreteStatsTable[GroupByKey]=DiscreteStatsTable[[#This Row],[GroupByKey]])*DiscreteStatsTable[Maximum]))</f>
        <v>301.61300022101199</v>
      </c>
      <c r="V101" cm="1">
        <f t="array" ref="V101">IFERROR(AVERAGE(IF((DiscreteStatsTable[GroupByKey]=DiscreteStatsTable[[#This Row],[GroupByKey]]),(DiscreteStatsTable[GroupByKey]=DiscreteStatsTable[[#This Row],[GroupByKey]])*DiscreteStatsTable[NumberObservations])),0)</f>
        <v>39114.6</v>
      </c>
      <c r="W101">
        <f>IF((DiscreteStatsTable[[#This Row],[RepsRequested]]&gt;1),DiscreteStatsTable[[#This Row],[HalfWidth]],DiscreteStatsTable[[#This Row],[BatchMeansHalfWidth]])</f>
        <v>6.2518500608284761E-2</v>
      </c>
      <c r="X101" cm="1">
        <f t="array" ref="X101">COUNT(IF((DiscreteStatsTable[GroupByKey]=DiscreteStatsTable[[#This Row],[GroupByKey]]),(DiscreteStatsTable[GroupByKey]=DiscreteStatsTable[[#This Row],[GroupByKey]])*DiscreteStatsTable[Replication]))</f>
        <v>10</v>
      </c>
      <c r="Y101">
        <f>IF(DiscreteStatsTable[[#This Row],[RepsRequested]]=DiscreteStatsTable[[#This Row],[RepsWithStatObserved]],1,0)</f>
        <v>1</v>
      </c>
    </row>
    <row r="102" spans="1:25" x14ac:dyDescent="0.25">
      <c r="A102" t="s">
        <v>67</v>
      </c>
      <c r="B102" t="s">
        <v>69</v>
      </c>
      <c r="C102">
        <v>2</v>
      </c>
      <c r="D102" t="s">
        <v>83</v>
      </c>
      <c r="E102" t="s">
        <v>81</v>
      </c>
      <c r="F102" t="s">
        <v>77</v>
      </c>
      <c r="G102">
        <v>2.8013983515782699</v>
      </c>
      <c r="H102">
        <v>3.33576638927887E-2</v>
      </c>
      <c r="I102">
        <v>0</v>
      </c>
      <c r="J102">
        <v>8</v>
      </c>
      <c r="K102">
        <v>39189</v>
      </c>
      <c r="L102" t="str">
        <f>DiscreteStatsTable[[#This Row],[ProjectName]]&amp;DiscreteStatsTable[[#This Row],[Name]]&amp;DiscreteStatsTable[[#This Row],[Type]]&amp;DiscreteStatsTable[[#This Row],[Source]]</f>
        <v>Unnamed ProjectOldPartVA TimeEntity</v>
      </c>
      <c r="M102" cm="1">
        <f t="array" ref="M102">MAX(IF((ProjectInfoTable[ProjectName]=DiscreteStatsTable[[#This Row],[ProjectName]]),(ProjectInfoTable[ProjectName]=DiscreteStatsTable[[#This Row],[ProjectName]])*ProjectInfoTable[NumberOfReplications]))</f>
        <v>10</v>
      </c>
      <c r="N102" cm="1">
        <f t="array" ref="N102">IFERROR(AVERAGE(IF((DiscreteStatsTable[GroupByKey]=DiscreteStatsTable[[#This Row],[GroupByKey]]),(DiscreteStatsTable[GroupByKey]=DiscreteStatsTable[[#This Row],[GroupByKey]])*DiscreteStatsTable[Average])),0)</f>
        <v>2.8068584162430272</v>
      </c>
      <c r="O102" cm="1">
        <f t="array" ref="O102">IFERROR(_xlfn.STDEV.S(IF((DiscreteStatsTable[GroupByKey]=DiscreteStatsTable[[#This Row],[GroupByKey]]),(DiscreteStatsTable[GroupByKey]=DiscreteStatsTable[[#This Row],[GroupByKey]])*DiscreteStatsTable[Average])),0)</f>
        <v>1.0844368772089623E-2</v>
      </c>
      <c r="P102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7.7575940920069286E-3</v>
      </c>
      <c r="R102" cm="1">
        <f t="array" ref="R102">MIN(IF((DiscreteStatsTable[GroupByKey]=DiscreteStatsTable[[#This Row],[GroupByKey]]),(DiscreteStatsTable[GroupByKey]=DiscreteStatsTable[[#This Row],[GroupByKey]])*DiscreteStatsTable[Average]))</f>
        <v>2.7926069641580802</v>
      </c>
      <c r="S102" cm="1">
        <f t="array" ref="S102">MAX(IF((DiscreteStatsTable[GroupByKey]=DiscreteStatsTable[[#This Row],[GroupByKey]]),(DiscreteStatsTable[GroupByKey]=DiscreteStatsTable[[#This Row],[GroupByKey]])*DiscreteStatsTable[Average]))</f>
        <v>2.8286311922860898</v>
      </c>
      <c r="T102" cm="1">
        <f t="array" ref="T102">MIN(IF((DiscreteStatsTable[GroupByKey]=DiscreteStatsTable[[#This Row],[GroupByKey]]),(DiscreteStatsTable[GroupByKey]=DiscreteStatsTable[[#This Row],[GroupByKey]])*DiscreteStatsTable[Minimum]))</f>
        <v>0</v>
      </c>
      <c r="U102" cm="1">
        <f t="array" ref="U102">MAX(IF((DiscreteStatsTable[GroupByKey]=DiscreteStatsTable[[#This Row],[GroupByKey]]),(DiscreteStatsTable[GroupByKey]=DiscreteStatsTable[[#This Row],[GroupByKey]])*DiscreteStatsTable[Maximum]))</f>
        <v>8.0000000000291003</v>
      </c>
      <c r="V102" cm="1">
        <f t="array" ref="V102">IFERROR(AVERAGE(IF((DiscreteStatsTable[GroupByKey]=DiscreteStatsTable[[#This Row],[GroupByKey]]),(DiscreteStatsTable[GroupByKey]=DiscreteStatsTable[[#This Row],[GroupByKey]])*DiscreteStatsTable[NumberObservations])),0)</f>
        <v>39114.6</v>
      </c>
      <c r="W102">
        <f>IF((DiscreteStatsTable[[#This Row],[RepsRequested]]&gt;1),DiscreteStatsTable[[#This Row],[HalfWidth]],DiscreteStatsTable[[#This Row],[BatchMeansHalfWidth]])</f>
        <v>7.7575940920069286E-3</v>
      </c>
      <c r="X102" cm="1">
        <f t="array" ref="X102">COUNT(IF((DiscreteStatsTable[GroupByKey]=DiscreteStatsTable[[#This Row],[GroupByKey]]),(DiscreteStatsTable[GroupByKey]=DiscreteStatsTable[[#This Row],[GroupByKey]])*DiscreteStatsTable[Replication]))</f>
        <v>10</v>
      </c>
      <c r="Y102">
        <f>IF(DiscreteStatsTable[[#This Row],[RepsRequested]]=DiscreteStatsTable[[#This Row],[RepsWithStatObserved]],1,0)</f>
        <v>1</v>
      </c>
    </row>
    <row r="103" spans="1:25" x14ac:dyDescent="0.25">
      <c r="A103" t="s">
        <v>67</v>
      </c>
      <c r="B103" t="s">
        <v>69</v>
      </c>
      <c r="C103">
        <v>2</v>
      </c>
      <c r="D103" t="s">
        <v>83</v>
      </c>
      <c r="E103" t="s">
        <v>82</v>
      </c>
      <c r="F103" t="s">
        <v>77</v>
      </c>
      <c r="G103">
        <v>25.101194722503401</v>
      </c>
      <c r="H103">
        <v>2.4526002209603601</v>
      </c>
      <c r="I103">
        <v>0</v>
      </c>
      <c r="J103">
        <v>447.02546741056699</v>
      </c>
      <c r="K103">
        <v>39189</v>
      </c>
      <c r="L103" t="str">
        <f>DiscreteStatsTable[[#This Row],[ProjectName]]&amp;DiscreteStatsTable[[#This Row],[Name]]&amp;DiscreteStatsTable[[#This Row],[Type]]&amp;DiscreteStatsTable[[#This Row],[Source]]</f>
        <v>Unnamed ProjectOldPartWait TimeEntity</v>
      </c>
      <c r="M103" cm="1">
        <f t="array" ref="M103">MAX(IF((ProjectInfoTable[ProjectName]=DiscreteStatsTable[[#This Row],[ProjectName]]),(ProjectInfoTable[ProjectName]=DiscreteStatsTable[[#This Row],[ProjectName]])*ProjectInfoTable[NumberOfReplications]))</f>
        <v>10</v>
      </c>
      <c r="N103" cm="1">
        <f t="array" ref="N103">IFERROR(AVERAGE(IF((DiscreteStatsTable[GroupByKey]=DiscreteStatsTable[[#This Row],[GroupByKey]]),(DiscreteStatsTable[GroupByKey]=DiscreteStatsTable[[#This Row],[GroupByKey]])*DiscreteStatsTable[Average])),0)</f>
        <v>25.459161551617594</v>
      </c>
      <c r="O103" cm="1">
        <f t="array" ref="O103">IFERROR(_xlfn.STDEV.S(IF((DiscreteStatsTable[GroupByKey]=DiscreteStatsTable[[#This Row],[GroupByKey]]),(DiscreteStatsTable[GroupByKey]=DiscreteStatsTable[[#This Row],[GroupByKey]])*DiscreteStatsTable[Average])),0)</f>
        <v>1.1829151497487862</v>
      </c>
      <c r="P103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0.84620652155011711</v>
      </c>
      <c r="R103" cm="1">
        <f t="array" ref="R103">MIN(IF((DiscreteStatsTable[GroupByKey]=DiscreteStatsTable[[#This Row],[GroupByKey]]),(DiscreteStatsTable[GroupByKey]=DiscreteStatsTable[[#This Row],[GroupByKey]])*DiscreteStatsTable[Average]))</f>
        <v>23.749747212782399</v>
      </c>
      <c r="S103" cm="1">
        <f t="array" ref="S103">MAX(IF((DiscreteStatsTable[GroupByKey]=DiscreteStatsTable[[#This Row],[GroupByKey]]),(DiscreteStatsTable[GroupByKey]=DiscreteStatsTable[[#This Row],[GroupByKey]])*DiscreteStatsTable[Average]))</f>
        <v>27.4385105303964</v>
      </c>
      <c r="T103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cm="1">
        <f t="array" ref="U103">MAX(IF((DiscreteStatsTable[GroupByKey]=DiscreteStatsTable[[#This Row],[GroupByKey]]),(DiscreteStatsTable[GroupByKey]=DiscreteStatsTable[[#This Row],[GroupByKey]])*DiscreteStatsTable[Maximum]))</f>
        <v>697.97683727095102</v>
      </c>
      <c r="V103" cm="1">
        <f t="array" ref="V103">IFERROR(AVERAGE(IF((DiscreteStatsTable[GroupByKey]=DiscreteStatsTable[[#This Row],[GroupByKey]]),(DiscreteStatsTable[GroupByKey]=DiscreteStatsTable[[#This Row],[GroupByKey]])*DiscreteStatsTable[NumberObservations])),0)</f>
        <v>39114.6</v>
      </c>
      <c r="W103">
        <f>IF((DiscreteStatsTable[[#This Row],[RepsRequested]]&gt;1),DiscreteStatsTable[[#This Row],[HalfWidth]],DiscreteStatsTable[[#This Row],[BatchMeansHalfWidth]])</f>
        <v>0.84620652155011711</v>
      </c>
      <c r="X103" cm="1">
        <f t="array" ref="X103">COUNT(IF((DiscreteStatsTable[GroupByKey]=DiscreteStatsTable[[#This Row],[GroupByKey]]),(DiscreteStatsTable[GroupByKey]=DiscreteStatsTable[[#This Row],[GroupByKey]])*DiscreteStatsTable[Replication]))</f>
        <v>10</v>
      </c>
      <c r="Y103">
        <f>IF(DiscreteStatsTable[[#This Row],[RepsRequested]]=DiscreteStatsTable[[#This Row],[RepsWithStatObserved]],1,0)</f>
        <v>1</v>
      </c>
    </row>
    <row r="104" spans="1:25" x14ac:dyDescent="0.25">
      <c r="A104" t="s">
        <v>67</v>
      </c>
      <c r="B104" t="s">
        <v>69</v>
      </c>
      <c r="C104">
        <v>3</v>
      </c>
      <c r="D104" t="s">
        <v>83</v>
      </c>
      <c r="E104" t="s">
        <v>76</v>
      </c>
      <c r="F104" t="s">
        <v>77</v>
      </c>
      <c r="G104">
        <v>0</v>
      </c>
      <c r="H104">
        <v>0</v>
      </c>
      <c r="I104">
        <v>0</v>
      </c>
      <c r="J104">
        <v>0</v>
      </c>
      <c r="K104">
        <v>39172</v>
      </c>
      <c r="L104" t="str">
        <f>DiscreteStatsTable[[#This Row],[ProjectName]]&amp;DiscreteStatsTable[[#This Row],[Name]]&amp;DiscreteStatsTable[[#This Row],[Type]]&amp;DiscreteStatsTable[[#This Row],[Source]]</f>
        <v>Unnamed ProjectOldPartNVA TimeEntity</v>
      </c>
      <c r="M104" cm="1">
        <f t="array" ref="M104">MAX(IF((ProjectInfoTable[ProjectName]=DiscreteStatsTable[[#This Row],[ProjectName]]),(ProjectInfoTable[ProjectName]=DiscreteStatsTable[[#This Row],[ProjectName]])*ProjectInfoTable[NumberOfReplications]))</f>
        <v>10</v>
      </c>
      <c r="N104" cm="1">
        <f t="array" ref="N104">IFERROR(AVERAGE(IF((DiscreteStatsTable[GroupByKey]=DiscreteStatsTable[[#This Row],[GroupByKey]]),(DiscreteStatsTable[GroupByKey]=DiscreteStatsTable[[#This Row],[GroupByKey]])*DiscreteStatsTable[Average])),0)</f>
        <v>0</v>
      </c>
      <c r="O104" cm="1">
        <f t="array" ref="O104">IFERROR(_xlfn.STDEV.S(IF((DiscreteStatsTable[GroupByKey]=DiscreteStatsTable[[#This Row],[GroupByKey]]),(DiscreteStatsTable[GroupByKey]=DiscreteStatsTable[[#This Row],[GroupByKey]])*DiscreteStatsTable[Average])),0)</f>
        <v>0</v>
      </c>
      <c r="P104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" cm="1">
        <f t="array" ref="R104">MIN(IF((DiscreteStatsTable[GroupByKey]=DiscreteStatsTable[[#This Row],[GroupByKey]]),(DiscreteStatsTable[GroupByKey]=DiscreteStatsTable[[#This Row],[GroupByKey]])*DiscreteStatsTable[Average]))</f>
        <v>0</v>
      </c>
      <c r="S104" cm="1">
        <f t="array" ref="S104">MAX(IF((DiscreteStatsTable[GroupByKey]=DiscreteStatsTable[[#This Row],[GroupByKey]]),(DiscreteStatsTable[GroupByKey]=DiscreteStatsTable[[#This Row],[GroupByKey]])*DiscreteStatsTable[Average]))</f>
        <v>0</v>
      </c>
      <c r="T104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cm="1">
        <f t="array" ref="U104">MAX(IF((DiscreteStatsTable[GroupByKey]=DiscreteStatsTable[[#This Row],[GroupByKey]]),(DiscreteStatsTable[GroupByKey]=DiscreteStatsTable[[#This Row],[GroupByKey]])*DiscreteStatsTable[Maximum]))</f>
        <v>0</v>
      </c>
      <c r="V104" cm="1">
        <f t="array" ref="V104">IFERROR(AVERAGE(IF((DiscreteStatsTable[GroupByKey]=DiscreteStatsTable[[#This Row],[GroupByKey]]),(DiscreteStatsTable[GroupByKey]=DiscreteStatsTable[[#This Row],[GroupByKey]])*DiscreteStatsTable[NumberObservations])),0)</f>
        <v>39114.6</v>
      </c>
      <c r="W104">
        <f>IF((DiscreteStatsTable[[#This Row],[RepsRequested]]&gt;1),DiscreteStatsTable[[#This Row],[HalfWidth]],DiscreteStatsTable[[#This Row],[BatchMeansHalfWidth]])</f>
        <v>0</v>
      </c>
      <c r="X104" cm="1">
        <f t="array" ref="X104">COUNT(IF((DiscreteStatsTable[GroupByKey]=DiscreteStatsTable[[#This Row],[GroupByKey]]),(DiscreteStatsTable[GroupByKey]=DiscreteStatsTable[[#This Row],[GroupByKey]])*DiscreteStatsTable[Replication]))</f>
        <v>10</v>
      </c>
      <c r="Y104">
        <f>IF(DiscreteStatsTable[[#This Row],[RepsRequested]]=DiscreteStatsTable[[#This Row],[RepsWithStatObserved]],1,0)</f>
        <v>1</v>
      </c>
    </row>
    <row r="105" spans="1:25" x14ac:dyDescent="0.25">
      <c r="A105" t="s">
        <v>67</v>
      </c>
      <c r="B105" t="s">
        <v>69</v>
      </c>
      <c r="C105">
        <v>3</v>
      </c>
      <c r="D105" t="s">
        <v>83</v>
      </c>
      <c r="E105" t="s">
        <v>78</v>
      </c>
      <c r="F105" t="s">
        <v>77</v>
      </c>
      <c r="G105">
        <v>26.429032514931901</v>
      </c>
      <c r="H105">
        <v>0.25378424033872499</v>
      </c>
      <c r="I105">
        <v>0</v>
      </c>
      <c r="J105">
        <v>97.638345088576898</v>
      </c>
      <c r="K105">
        <v>39172</v>
      </c>
      <c r="L105" t="str">
        <f>DiscreteStatsTable[[#This Row],[ProjectName]]&amp;DiscreteStatsTable[[#This Row],[Name]]&amp;DiscreteStatsTable[[#This Row],[Type]]&amp;DiscreteStatsTable[[#This Row],[Source]]</f>
        <v>Unnamed ProjectOldPartOther TimeEntity</v>
      </c>
      <c r="M105" cm="1">
        <f t="array" ref="M105">MAX(IF((ProjectInfoTable[ProjectName]=DiscreteStatsTable[[#This Row],[ProjectName]]),(ProjectInfoTable[ProjectName]=DiscreteStatsTable[[#This Row],[ProjectName]])*ProjectInfoTable[NumberOfReplications]))</f>
        <v>10</v>
      </c>
      <c r="N105" cm="1">
        <f t="array" ref="N105">IFERROR(AVERAGE(IF((DiscreteStatsTable[GroupByKey]=DiscreteStatsTable[[#This Row],[GroupByKey]]),(DiscreteStatsTable[GroupByKey]=DiscreteStatsTable[[#This Row],[GroupByKey]])*DiscreteStatsTable[Average])),0)</f>
        <v>26.5549021198449</v>
      </c>
      <c r="O105" cm="1">
        <f t="array" ref="O105">IFERROR(_xlfn.STDEV.S(IF((DiscreteStatsTable[GroupByKey]=DiscreteStatsTable[[#This Row],[GroupByKey]]),(DiscreteStatsTable[GroupByKey]=DiscreteStatsTable[[#This Row],[GroupByKey]])*DiscreteStatsTable[Average])),0)</f>
        <v>0.10060394881248749</v>
      </c>
      <c r="P10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7.1967729550932169E-2</v>
      </c>
      <c r="R105" cm="1">
        <f t="array" ref="R105">MIN(IF((DiscreteStatsTable[GroupByKey]=DiscreteStatsTable[[#This Row],[GroupByKey]]),(DiscreteStatsTable[GroupByKey]=DiscreteStatsTable[[#This Row],[GroupByKey]])*DiscreteStatsTable[Average]))</f>
        <v>26.429032514931901</v>
      </c>
      <c r="S105" cm="1">
        <f t="array" ref="S105">MAX(IF((DiscreteStatsTable[GroupByKey]=DiscreteStatsTable[[#This Row],[GroupByKey]]),(DiscreteStatsTable[GroupByKey]=DiscreteStatsTable[[#This Row],[GroupByKey]])*DiscreteStatsTable[Average]))</f>
        <v>26.770475746157199</v>
      </c>
      <c r="T10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cm="1">
        <f t="array" ref="U105">MAX(IF((DiscreteStatsTable[GroupByKey]=DiscreteStatsTable[[#This Row],[GroupByKey]]),(DiscreteStatsTable[GroupByKey]=DiscreteStatsTable[[#This Row],[GroupByKey]])*DiscreteStatsTable[Maximum]))</f>
        <v>102.681411641621</v>
      </c>
      <c r="V105" cm="1">
        <f t="array" ref="V105">IFERROR(AVERAGE(IF((DiscreteStatsTable[GroupByKey]=DiscreteStatsTable[[#This Row],[GroupByKey]]),(DiscreteStatsTable[GroupByKey]=DiscreteStatsTable[[#This Row],[GroupByKey]])*DiscreteStatsTable[NumberObservations])),0)</f>
        <v>39114.6</v>
      </c>
      <c r="W105">
        <f>IF((DiscreteStatsTable[[#This Row],[RepsRequested]]&gt;1),DiscreteStatsTable[[#This Row],[HalfWidth]],DiscreteStatsTable[[#This Row],[BatchMeansHalfWidth]])</f>
        <v>7.1967729550932169E-2</v>
      </c>
      <c r="X105" cm="1">
        <f t="array" ref="X105">COUNT(IF((DiscreteStatsTable[GroupByKey]=DiscreteStatsTable[[#This Row],[GroupByKey]]),(DiscreteStatsTable[GroupByKey]=DiscreteStatsTable[[#This Row],[GroupByKey]])*DiscreteStatsTable[Replication]))</f>
        <v>10</v>
      </c>
      <c r="Y105">
        <f>IF(DiscreteStatsTable[[#This Row],[RepsRequested]]=DiscreteStatsTable[[#This Row],[RepsWithStatObserved]],1,0)</f>
        <v>1</v>
      </c>
    </row>
    <row r="106" spans="1:25" x14ac:dyDescent="0.25">
      <c r="A106" t="s">
        <v>67</v>
      </c>
      <c r="B106" t="s">
        <v>69</v>
      </c>
      <c r="C106">
        <v>3</v>
      </c>
      <c r="D106" t="s">
        <v>83</v>
      </c>
      <c r="E106" t="s">
        <v>79</v>
      </c>
      <c r="F106" t="s">
        <v>77</v>
      </c>
      <c r="G106">
        <v>67.806850464608502</v>
      </c>
      <c r="H106">
        <v>1.9901750358772099</v>
      </c>
      <c r="I106">
        <v>2.5999999993946399</v>
      </c>
      <c r="J106">
        <v>554.85386245907296</v>
      </c>
      <c r="K106">
        <v>39172</v>
      </c>
      <c r="L106" t="str">
        <f>DiscreteStatsTable[[#This Row],[ProjectName]]&amp;DiscreteStatsTable[[#This Row],[Name]]&amp;DiscreteStatsTable[[#This Row],[Type]]&amp;DiscreteStatsTable[[#This Row],[Source]]</f>
        <v>Unnamed ProjectOldPartTotal TimeEntity</v>
      </c>
      <c r="M106" cm="1">
        <f t="array" ref="M106">MAX(IF((ProjectInfoTable[ProjectName]=DiscreteStatsTable[[#This Row],[ProjectName]]),(ProjectInfoTable[ProjectName]=DiscreteStatsTable[[#This Row],[ProjectName]])*ProjectInfoTable[NumberOfReplications]))</f>
        <v>10</v>
      </c>
      <c r="N106" cm="1">
        <f t="array" ref="N106">IFERROR(AVERAGE(IF((DiscreteStatsTable[GroupByKey]=DiscreteStatsTable[[#This Row],[GroupByKey]]),(DiscreteStatsTable[GroupByKey]=DiscreteStatsTable[[#This Row],[GroupByKey]])*DiscreteStatsTable[Average])),0)</f>
        <v>69.628311992504038</v>
      </c>
      <c r="O106" cm="1">
        <f t="array" ref="O106">IFERROR(_xlfn.STDEV.S(IF((DiscreteStatsTable[GroupByKey]=DiscreteStatsTable[[#This Row],[GroupByKey]]),(DiscreteStatsTable[GroupByKey]=DiscreteStatsTable[[#This Row],[GroupByKey]])*DiscreteStatsTable[Average])),0)</f>
        <v>1.2322643661026464</v>
      </c>
      <c r="P106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0.88150882427309152</v>
      </c>
      <c r="R106" cm="1">
        <f t="array" ref="R106">MIN(IF((DiscreteStatsTable[GroupByKey]=DiscreteStatsTable[[#This Row],[GroupByKey]]),(DiscreteStatsTable[GroupByKey]=DiscreteStatsTable[[#This Row],[GroupByKey]])*DiscreteStatsTable[Average]))</f>
        <v>67.806850464608502</v>
      </c>
      <c r="S106" cm="1">
        <f t="array" ref="S106">MAX(IF((DiscreteStatsTable[GroupByKey]=DiscreteStatsTable[[#This Row],[GroupByKey]]),(DiscreteStatsTable[GroupByKey]=DiscreteStatsTable[[#This Row],[GroupByKey]])*DiscreteStatsTable[Average]))</f>
        <v>71.785243392167402</v>
      </c>
      <c r="T106" cm="1">
        <f t="array" ref="T106">MIN(IF((DiscreteStatsTable[GroupByKey]=DiscreteStatsTable[[#This Row],[GroupByKey]]),(DiscreteStatsTable[GroupByKey]=DiscreteStatsTable[[#This Row],[GroupByKey]])*DiscreteStatsTable[Minimum]))</f>
        <v>2.5999999993946399</v>
      </c>
      <c r="U106" cm="1">
        <f t="array" ref="U106">MAX(IF((DiscreteStatsTable[GroupByKey]=DiscreteStatsTable[[#This Row],[GroupByKey]]),(DiscreteStatsTable[GroupByKey]=DiscreteStatsTable[[#This Row],[GroupByKey]])*DiscreteStatsTable[Maximum]))</f>
        <v>801.14163618703606</v>
      </c>
      <c r="V106" cm="1">
        <f t="array" ref="V106">IFERROR(AVERAGE(IF((DiscreteStatsTable[GroupByKey]=DiscreteStatsTable[[#This Row],[GroupByKey]]),(DiscreteStatsTable[GroupByKey]=DiscreteStatsTable[[#This Row],[GroupByKey]])*DiscreteStatsTable[NumberObservations])),0)</f>
        <v>39114.6</v>
      </c>
      <c r="W106">
        <f>IF((DiscreteStatsTable[[#This Row],[RepsRequested]]&gt;1),DiscreteStatsTable[[#This Row],[HalfWidth]],DiscreteStatsTable[[#This Row],[BatchMeansHalfWidth]])</f>
        <v>0.88150882427309152</v>
      </c>
      <c r="X106" cm="1">
        <f t="array" ref="X106">COUNT(IF((DiscreteStatsTable[GroupByKey]=DiscreteStatsTable[[#This Row],[GroupByKey]]),(DiscreteStatsTable[GroupByKey]=DiscreteStatsTable[[#This Row],[GroupByKey]])*DiscreteStatsTable[Replication]))</f>
        <v>10</v>
      </c>
      <c r="Y106">
        <f>IF(DiscreteStatsTable[[#This Row],[RepsRequested]]=DiscreteStatsTable[[#This Row],[RepsWithStatObserved]],1,0)</f>
        <v>1</v>
      </c>
    </row>
    <row r="107" spans="1:25" x14ac:dyDescent="0.25">
      <c r="A107" t="s">
        <v>67</v>
      </c>
      <c r="B107" t="s">
        <v>69</v>
      </c>
      <c r="C107">
        <v>3</v>
      </c>
      <c r="D107" t="s">
        <v>83</v>
      </c>
      <c r="E107" t="s">
        <v>80</v>
      </c>
      <c r="F107" t="s">
        <v>77</v>
      </c>
      <c r="G107">
        <v>14.8354637727353</v>
      </c>
      <c r="H107">
        <v>0.15194097964956399</v>
      </c>
      <c r="I107">
        <v>2.5999999993946399</v>
      </c>
      <c r="J107">
        <v>194.174512139478</v>
      </c>
      <c r="K107">
        <v>39172</v>
      </c>
      <c r="L107" t="str">
        <f>DiscreteStatsTable[[#This Row],[ProjectName]]&amp;DiscreteStatsTable[[#This Row],[Name]]&amp;DiscreteStatsTable[[#This Row],[Type]]&amp;DiscreteStatsTable[[#This Row],[Source]]</f>
        <v>Unnamed ProjectOldPartTransfer TimeEntity</v>
      </c>
      <c r="M107" cm="1">
        <f t="array" ref="M107">MAX(IF((ProjectInfoTable[ProjectName]=DiscreteStatsTable[[#This Row],[ProjectName]]),(ProjectInfoTable[ProjectName]=DiscreteStatsTable[[#This Row],[ProjectName]])*ProjectInfoTable[NumberOfReplications]))</f>
        <v>10</v>
      </c>
      <c r="N107" cm="1">
        <f t="array" ref="N107">IFERROR(AVERAGE(IF((DiscreteStatsTable[GroupByKey]=DiscreteStatsTable[[#This Row],[GroupByKey]]),(DiscreteStatsTable[GroupByKey]=DiscreteStatsTable[[#This Row],[GroupByKey]])*DiscreteStatsTable[Average])),0)</f>
        <v>14.80738990479856</v>
      </c>
      <c r="O107" cm="1">
        <f t="array" ref="O107">IFERROR(_xlfn.STDEV.S(IF((DiscreteStatsTable[GroupByKey]=DiscreteStatsTable[[#This Row],[GroupByKey]]),(DiscreteStatsTable[GroupByKey]=DiscreteStatsTable[[#This Row],[GroupByKey]])*DiscreteStatsTable[Average])),0)</f>
        <v>8.7394837578947643E-2</v>
      </c>
      <c r="P107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6.2518500608284761E-2</v>
      </c>
      <c r="R107" cm="1">
        <f t="array" ref="R107">MIN(IF((DiscreteStatsTable[GroupByKey]=DiscreteStatsTable[[#This Row],[GroupByKey]]),(DiscreteStatsTable[GroupByKey]=DiscreteStatsTable[[#This Row],[GroupByKey]])*DiscreteStatsTable[Average]))</f>
        <v>14.638753868636099</v>
      </c>
      <c r="S107" cm="1">
        <f t="array" ref="S107">MAX(IF((DiscreteStatsTable[GroupByKey]=DiscreteStatsTable[[#This Row],[GroupByKey]]),(DiscreteStatsTable[GroupByKey]=DiscreteStatsTable[[#This Row],[GroupByKey]])*DiscreteStatsTable[Average]))</f>
        <v>14.938387130672201</v>
      </c>
      <c r="T107" cm="1">
        <f t="array" ref="T107">MIN(IF((DiscreteStatsTable[GroupByKey]=DiscreteStatsTable[[#This Row],[GroupByKey]]),(DiscreteStatsTable[GroupByKey]=DiscreteStatsTable[[#This Row],[GroupByKey]])*DiscreteStatsTable[Minimum]))</f>
        <v>2.5999999993946399</v>
      </c>
      <c r="U107" cm="1">
        <f t="array" ref="U107">MAX(IF((DiscreteStatsTable[GroupByKey]=DiscreteStatsTable[[#This Row],[GroupByKey]]),(DiscreteStatsTable[GroupByKey]=DiscreteStatsTable[[#This Row],[GroupByKey]])*DiscreteStatsTable[Maximum]))</f>
        <v>301.61300022101199</v>
      </c>
      <c r="V107" cm="1">
        <f t="array" ref="V107">IFERROR(AVERAGE(IF((DiscreteStatsTable[GroupByKey]=DiscreteStatsTable[[#This Row],[GroupByKey]]),(DiscreteStatsTable[GroupByKey]=DiscreteStatsTable[[#This Row],[GroupByKey]])*DiscreteStatsTable[NumberObservations])),0)</f>
        <v>39114.6</v>
      </c>
      <c r="W107">
        <f>IF((DiscreteStatsTable[[#This Row],[RepsRequested]]&gt;1),DiscreteStatsTable[[#This Row],[HalfWidth]],DiscreteStatsTable[[#This Row],[BatchMeansHalfWidth]])</f>
        <v>6.2518500608284761E-2</v>
      </c>
      <c r="X107" cm="1">
        <f t="array" ref="X107">COUNT(IF((DiscreteStatsTable[GroupByKey]=DiscreteStatsTable[[#This Row],[GroupByKey]]),(DiscreteStatsTable[GroupByKey]=DiscreteStatsTable[[#This Row],[GroupByKey]])*DiscreteStatsTable[Replication]))</f>
        <v>10</v>
      </c>
      <c r="Y107">
        <f>IF(DiscreteStatsTable[[#This Row],[RepsRequested]]=DiscreteStatsTable[[#This Row],[RepsWithStatObserved]],1,0)</f>
        <v>1</v>
      </c>
    </row>
    <row r="108" spans="1:25" x14ac:dyDescent="0.25">
      <c r="A108" t="s">
        <v>67</v>
      </c>
      <c r="B108" t="s">
        <v>69</v>
      </c>
      <c r="C108">
        <v>3</v>
      </c>
      <c r="D108" t="s">
        <v>83</v>
      </c>
      <c r="E108" t="s">
        <v>81</v>
      </c>
      <c r="F108" t="s">
        <v>77</v>
      </c>
      <c r="G108">
        <v>2.7926069641580802</v>
      </c>
      <c r="H108">
        <v>2.65350921010074E-2</v>
      </c>
      <c r="I108">
        <v>0</v>
      </c>
      <c r="J108">
        <v>8</v>
      </c>
      <c r="K108">
        <v>39172</v>
      </c>
      <c r="L108" t="str">
        <f>DiscreteStatsTable[[#This Row],[ProjectName]]&amp;DiscreteStatsTable[[#This Row],[Name]]&amp;DiscreteStatsTable[[#This Row],[Type]]&amp;DiscreteStatsTable[[#This Row],[Source]]</f>
        <v>Unnamed ProjectOldPartVA TimeEntity</v>
      </c>
      <c r="M108" cm="1">
        <f t="array" ref="M108">MAX(IF((ProjectInfoTable[ProjectName]=DiscreteStatsTable[[#This Row],[ProjectName]]),(ProjectInfoTable[ProjectName]=DiscreteStatsTable[[#This Row],[ProjectName]])*ProjectInfoTable[NumberOfReplications]))</f>
        <v>10</v>
      </c>
      <c r="N108" cm="1">
        <f t="array" ref="N108">IFERROR(AVERAGE(IF((DiscreteStatsTable[GroupByKey]=DiscreteStatsTable[[#This Row],[GroupByKey]]),(DiscreteStatsTable[GroupByKey]=DiscreteStatsTable[[#This Row],[GroupByKey]])*DiscreteStatsTable[Average])),0)</f>
        <v>2.8068584162430272</v>
      </c>
      <c r="O108" cm="1">
        <f t="array" ref="O108">IFERROR(_xlfn.STDEV.S(IF((DiscreteStatsTable[GroupByKey]=DiscreteStatsTable[[#This Row],[GroupByKey]]),(DiscreteStatsTable[GroupByKey]=DiscreteStatsTable[[#This Row],[GroupByKey]])*DiscreteStatsTable[Average])),0)</f>
        <v>1.0844368772089623E-2</v>
      </c>
      <c r="P108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7.7575940920069286E-3</v>
      </c>
      <c r="R108" cm="1">
        <f t="array" ref="R108">MIN(IF((DiscreteStatsTable[GroupByKey]=DiscreteStatsTable[[#This Row],[GroupByKey]]),(DiscreteStatsTable[GroupByKey]=DiscreteStatsTable[[#This Row],[GroupByKey]])*DiscreteStatsTable[Average]))</f>
        <v>2.7926069641580802</v>
      </c>
      <c r="S108" cm="1">
        <f t="array" ref="S108">MAX(IF((DiscreteStatsTable[GroupByKey]=DiscreteStatsTable[[#This Row],[GroupByKey]]),(DiscreteStatsTable[GroupByKey]=DiscreteStatsTable[[#This Row],[GroupByKey]])*DiscreteStatsTable[Average]))</f>
        <v>2.8286311922860898</v>
      </c>
      <c r="T108" cm="1">
        <f t="array" ref="T108">MIN(IF((DiscreteStatsTable[GroupByKey]=DiscreteStatsTable[[#This Row],[GroupByKey]]),(DiscreteStatsTable[GroupByKey]=DiscreteStatsTable[[#This Row],[GroupByKey]])*DiscreteStatsTable[Minimum]))</f>
        <v>0</v>
      </c>
      <c r="U108" cm="1">
        <f t="array" ref="U108">MAX(IF((DiscreteStatsTable[GroupByKey]=DiscreteStatsTable[[#This Row],[GroupByKey]]),(DiscreteStatsTable[GroupByKey]=DiscreteStatsTable[[#This Row],[GroupByKey]])*DiscreteStatsTable[Maximum]))</f>
        <v>8.0000000000291003</v>
      </c>
      <c r="V108" cm="1">
        <f t="array" ref="V108">IFERROR(AVERAGE(IF((DiscreteStatsTable[GroupByKey]=DiscreteStatsTable[[#This Row],[GroupByKey]]),(DiscreteStatsTable[GroupByKey]=DiscreteStatsTable[[#This Row],[GroupByKey]])*DiscreteStatsTable[NumberObservations])),0)</f>
        <v>39114.6</v>
      </c>
      <c r="W108">
        <f>IF((DiscreteStatsTable[[#This Row],[RepsRequested]]&gt;1),DiscreteStatsTable[[#This Row],[HalfWidth]],DiscreteStatsTable[[#This Row],[BatchMeansHalfWidth]])</f>
        <v>7.7575940920069286E-3</v>
      </c>
      <c r="X108" cm="1">
        <f t="array" ref="X108">COUNT(IF((DiscreteStatsTable[GroupByKey]=DiscreteStatsTable[[#This Row],[GroupByKey]]),(DiscreteStatsTable[GroupByKey]=DiscreteStatsTable[[#This Row],[GroupByKey]])*DiscreteStatsTable[Replication]))</f>
        <v>10</v>
      </c>
      <c r="Y108">
        <f>IF(DiscreteStatsTable[[#This Row],[RepsRequested]]=DiscreteStatsTable[[#This Row],[RepsWithStatObserved]],1,0)</f>
        <v>1</v>
      </c>
    </row>
    <row r="109" spans="1:25" x14ac:dyDescent="0.25">
      <c r="A109" t="s">
        <v>67</v>
      </c>
      <c r="B109" t="s">
        <v>69</v>
      </c>
      <c r="C109">
        <v>3</v>
      </c>
      <c r="D109" t="s">
        <v>83</v>
      </c>
      <c r="E109" t="s">
        <v>82</v>
      </c>
      <c r="F109" t="s">
        <v>77</v>
      </c>
      <c r="G109">
        <v>23.749747212782399</v>
      </c>
      <c r="H109">
        <v>1.80798035134601</v>
      </c>
      <c r="I109">
        <v>0</v>
      </c>
      <c r="J109">
        <v>430.51796572783502</v>
      </c>
      <c r="K109">
        <v>39172</v>
      </c>
      <c r="L109" t="str">
        <f>DiscreteStatsTable[[#This Row],[ProjectName]]&amp;DiscreteStatsTable[[#This Row],[Name]]&amp;DiscreteStatsTable[[#This Row],[Type]]&amp;DiscreteStatsTable[[#This Row],[Source]]</f>
        <v>Unnamed ProjectOldPartWait TimeEntity</v>
      </c>
      <c r="M109" cm="1">
        <f t="array" ref="M109">MAX(IF((ProjectInfoTable[ProjectName]=DiscreteStatsTable[[#This Row],[ProjectName]]),(ProjectInfoTable[ProjectName]=DiscreteStatsTable[[#This Row],[ProjectName]])*ProjectInfoTable[NumberOfReplications]))</f>
        <v>10</v>
      </c>
      <c r="N109" cm="1">
        <f t="array" ref="N109">IFERROR(AVERAGE(IF((DiscreteStatsTable[GroupByKey]=DiscreteStatsTable[[#This Row],[GroupByKey]]),(DiscreteStatsTable[GroupByKey]=DiscreteStatsTable[[#This Row],[GroupByKey]])*DiscreteStatsTable[Average])),0)</f>
        <v>25.459161551617594</v>
      </c>
      <c r="O109" cm="1">
        <f t="array" ref="O109">IFERROR(_xlfn.STDEV.S(IF((DiscreteStatsTable[GroupByKey]=DiscreteStatsTable[[#This Row],[GroupByKey]]),(DiscreteStatsTable[GroupByKey]=DiscreteStatsTable[[#This Row],[GroupByKey]])*DiscreteStatsTable[Average])),0)</f>
        <v>1.1829151497487862</v>
      </c>
      <c r="P109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0.84620652155011711</v>
      </c>
      <c r="R109" cm="1">
        <f t="array" ref="R109">MIN(IF((DiscreteStatsTable[GroupByKey]=DiscreteStatsTable[[#This Row],[GroupByKey]]),(DiscreteStatsTable[GroupByKey]=DiscreteStatsTable[[#This Row],[GroupByKey]])*DiscreteStatsTable[Average]))</f>
        <v>23.749747212782399</v>
      </c>
      <c r="S109" cm="1">
        <f t="array" ref="S109">MAX(IF((DiscreteStatsTable[GroupByKey]=DiscreteStatsTable[[#This Row],[GroupByKey]]),(DiscreteStatsTable[GroupByKey]=DiscreteStatsTable[[#This Row],[GroupByKey]])*DiscreteStatsTable[Average]))</f>
        <v>27.4385105303964</v>
      </c>
      <c r="T109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cm="1">
        <f t="array" ref="U109">MAX(IF((DiscreteStatsTable[GroupByKey]=DiscreteStatsTable[[#This Row],[GroupByKey]]),(DiscreteStatsTable[GroupByKey]=DiscreteStatsTable[[#This Row],[GroupByKey]])*DiscreteStatsTable[Maximum]))</f>
        <v>697.97683727095102</v>
      </c>
      <c r="V109" cm="1">
        <f t="array" ref="V109">IFERROR(AVERAGE(IF((DiscreteStatsTable[GroupByKey]=DiscreteStatsTable[[#This Row],[GroupByKey]]),(DiscreteStatsTable[GroupByKey]=DiscreteStatsTable[[#This Row],[GroupByKey]])*DiscreteStatsTable[NumberObservations])),0)</f>
        <v>39114.6</v>
      </c>
      <c r="W109">
        <f>IF((DiscreteStatsTable[[#This Row],[RepsRequested]]&gt;1),DiscreteStatsTable[[#This Row],[HalfWidth]],DiscreteStatsTable[[#This Row],[BatchMeansHalfWidth]])</f>
        <v>0.84620652155011711</v>
      </c>
      <c r="X109" cm="1">
        <f t="array" ref="X109">COUNT(IF((DiscreteStatsTable[GroupByKey]=DiscreteStatsTable[[#This Row],[GroupByKey]]),(DiscreteStatsTable[GroupByKey]=DiscreteStatsTable[[#This Row],[GroupByKey]])*DiscreteStatsTable[Replication]))</f>
        <v>10</v>
      </c>
      <c r="Y109">
        <f>IF(DiscreteStatsTable[[#This Row],[RepsRequested]]=DiscreteStatsTable[[#This Row],[RepsWithStatObserved]],1,0)</f>
        <v>1</v>
      </c>
    </row>
    <row r="110" spans="1:25" x14ac:dyDescent="0.25">
      <c r="A110" t="s">
        <v>67</v>
      </c>
      <c r="B110" t="s">
        <v>69</v>
      </c>
      <c r="C110">
        <v>4</v>
      </c>
      <c r="D110" t="s">
        <v>83</v>
      </c>
      <c r="E110" t="s">
        <v>76</v>
      </c>
      <c r="F110" t="s">
        <v>77</v>
      </c>
      <c r="G110">
        <v>0</v>
      </c>
      <c r="H110">
        <v>0</v>
      </c>
      <c r="I110">
        <v>0</v>
      </c>
      <c r="J110">
        <v>0</v>
      </c>
      <c r="K110">
        <v>39202</v>
      </c>
      <c r="L110" t="str">
        <f>DiscreteStatsTable[[#This Row],[ProjectName]]&amp;DiscreteStatsTable[[#This Row],[Name]]&amp;DiscreteStatsTable[[#This Row],[Type]]&amp;DiscreteStatsTable[[#This Row],[Source]]</f>
        <v>Unnamed ProjectOldPartNVA TimeEntity</v>
      </c>
      <c r="M110" cm="1">
        <f t="array" ref="M110">MAX(IF((ProjectInfoTable[ProjectName]=DiscreteStatsTable[[#This Row],[ProjectName]]),(ProjectInfoTable[ProjectName]=DiscreteStatsTable[[#This Row],[ProjectName]])*ProjectInfoTable[NumberOfReplications]))</f>
        <v>10</v>
      </c>
      <c r="N110" cm="1">
        <f t="array" ref="N110">IFERROR(AVERAGE(IF((DiscreteStatsTable[GroupByKey]=DiscreteStatsTable[[#This Row],[GroupByKey]]),(DiscreteStatsTable[GroupByKey]=DiscreteStatsTable[[#This Row],[GroupByKey]])*DiscreteStatsTable[Average])),0)</f>
        <v>0</v>
      </c>
      <c r="O110" cm="1">
        <f t="array" ref="O110">IFERROR(_xlfn.STDEV.S(IF((DiscreteStatsTable[GroupByKey]=DiscreteStatsTable[[#This Row],[GroupByKey]]),(DiscreteStatsTable[GroupByKey]=DiscreteStatsTable[[#This Row],[GroupByKey]])*DiscreteStatsTable[Average])),0)</f>
        <v>0</v>
      </c>
      <c r="P110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" cm="1">
        <f t="array" ref="R110">MIN(IF((DiscreteStatsTable[GroupByKey]=DiscreteStatsTable[[#This Row],[GroupByKey]]),(DiscreteStatsTable[GroupByKey]=DiscreteStatsTable[[#This Row],[GroupByKey]])*DiscreteStatsTable[Average]))</f>
        <v>0</v>
      </c>
      <c r="S110" cm="1">
        <f t="array" ref="S110">MAX(IF((DiscreteStatsTable[GroupByKey]=DiscreteStatsTable[[#This Row],[GroupByKey]]),(DiscreteStatsTable[GroupByKey]=DiscreteStatsTable[[#This Row],[GroupByKey]])*DiscreteStatsTable[Average]))</f>
        <v>0</v>
      </c>
      <c r="T110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cm="1">
        <f t="array" ref="U110">MAX(IF((DiscreteStatsTable[GroupByKey]=DiscreteStatsTable[[#This Row],[GroupByKey]]),(DiscreteStatsTable[GroupByKey]=DiscreteStatsTable[[#This Row],[GroupByKey]])*DiscreteStatsTable[Maximum]))</f>
        <v>0</v>
      </c>
      <c r="V110" cm="1">
        <f t="array" ref="V110">IFERROR(AVERAGE(IF((DiscreteStatsTable[GroupByKey]=DiscreteStatsTable[[#This Row],[GroupByKey]]),(DiscreteStatsTable[GroupByKey]=DiscreteStatsTable[[#This Row],[GroupByKey]])*DiscreteStatsTable[NumberObservations])),0)</f>
        <v>39114.6</v>
      </c>
      <c r="W110">
        <f>IF((DiscreteStatsTable[[#This Row],[RepsRequested]]&gt;1),DiscreteStatsTable[[#This Row],[HalfWidth]],DiscreteStatsTable[[#This Row],[BatchMeansHalfWidth]])</f>
        <v>0</v>
      </c>
      <c r="X110" cm="1">
        <f t="array" ref="X110">COUNT(IF((DiscreteStatsTable[GroupByKey]=DiscreteStatsTable[[#This Row],[GroupByKey]]),(DiscreteStatsTable[GroupByKey]=DiscreteStatsTable[[#This Row],[GroupByKey]])*DiscreteStatsTable[Replication]))</f>
        <v>10</v>
      </c>
      <c r="Y110">
        <f>IF(DiscreteStatsTable[[#This Row],[RepsRequested]]=DiscreteStatsTable[[#This Row],[RepsWithStatObserved]],1,0)</f>
        <v>1</v>
      </c>
    </row>
    <row r="111" spans="1:25" x14ac:dyDescent="0.25">
      <c r="A111" t="s">
        <v>67</v>
      </c>
      <c r="B111" t="s">
        <v>69</v>
      </c>
      <c r="C111">
        <v>4</v>
      </c>
      <c r="D111" t="s">
        <v>83</v>
      </c>
      <c r="E111" t="s">
        <v>78</v>
      </c>
      <c r="F111" t="s">
        <v>77</v>
      </c>
      <c r="G111">
        <v>26.770475746157199</v>
      </c>
      <c r="H111">
        <v>0.31195081870720398</v>
      </c>
      <c r="I111">
        <v>0</v>
      </c>
      <c r="J111">
        <v>98.1296619548812</v>
      </c>
      <c r="K111">
        <v>39202</v>
      </c>
      <c r="L111" t="str">
        <f>DiscreteStatsTable[[#This Row],[ProjectName]]&amp;DiscreteStatsTable[[#This Row],[Name]]&amp;DiscreteStatsTable[[#This Row],[Type]]&amp;DiscreteStatsTable[[#This Row],[Source]]</f>
        <v>Unnamed ProjectOldPartOther TimeEntity</v>
      </c>
      <c r="M111" cm="1">
        <f t="array" ref="M111">MAX(IF((ProjectInfoTable[ProjectName]=DiscreteStatsTable[[#This Row],[ProjectName]]),(ProjectInfoTable[ProjectName]=DiscreteStatsTable[[#This Row],[ProjectName]])*ProjectInfoTable[NumberOfReplications]))</f>
        <v>10</v>
      </c>
      <c r="N111" cm="1">
        <f t="array" ref="N111">IFERROR(AVERAGE(IF((DiscreteStatsTable[GroupByKey]=DiscreteStatsTable[[#This Row],[GroupByKey]]),(DiscreteStatsTable[GroupByKey]=DiscreteStatsTable[[#This Row],[GroupByKey]])*DiscreteStatsTable[Average])),0)</f>
        <v>26.5549021198449</v>
      </c>
      <c r="O111" cm="1">
        <f t="array" ref="O111">IFERROR(_xlfn.STDEV.S(IF((DiscreteStatsTable[GroupByKey]=DiscreteStatsTable[[#This Row],[GroupByKey]]),(DiscreteStatsTable[GroupByKey]=DiscreteStatsTable[[#This Row],[GroupByKey]])*DiscreteStatsTable[Average])),0)</f>
        <v>0.10060394881248749</v>
      </c>
      <c r="P111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7.1967729550932169E-2</v>
      </c>
      <c r="R111" cm="1">
        <f t="array" ref="R111">MIN(IF((DiscreteStatsTable[GroupByKey]=DiscreteStatsTable[[#This Row],[GroupByKey]]),(DiscreteStatsTable[GroupByKey]=DiscreteStatsTable[[#This Row],[GroupByKey]])*DiscreteStatsTable[Average]))</f>
        <v>26.429032514931901</v>
      </c>
      <c r="S111" cm="1">
        <f t="array" ref="S111">MAX(IF((DiscreteStatsTable[GroupByKey]=DiscreteStatsTable[[#This Row],[GroupByKey]]),(DiscreteStatsTable[GroupByKey]=DiscreteStatsTable[[#This Row],[GroupByKey]])*DiscreteStatsTable[Average]))</f>
        <v>26.770475746157199</v>
      </c>
      <c r="T111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cm="1">
        <f t="array" ref="U111">MAX(IF((DiscreteStatsTable[GroupByKey]=DiscreteStatsTable[[#This Row],[GroupByKey]]),(DiscreteStatsTable[GroupByKey]=DiscreteStatsTable[[#This Row],[GroupByKey]])*DiscreteStatsTable[Maximum]))</f>
        <v>102.681411641621</v>
      </c>
      <c r="V111" cm="1">
        <f t="array" ref="V111">IFERROR(AVERAGE(IF((DiscreteStatsTable[GroupByKey]=DiscreteStatsTable[[#This Row],[GroupByKey]]),(DiscreteStatsTable[GroupByKey]=DiscreteStatsTable[[#This Row],[GroupByKey]])*DiscreteStatsTable[NumberObservations])),0)</f>
        <v>39114.6</v>
      </c>
      <c r="W111">
        <f>IF((DiscreteStatsTable[[#This Row],[RepsRequested]]&gt;1),DiscreteStatsTable[[#This Row],[HalfWidth]],DiscreteStatsTable[[#This Row],[BatchMeansHalfWidth]])</f>
        <v>7.1967729550932169E-2</v>
      </c>
      <c r="X111" cm="1">
        <f t="array" ref="X111">COUNT(IF((DiscreteStatsTable[GroupByKey]=DiscreteStatsTable[[#This Row],[GroupByKey]]),(DiscreteStatsTable[GroupByKey]=DiscreteStatsTable[[#This Row],[GroupByKey]])*DiscreteStatsTable[Replication]))</f>
        <v>10</v>
      </c>
      <c r="Y111">
        <f>IF(DiscreteStatsTable[[#This Row],[RepsRequested]]=DiscreteStatsTable[[#This Row],[RepsWithStatObserved]],1,0)</f>
        <v>1</v>
      </c>
    </row>
    <row r="112" spans="1:25" x14ac:dyDescent="0.25">
      <c r="A112" t="s">
        <v>67</v>
      </c>
      <c r="B112" t="s">
        <v>69</v>
      </c>
      <c r="C112">
        <v>4</v>
      </c>
      <c r="D112" t="s">
        <v>83</v>
      </c>
      <c r="E112" t="s">
        <v>79</v>
      </c>
      <c r="F112" t="s">
        <v>77</v>
      </c>
      <c r="G112">
        <v>71.785243392167402</v>
      </c>
      <c r="H112">
        <v>2.9416550197644602</v>
      </c>
      <c r="I112">
        <v>2.5999999993946399</v>
      </c>
      <c r="J112">
        <v>599.54263019643304</v>
      </c>
      <c r="K112">
        <v>39202</v>
      </c>
      <c r="L112" t="str">
        <f>DiscreteStatsTable[[#This Row],[ProjectName]]&amp;DiscreteStatsTable[[#This Row],[Name]]&amp;DiscreteStatsTable[[#This Row],[Type]]&amp;DiscreteStatsTable[[#This Row],[Source]]</f>
        <v>Unnamed ProjectOldPartTotal TimeEntity</v>
      </c>
      <c r="M112" cm="1">
        <f t="array" ref="M112">MAX(IF((ProjectInfoTable[ProjectName]=DiscreteStatsTable[[#This Row],[ProjectName]]),(ProjectInfoTable[ProjectName]=DiscreteStatsTable[[#This Row],[ProjectName]])*ProjectInfoTable[NumberOfReplications]))</f>
        <v>10</v>
      </c>
      <c r="N112" cm="1">
        <f t="array" ref="N112">IFERROR(AVERAGE(IF((DiscreteStatsTable[GroupByKey]=DiscreteStatsTable[[#This Row],[GroupByKey]]),(DiscreteStatsTable[GroupByKey]=DiscreteStatsTable[[#This Row],[GroupByKey]])*DiscreteStatsTable[Average])),0)</f>
        <v>69.628311992504038</v>
      </c>
      <c r="O112" cm="1">
        <f t="array" ref="O112">IFERROR(_xlfn.STDEV.S(IF((DiscreteStatsTable[GroupByKey]=DiscreteStatsTable[[#This Row],[GroupByKey]]),(DiscreteStatsTable[GroupByKey]=DiscreteStatsTable[[#This Row],[GroupByKey]])*DiscreteStatsTable[Average])),0)</f>
        <v>1.2322643661026464</v>
      </c>
      <c r="P112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0.88150882427309152</v>
      </c>
      <c r="R112" cm="1">
        <f t="array" ref="R112">MIN(IF((DiscreteStatsTable[GroupByKey]=DiscreteStatsTable[[#This Row],[GroupByKey]]),(DiscreteStatsTable[GroupByKey]=DiscreteStatsTable[[#This Row],[GroupByKey]])*DiscreteStatsTable[Average]))</f>
        <v>67.806850464608502</v>
      </c>
      <c r="S112" cm="1">
        <f t="array" ref="S112">MAX(IF((DiscreteStatsTable[GroupByKey]=DiscreteStatsTable[[#This Row],[GroupByKey]]),(DiscreteStatsTable[GroupByKey]=DiscreteStatsTable[[#This Row],[GroupByKey]])*DiscreteStatsTable[Average]))</f>
        <v>71.785243392167402</v>
      </c>
      <c r="T112" cm="1">
        <f t="array" ref="T112">MIN(IF((DiscreteStatsTable[GroupByKey]=DiscreteStatsTable[[#This Row],[GroupByKey]]),(DiscreteStatsTable[GroupByKey]=DiscreteStatsTable[[#This Row],[GroupByKey]])*DiscreteStatsTable[Minimum]))</f>
        <v>2.5999999993946399</v>
      </c>
      <c r="U112" cm="1">
        <f t="array" ref="U112">MAX(IF((DiscreteStatsTable[GroupByKey]=DiscreteStatsTable[[#This Row],[GroupByKey]]),(DiscreteStatsTable[GroupByKey]=DiscreteStatsTable[[#This Row],[GroupByKey]])*DiscreteStatsTable[Maximum]))</f>
        <v>801.14163618703606</v>
      </c>
      <c r="V112" cm="1">
        <f t="array" ref="V112">IFERROR(AVERAGE(IF((DiscreteStatsTable[GroupByKey]=DiscreteStatsTable[[#This Row],[GroupByKey]]),(DiscreteStatsTable[GroupByKey]=DiscreteStatsTable[[#This Row],[GroupByKey]])*DiscreteStatsTable[NumberObservations])),0)</f>
        <v>39114.6</v>
      </c>
      <c r="W112">
        <f>IF((DiscreteStatsTable[[#This Row],[RepsRequested]]&gt;1),DiscreteStatsTable[[#This Row],[HalfWidth]],DiscreteStatsTable[[#This Row],[BatchMeansHalfWidth]])</f>
        <v>0.88150882427309152</v>
      </c>
      <c r="X112" cm="1">
        <f t="array" ref="X112">COUNT(IF((DiscreteStatsTable[GroupByKey]=DiscreteStatsTable[[#This Row],[GroupByKey]]),(DiscreteStatsTable[GroupByKey]=DiscreteStatsTable[[#This Row],[GroupByKey]])*DiscreteStatsTable[Replication]))</f>
        <v>10</v>
      </c>
      <c r="Y112">
        <f>IF(DiscreteStatsTable[[#This Row],[RepsRequested]]=DiscreteStatsTable[[#This Row],[RepsWithStatObserved]],1,0)</f>
        <v>1</v>
      </c>
    </row>
    <row r="113" spans="1:25" x14ac:dyDescent="0.25">
      <c r="A113" t="s">
        <v>67</v>
      </c>
      <c r="B113" t="s">
        <v>69</v>
      </c>
      <c r="C113">
        <v>4</v>
      </c>
      <c r="D113" t="s">
        <v>83</v>
      </c>
      <c r="E113" t="s">
        <v>80</v>
      </c>
      <c r="F113" t="s">
        <v>77</v>
      </c>
      <c r="G113">
        <v>14.747625923327201</v>
      </c>
      <c r="H113">
        <v>0.155727082959359</v>
      </c>
      <c r="I113">
        <v>2.5999999993946399</v>
      </c>
      <c r="J113">
        <v>142.65141731411899</v>
      </c>
      <c r="K113">
        <v>39202</v>
      </c>
      <c r="L113" t="str">
        <f>DiscreteStatsTable[[#This Row],[ProjectName]]&amp;DiscreteStatsTable[[#This Row],[Name]]&amp;DiscreteStatsTable[[#This Row],[Type]]&amp;DiscreteStatsTable[[#This Row],[Source]]</f>
        <v>Unnamed ProjectOldPartTransfer TimeEntity</v>
      </c>
      <c r="M113" cm="1">
        <f t="array" ref="M113">MAX(IF((ProjectInfoTable[ProjectName]=DiscreteStatsTable[[#This Row],[ProjectName]]),(ProjectInfoTable[ProjectName]=DiscreteStatsTable[[#This Row],[ProjectName]])*ProjectInfoTable[NumberOfReplications]))</f>
        <v>10</v>
      </c>
      <c r="N113" cm="1">
        <f t="array" ref="N113">IFERROR(AVERAGE(IF((DiscreteStatsTable[GroupByKey]=DiscreteStatsTable[[#This Row],[GroupByKey]]),(DiscreteStatsTable[GroupByKey]=DiscreteStatsTable[[#This Row],[GroupByKey]])*DiscreteStatsTable[Average])),0)</f>
        <v>14.80738990479856</v>
      </c>
      <c r="O113" cm="1">
        <f t="array" ref="O113">IFERROR(_xlfn.STDEV.S(IF((DiscreteStatsTable[GroupByKey]=DiscreteStatsTable[[#This Row],[GroupByKey]]),(DiscreteStatsTable[GroupByKey]=DiscreteStatsTable[[#This Row],[GroupByKey]])*DiscreteStatsTable[Average])),0)</f>
        <v>8.7394837578947643E-2</v>
      </c>
      <c r="P113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6.2518500608284761E-2</v>
      </c>
      <c r="R113" cm="1">
        <f t="array" ref="R113">MIN(IF((DiscreteStatsTable[GroupByKey]=DiscreteStatsTable[[#This Row],[GroupByKey]]),(DiscreteStatsTable[GroupByKey]=DiscreteStatsTable[[#This Row],[GroupByKey]])*DiscreteStatsTable[Average]))</f>
        <v>14.638753868636099</v>
      </c>
      <c r="S113" cm="1">
        <f t="array" ref="S113">MAX(IF((DiscreteStatsTable[GroupByKey]=DiscreteStatsTable[[#This Row],[GroupByKey]]),(DiscreteStatsTable[GroupByKey]=DiscreteStatsTable[[#This Row],[GroupByKey]])*DiscreteStatsTable[Average]))</f>
        <v>14.938387130672201</v>
      </c>
      <c r="T113" cm="1">
        <f t="array" ref="T113">MIN(IF((DiscreteStatsTable[GroupByKey]=DiscreteStatsTable[[#This Row],[GroupByKey]]),(DiscreteStatsTable[GroupByKey]=DiscreteStatsTable[[#This Row],[GroupByKey]])*DiscreteStatsTable[Minimum]))</f>
        <v>2.5999999993946399</v>
      </c>
      <c r="U113" cm="1">
        <f t="array" ref="U113">MAX(IF((DiscreteStatsTable[GroupByKey]=DiscreteStatsTable[[#This Row],[GroupByKey]]),(DiscreteStatsTable[GroupByKey]=DiscreteStatsTable[[#This Row],[GroupByKey]])*DiscreteStatsTable[Maximum]))</f>
        <v>301.61300022101199</v>
      </c>
      <c r="V113" cm="1">
        <f t="array" ref="V113">IFERROR(AVERAGE(IF((DiscreteStatsTable[GroupByKey]=DiscreteStatsTable[[#This Row],[GroupByKey]]),(DiscreteStatsTable[GroupByKey]=DiscreteStatsTable[[#This Row],[GroupByKey]])*DiscreteStatsTable[NumberObservations])),0)</f>
        <v>39114.6</v>
      </c>
      <c r="W113">
        <f>IF((DiscreteStatsTable[[#This Row],[RepsRequested]]&gt;1),DiscreteStatsTable[[#This Row],[HalfWidth]],DiscreteStatsTable[[#This Row],[BatchMeansHalfWidth]])</f>
        <v>6.2518500608284761E-2</v>
      </c>
      <c r="X113" cm="1">
        <f t="array" ref="X113">COUNT(IF((DiscreteStatsTable[GroupByKey]=DiscreteStatsTable[[#This Row],[GroupByKey]]),(DiscreteStatsTable[GroupByKey]=DiscreteStatsTable[[#This Row],[GroupByKey]])*DiscreteStatsTable[Replication]))</f>
        <v>10</v>
      </c>
      <c r="Y113">
        <f>IF(DiscreteStatsTable[[#This Row],[RepsRequested]]=DiscreteStatsTable[[#This Row],[RepsWithStatObserved]],1,0)</f>
        <v>1</v>
      </c>
    </row>
    <row r="114" spans="1:25" x14ac:dyDescent="0.25">
      <c r="A114" t="s">
        <v>67</v>
      </c>
      <c r="B114" t="s">
        <v>69</v>
      </c>
      <c r="C114">
        <v>4</v>
      </c>
      <c r="D114" t="s">
        <v>83</v>
      </c>
      <c r="E114" t="s">
        <v>81</v>
      </c>
      <c r="F114" t="s">
        <v>77</v>
      </c>
      <c r="G114">
        <v>2.8286311922860898</v>
      </c>
      <c r="H114">
        <v>3.2591222449482697E-2</v>
      </c>
      <c r="I114">
        <v>0</v>
      </c>
      <c r="J114">
        <v>8</v>
      </c>
      <c r="K114">
        <v>39202</v>
      </c>
      <c r="L114" t="str">
        <f>DiscreteStatsTable[[#This Row],[ProjectName]]&amp;DiscreteStatsTable[[#This Row],[Name]]&amp;DiscreteStatsTable[[#This Row],[Type]]&amp;DiscreteStatsTable[[#This Row],[Source]]</f>
        <v>Unnamed ProjectOldPartVA TimeEntity</v>
      </c>
      <c r="M114" cm="1">
        <f t="array" ref="M114">MAX(IF((ProjectInfoTable[ProjectName]=DiscreteStatsTable[[#This Row],[ProjectName]]),(ProjectInfoTable[ProjectName]=DiscreteStatsTable[[#This Row],[ProjectName]])*ProjectInfoTable[NumberOfReplications]))</f>
        <v>10</v>
      </c>
      <c r="N114" cm="1">
        <f t="array" ref="N114">IFERROR(AVERAGE(IF((DiscreteStatsTable[GroupByKey]=DiscreteStatsTable[[#This Row],[GroupByKey]]),(DiscreteStatsTable[GroupByKey]=DiscreteStatsTable[[#This Row],[GroupByKey]])*DiscreteStatsTable[Average])),0)</f>
        <v>2.8068584162430272</v>
      </c>
      <c r="O114" cm="1">
        <f t="array" ref="O114">IFERROR(_xlfn.STDEV.S(IF((DiscreteStatsTable[GroupByKey]=DiscreteStatsTable[[#This Row],[GroupByKey]]),(DiscreteStatsTable[GroupByKey]=DiscreteStatsTable[[#This Row],[GroupByKey]])*DiscreteStatsTable[Average])),0)</f>
        <v>1.0844368772089623E-2</v>
      </c>
      <c r="P114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7.7575940920069286E-3</v>
      </c>
      <c r="R114" cm="1">
        <f t="array" ref="R114">MIN(IF((DiscreteStatsTable[GroupByKey]=DiscreteStatsTable[[#This Row],[GroupByKey]]),(DiscreteStatsTable[GroupByKey]=DiscreteStatsTable[[#This Row],[GroupByKey]])*DiscreteStatsTable[Average]))</f>
        <v>2.7926069641580802</v>
      </c>
      <c r="S114" cm="1">
        <f t="array" ref="S114">MAX(IF((DiscreteStatsTable[GroupByKey]=DiscreteStatsTable[[#This Row],[GroupByKey]]),(DiscreteStatsTable[GroupByKey]=DiscreteStatsTable[[#This Row],[GroupByKey]])*DiscreteStatsTable[Average]))</f>
        <v>2.8286311922860898</v>
      </c>
      <c r="T114" cm="1">
        <f t="array" ref="T114">MIN(IF((DiscreteStatsTable[GroupByKey]=DiscreteStatsTable[[#This Row],[GroupByKey]]),(DiscreteStatsTable[GroupByKey]=DiscreteStatsTable[[#This Row],[GroupByKey]])*DiscreteStatsTable[Minimum]))</f>
        <v>0</v>
      </c>
      <c r="U114" cm="1">
        <f t="array" ref="U114">MAX(IF((DiscreteStatsTable[GroupByKey]=DiscreteStatsTable[[#This Row],[GroupByKey]]),(DiscreteStatsTable[GroupByKey]=DiscreteStatsTable[[#This Row],[GroupByKey]])*DiscreteStatsTable[Maximum]))</f>
        <v>8.0000000000291003</v>
      </c>
      <c r="V114" cm="1">
        <f t="array" ref="V114">IFERROR(AVERAGE(IF((DiscreteStatsTable[GroupByKey]=DiscreteStatsTable[[#This Row],[GroupByKey]]),(DiscreteStatsTable[GroupByKey]=DiscreteStatsTable[[#This Row],[GroupByKey]])*DiscreteStatsTable[NumberObservations])),0)</f>
        <v>39114.6</v>
      </c>
      <c r="W114">
        <f>IF((DiscreteStatsTable[[#This Row],[RepsRequested]]&gt;1),DiscreteStatsTable[[#This Row],[HalfWidth]],DiscreteStatsTable[[#This Row],[BatchMeansHalfWidth]])</f>
        <v>7.7575940920069286E-3</v>
      </c>
      <c r="X114" cm="1">
        <f t="array" ref="X114">COUNT(IF((DiscreteStatsTable[GroupByKey]=DiscreteStatsTable[[#This Row],[GroupByKey]]),(DiscreteStatsTable[GroupByKey]=DiscreteStatsTable[[#This Row],[GroupByKey]])*DiscreteStatsTable[Replication]))</f>
        <v>10</v>
      </c>
      <c r="Y114">
        <f>IF(DiscreteStatsTable[[#This Row],[RepsRequested]]=DiscreteStatsTable[[#This Row],[RepsWithStatObserved]],1,0)</f>
        <v>1</v>
      </c>
    </row>
    <row r="115" spans="1:25" x14ac:dyDescent="0.25">
      <c r="A115" t="s">
        <v>67</v>
      </c>
      <c r="B115" t="s">
        <v>69</v>
      </c>
      <c r="C115">
        <v>4</v>
      </c>
      <c r="D115" t="s">
        <v>83</v>
      </c>
      <c r="E115" t="s">
        <v>82</v>
      </c>
      <c r="F115" t="s">
        <v>77</v>
      </c>
      <c r="G115">
        <v>27.4385105303964</v>
      </c>
      <c r="H115">
        <v>2.7209199530213</v>
      </c>
      <c r="I115">
        <v>0</v>
      </c>
      <c r="J115">
        <v>488.84657941502502</v>
      </c>
      <c r="K115">
        <v>39202</v>
      </c>
      <c r="L115" t="str">
        <f>DiscreteStatsTable[[#This Row],[ProjectName]]&amp;DiscreteStatsTable[[#This Row],[Name]]&amp;DiscreteStatsTable[[#This Row],[Type]]&amp;DiscreteStatsTable[[#This Row],[Source]]</f>
        <v>Unnamed ProjectOldPartWait TimeEntity</v>
      </c>
      <c r="M115" cm="1">
        <f t="array" ref="M115">MAX(IF((ProjectInfoTable[ProjectName]=DiscreteStatsTable[[#This Row],[ProjectName]]),(ProjectInfoTable[ProjectName]=DiscreteStatsTable[[#This Row],[ProjectName]])*ProjectInfoTable[NumberOfReplications]))</f>
        <v>10</v>
      </c>
      <c r="N115" cm="1">
        <f t="array" ref="N115">IFERROR(AVERAGE(IF((DiscreteStatsTable[GroupByKey]=DiscreteStatsTable[[#This Row],[GroupByKey]]),(DiscreteStatsTable[GroupByKey]=DiscreteStatsTable[[#This Row],[GroupByKey]])*DiscreteStatsTable[Average])),0)</f>
        <v>25.459161551617594</v>
      </c>
      <c r="O115" cm="1">
        <f t="array" ref="O115">IFERROR(_xlfn.STDEV.S(IF((DiscreteStatsTable[GroupByKey]=DiscreteStatsTable[[#This Row],[GroupByKey]]),(DiscreteStatsTable[GroupByKey]=DiscreteStatsTable[[#This Row],[GroupByKey]])*DiscreteStatsTable[Average])),0)</f>
        <v>1.1829151497487862</v>
      </c>
      <c r="P11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0.84620652155011711</v>
      </c>
      <c r="R115" cm="1">
        <f t="array" ref="R115">MIN(IF((DiscreteStatsTable[GroupByKey]=DiscreteStatsTable[[#This Row],[GroupByKey]]),(DiscreteStatsTable[GroupByKey]=DiscreteStatsTable[[#This Row],[GroupByKey]])*DiscreteStatsTable[Average]))</f>
        <v>23.749747212782399</v>
      </c>
      <c r="S115" cm="1">
        <f t="array" ref="S115">MAX(IF((DiscreteStatsTable[GroupByKey]=DiscreteStatsTable[[#This Row],[GroupByKey]]),(DiscreteStatsTable[GroupByKey]=DiscreteStatsTable[[#This Row],[GroupByKey]])*DiscreteStatsTable[Average]))</f>
        <v>27.4385105303964</v>
      </c>
      <c r="T11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cm="1">
        <f t="array" ref="U115">MAX(IF((DiscreteStatsTable[GroupByKey]=DiscreteStatsTable[[#This Row],[GroupByKey]]),(DiscreteStatsTable[GroupByKey]=DiscreteStatsTable[[#This Row],[GroupByKey]])*DiscreteStatsTable[Maximum]))</f>
        <v>697.97683727095102</v>
      </c>
      <c r="V115" cm="1">
        <f t="array" ref="V115">IFERROR(AVERAGE(IF((DiscreteStatsTable[GroupByKey]=DiscreteStatsTable[[#This Row],[GroupByKey]]),(DiscreteStatsTable[GroupByKey]=DiscreteStatsTable[[#This Row],[GroupByKey]])*DiscreteStatsTable[NumberObservations])),0)</f>
        <v>39114.6</v>
      </c>
      <c r="W115">
        <f>IF((DiscreteStatsTable[[#This Row],[RepsRequested]]&gt;1),DiscreteStatsTable[[#This Row],[HalfWidth]],DiscreteStatsTable[[#This Row],[BatchMeansHalfWidth]])</f>
        <v>0.84620652155011711</v>
      </c>
      <c r="X115" cm="1">
        <f t="array" ref="X115">COUNT(IF((DiscreteStatsTable[GroupByKey]=DiscreteStatsTable[[#This Row],[GroupByKey]]),(DiscreteStatsTable[GroupByKey]=DiscreteStatsTable[[#This Row],[GroupByKey]])*DiscreteStatsTable[Replication]))</f>
        <v>10</v>
      </c>
      <c r="Y115">
        <f>IF(DiscreteStatsTable[[#This Row],[RepsRequested]]=DiscreteStatsTable[[#This Row],[RepsWithStatObserved]],1,0)</f>
        <v>1</v>
      </c>
    </row>
    <row r="116" spans="1:25" x14ac:dyDescent="0.25">
      <c r="A116" t="s">
        <v>67</v>
      </c>
      <c r="B116" t="s">
        <v>69</v>
      </c>
      <c r="C116">
        <v>5</v>
      </c>
      <c r="D116" t="s">
        <v>83</v>
      </c>
      <c r="E116" t="s">
        <v>76</v>
      </c>
      <c r="F116" t="s">
        <v>77</v>
      </c>
      <c r="G116">
        <v>0</v>
      </c>
      <c r="H116">
        <v>0</v>
      </c>
      <c r="I116">
        <v>0</v>
      </c>
      <c r="J116">
        <v>0</v>
      </c>
      <c r="K116">
        <v>38937</v>
      </c>
      <c r="L116" t="str">
        <f>DiscreteStatsTable[[#This Row],[ProjectName]]&amp;DiscreteStatsTable[[#This Row],[Name]]&amp;DiscreteStatsTable[[#This Row],[Type]]&amp;DiscreteStatsTable[[#This Row],[Source]]</f>
        <v>Unnamed ProjectOldPartNVA TimeEntity</v>
      </c>
      <c r="M116" cm="1">
        <f t="array" ref="M116">MAX(IF((ProjectInfoTable[ProjectName]=DiscreteStatsTable[[#This Row],[ProjectName]]),(ProjectInfoTable[ProjectName]=DiscreteStatsTable[[#This Row],[ProjectName]])*ProjectInfoTable[NumberOfReplications]))</f>
        <v>10</v>
      </c>
      <c r="N116" cm="1">
        <f t="array" ref="N116">IFERROR(AVERAGE(IF((DiscreteStatsTable[GroupByKey]=DiscreteStatsTable[[#This Row],[GroupByKey]]),(DiscreteStatsTable[GroupByKey]=DiscreteStatsTable[[#This Row],[GroupByKey]])*DiscreteStatsTable[Average])),0)</f>
        <v>0</v>
      </c>
      <c r="O116" cm="1">
        <f t="array" ref="O116">IFERROR(_xlfn.STDEV.S(IF((DiscreteStatsTable[GroupByKey]=DiscreteStatsTable[[#This Row],[GroupByKey]]),(DiscreteStatsTable[GroupByKey]=DiscreteStatsTable[[#This Row],[GroupByKey]])*DiscreteStatsTable[Average])),0)</f>
        <v>0</v>
      </c>
      <c r="P116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" cm="1">
        <f t="array" ref="R116">MIN(IF((DiscreteStatsTable[GroupByKey]=DiscreteStatsTable[[#This Row],[GroupByKey]]),(DiscreteStatsTable[GroupByKey]=DiscreteStatsTable[[#This Row],[GroupByKey]])*DiscreteStatsTable[Average]))</f>
        <v>0</v>
      </c>
      <c r="S116" cm="1">
        <f t="array" ref="S116">MAX(IF((DiscreteStatsTable[GroupByKey]=DiscreteStatsTable[[#This Row],[GroupByKey]]),(DiscreteStatsTable[GroupByKey]=DiscreteStatsTable[[#This Row],[GroupByKey]])*DiscreteStatsTable[Average]))</f>
        <v>0</v>
      </c>
      <c r="T116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cm="1">
        <f t="array" ref="U116">MAX(IF((DiscreteStatsTable[GroupByKey]=DiscreteStatsTable[[#This Row],[GroupByKey]]),(DiscreteStatsTable[GroupByKey]=DiscreteStatsTable[[#This Row],[GroupByKey]])*DiscreteStatsTable[Maximum]))</f>
        <v>0</v>
      </c>
      <c r="V116" cm="1">
        <f t="array" ref="V116">IFERROR(AVERAGE(IF((DiscreteStatsTable[GroupByKey]=DiscreteStatsTable[[#This Row],[GroupByKey]]),(DiscreteStatsTable[GroupByKey]=DiscreteStatsTable[[#This Row],[GroupByKey]])*DiscreteStatsTable[NumberObservations])),0)</f>
        <v>39114.6</v>
      </c>
      <c r="W116">
        <f>IF((DiscreteStatsTable[[#This Row],[RepsRequested]]&gt;1),DiscreteStatsTable[[#This Row],[HalfWidth]],DiscreteStatsTable[[#This Row],[BatchMeansHalfWidth]])</f>
        <v>0</v>
      </c>
      <c r="X116" cm="1">
        <f t="array" ref="X116">COUNT(IF((DiscreteStatsTable[GroupByKey]=DiscreteStatsTable[[#This Row],[GroupByKey]]),(DiscreteStatsTable[GroupByKey]=DiscreteStatsTable[[#This Row],[GroupByKey]])*DiscreteStatsTable[Replication]))</f>
        <v>10</v>
      </c>
      <c r="Y116">
        <f>IF(DiscreteStatsTable[[#This Row],[RepsRequested]]=DiscreteStatsTable[[#This Row],[RepsWithStatObserved]],1,0)</f>
        <v>1</v>
      </c>
    </row>
    <row r="117" spans="1:25" x14ac:dyDescent="0.25">
      <c r="A117" t="s">
        <v>67</v>
      </c>
      <c r="B117" t="s">
        <v>69</v>
      </c>
      <c r="C117">
        <v>5</v>
      </c>
      <c r="D117" t="s">
        <v>83</v>
      </c>
      <c r="E117" t="s">
        <v>78</v>
      </c>
      <c r="F117" t="s">
        <v>77</v>
      </c>
      <c r="G117">
        <v>26.580412264770199</v>
      </c>
      <c r="H117">
        <v>0.29687919576798499</v>
      </c>
      <c r="I117">
        <v>0</v>
      </c>
      <c r="J117">
        <v>96.918040676100603</v>
      </c>
      <c r="K117">
        <v>38937</v>
      </c>
      <c r="L117" t="str">
        <f>DiscreteStatsTable[[#This Row],[ProjectName]]&amp;DiscreteStatsTable[[#This Row],[Name]]&amp;DiscreteStatsTable[[#This Row],[Type]]&amp;DiscreteStatsTable[[#This Row],[Source]]</f>
        <v>Unnamed ProjectOldPartOther TimeEntity</v>
      </c>
      <c r="M117" cm="1">
        <f t="array" ref="M117">MAX(IF((ProjectInfoTable[ProjectName]=DiscreteStatsTable[[#This Row],[ProjectName]]),(ProjectInfoTable[ProjectName]=DiscreteStatsTable[[#This Row],[ProjectName]])*ProjectInfoTable[NumberOfReplications]))</f>
        <v>10</v>
      </c>
      <c r="N117" cm="1">
        <f t="array" ref="N117">IFERROR(AVERAGE(IF((DiscreteStatsTable[GroupByKey]=DiscreteStatsTable[[#This Row],[GroupByKey]]),(DiscreteStatsTable[GroupByKey]=DiscreteStatsTable[[#This Row],[GroupByKey]])*DiscreteStatsTable[Average])),0)</f>
        <v>26.5549021198449</v>
      </c>
      <c r="O117" cm="1">
        <f t="array" ref="O117">IFERROR(_xlfn.STDEV.S(IF((DiscreteStatsTable[GroupByKey]=DiscreteStatsTable[[#This Row],[GroupByKey]]),(DiscreteStatsTable[GroupByKey]=DiscreteStatsTable[[#This Row],[GroupByKey]])*DiscreteStatsTable[Average])),0)</f>
        <v>0.10060394881248749</v>
      </c>
      <c r="P117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7.1967729550932169E-2</v>
      </c>
      <c r="R117" cm="1">
        <f t="array" ref="R117">MIN(IF((DiscreteStatsTable[GroupByKey]=DiscreteStatsTable[[#This Row],[GroupByKey]]),(DiscreteStatsTable[GroupByKey]=DiscreteStatsTable[[#This Row],[GroupByKey]])*DiscreteStatsTable[Average]))</f>
        <v>26.429032514931901</v>
      </c>
      <c r="S117" cm="1">
        <f t="array" ref="S117">MAX(IF((DiscreteStatsTable[GroupByKey]=DiscreteStatsTable[[#This Row],[GroupByKey]]),(DiscreteStatsTable[GroupByKey]=DiscreteStatsTable[[#This Row],[GroupByKey]])*DiscreteStatsTable[Average]))</f>
        <v>26.770475746157199</v>
      </c>
      <c r="T117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cm="1">
        <f t="array" ref="U117">MAX(IF((DiscreteStatsTable[GroupByKey]=DiscreteStatsTable[[#This Row],[GroupByKey]]),(DiscreteStatsTable[GroupByKey]=DiscreteStatsTable[[#This Row],[GroupByKey]])*DiscreteStatsTable[Maximum]))</f>
        <v>102.681411641621</v>
      </c>
      <c r="V117" cm="1">
        <f t="array" ref="V117">IFERROR(AVERAGE(IF((DiscreteStatsTable[GroupByKey]=DiscreteStatsTable[[#This Row],[GroupByKey]]),(DiscreteStatsTable[GroupByKey]=DiscreteStatsTable[[#This Row],[GroupByKey]])*DiscreteStatsTable[NumberObservations])),0)</f>
        <v>39114.6</v>
      </c>
      <c r="W117">
        <f>IF((DiscreteStatsTable[[#This Row],[RepsRequested]]&gt;1),DiscreteStatsTable[[#This Row],[HalfWidth]],DiscreteStatsTable[[#This Row],[BatchMeansHalfWidth]])</f>
        <v>7.1967729550932169E-2</v>
      </c>
      <c r="X117" cm="1">
        <f t="array" ref="X117">COUNT(IF((DiscreteStatsTable[GroupByKey]=DiscreteStatsTable[[#This Row],[GroupByKey]]),(DiscreteStatsTable[GroupByKey]=DiscreteStatsTable[[#This Row],[GroupByKey]])*DiscreteStatsTable[Replication]))</f>
        <v>10</v>
      </c>
      <c r="Y117">
        <f>IF(DiscreteStatsTable[[#This Row],[RepsRequested]]=DiscreteStatsTable[[#This Row],[RepsWithStatObserved]],1,0)</f>
        <v>1</v>
      </c>
    </row>
    <row r="118" spans="1:25" x14ac:dyDescent="0.25">
      <c r="A118" t="s">
        <v>67</v>
      </c>
      <c r="B118" t="s">
        <v>69</v>
      </c>
      <c r="C118">
        <v>5</v>
      </c>
      <c r="D118" t="s">
        <v>83</v>
      </c>
      <c r="E118" t="s">
        <v>79</v>
      </c>
      <c r="F118" t="s">
        <v>77</v>
      </c>
      <c r="G118">
        <v>70.372645637622199</v>
      </c>
      <c r="H118">
        <v>4.0724288522249399</v>
      </c>
      <c r="I118">
        <v>2.5999999993946399</v>
      </c>
      <c r="J118">
        <v>801.14163618703606</v>
      </c>
      <c r="K118">
        <v>38937</v>
      </c>
      <c r="L118" t="str">
        <f>DiscreteStatsTable[[#This Row],[ProjectName]]&amp;DiscreteStatsTable[[#This Row],[Name]]&amp;DiscreteStatsTable[[#This Row],[Type]]&amp;DiscreteStatsTable[[#This Row],[Source]]</f>
        <v>Unnamed ProjectOldPartTotal TimeEntity</v>
      </c>
      <c r="M118" cm="1">
        <f t="array" ref="M118">MAX(IF((ProjectInfoTable[ProjectName]=DiscreteStatsTable[[#This Row],[ProjectName]]),(ProjectInfoTable[ProjectName]=DiscreteStatsTable[[#This Row],[ProjectName]])*ProjectInfoTable[NumberOfReplications]))</f>
        <v>10</v>
      </c>
      <c r="N118" cm="1">
        <f t="array" ref="N118">IFERROR(AVERAGE(IF((DiscreteStatsTable[GroupByKey]=DiscreteStatsTable[[#This Row],[GroupByKey]]),(DiscreteStatsTable[GroupByKey]=DiscreteStatsTable[[#This Row],[GroupByKey]])*DiscreteStatsTable[Average])),0)</f>
        <v>69.628311992504038</v>
      </c>
      <c r="O118" cm="1">
        <f t="array" ref="O118">IFERROR(_xlfn.STDEV.S(IF((DiscreteStatsTable[GroupByKey]=DiscreteStatsTable[[#This Row],[GroupByKey]]),(DiscreteStatsTable[GroupByKey]=DiscreteStatsTable[[#This Row],[GroupByKey]])*DiscreteStatsTable[Average])),0)</f>
        <v>1.2322643661026464</v>
      </c>
      <c r="P118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0.88150882427309152</v>
      </c>
      <c r="R118" cm="1">
        <f t="array" ref="R118">MIN(IF((DiscreteStatsTable[GroupByKey]=DiscreteStatsTable[[#This Row],[GroupByKey]]),(DiscreteStatsTable[GroupByKey]=DiscreteStatsTable[[#This Row],[GroupByKey]])*DiscreteStatsTable[Average]))</f>
        <v>67.806850464608502</v>
      </c>
      <c r="S118" cm="1">
        <f t="array" ref="S118">MAX(IF((DiscreteStatsTable[GroupByKey]=DiscreteStatsTable[[#This Row],[GroupByKey]]),(DiscreteStatsTable[GroupByKey]=DiscreteStatsTable[[#This Row],[GroupByKey]])*DiscreteStatsTable[Average]))</f>
        <v>71.785243392167402</v>
      </c>
      <c r="T118" cm="1">
        <f t="array" ref="T118">MIN(IF((DiscreteStatsTable[GroupByKey]=DiscreteStatsTable[[#This Row],[GroupByKey]]),(DiscreteStatsTable[GroupByKey]=DiscreteStatsTable[[#This Row],[GroupByKey]])*DiscreteStatsTable[Minimum]))</f>
        <v>2.5999999993946399</v>
      </c>
      <c r="U118" cm="1">
        <f t="array" ref="U118">MAX(IF((DiscreteStatsTable[GroupByKey]=DiscreteStatsTable[[#This Row],[GroupByKey]]),(DiscreteStatsTable[GroupByKey]=DiscreteStatsTable[[#This Row],[GroupByKey]])*DiscreteStatsTable[Maximum]))</f>
        <v>801.14163618703606</v>
      </c>
      <c r="V118" cm="1">
        <f t="array" ref="V118">IFERROR(AVERAGE(IF((DiscreteStatsTable[GroupByKey]=DiscreteStatsTable[[#This Row],[GroupByKey]]),(DiscreteStatsTable[GroupByKey]=DiscreteStatsTable[[#This Row],[GroupByKey]])*DiscreteStatsTable[NumberObservations])),0)</f>
        <v>39114.6</v>
      </c>
      <c r="W118">
        <f>IF((DiscreteStatsTable[[#This Row],[RepsRequested]]&gt;1),DiscreteStatsTable[[#This Row],[HalfWidth]],DiscreteStatsTable[[#This Row],[BatchMeansHalfWidth]])</f>
        <v>0.88150882427309152</v>
      </c>
      <c r="X118" cm="1">
        <f t="array" ref="X118">COUNT(IF((DiscreteStatsTable[GroupByKey]=DiscreteStatsTable[[#This Row],[GroupByKey]]),(DiscreteStatsTable[GroupByKey]=DiscreteStatsTable[[#This Row],[GroupByKey]])*DiscreteStatsTable[Replication]))</f>
        <v>10</v>
      </c>
      <c r="Y118">
        <f>IF(DiscreteStatsTable[[#This Row],[RepsRequested]]=DiscreteStatsTable[[#This Row],[RepsWithStatObserved]],1,0)</f>
        <v>1</v>
      </c>
    </row>
    <row r="119" spans="1:25" x14ac:dyDescent="0.25">
      <c r="A119" t="s">
        <v>67</v>
      </c>
      <c r="B119" t="s">
        <v>69</v>
      </c>
      <c r="C119">
        <v>5</v>
      </c>
      <c r="D119" t="s">
        <v>83</v>
      </c>
      <c r="E119" t="s">
        <v>80</v>
      </c>
      <c r="F119" t="s">
        <v>77</v>
      </c>
      <c r="G119">
        <v>14.938387130672201</v>
      </c>
      <c r="H119">
        <v>0.144108540567249</v>
      </c>
      <c r="I119">
        <v>2.5999999993946399</v>
      </c>
      <c r="J119">
        <v>301.61300022101199</v>
      </c>
      <c r="K119">
        <v>38937</v>
      </c>
      <c r="L119" t="str">
        <f>DiscreteStatsTable[[#This Row],[ProjectName]]&amp;DiscreteStatsTable[[#This Row],[Name]]&amp;DiscreteStatsTable[[#This Row],[Type]]&amp;DiscreteStatsTable[[#This Row],[Source]]</f>
        <v>Unnamed ProjectOldPartTransfer TimeEntity</v>
      </c>
      <c r="M119" cm="1">
        <f t="array" ref="M119">MAX(IF((ProjectInfoTable[ProjectName]=DiscreteStatsTable[[#This Row],[ProjectName]]),(ProjectInfoTable[ProjectName]=DiscreteStatsTable[[#This Row],[ProjectName]])*ProjectInfoTable[NumberOfReplications]))</f>
        <v>10</v>
      </c>
      <c r="N119" cm="1">
        <f t="array" ref="N119">IFERROR(AVERAGE(IF((DiscreteStatsTable[GroupByKey]=DiscreteStatsTable[[#This Row],[GroupByKey]]),(DiscreteStatsTable[GroupByKey]=DiscreteStatsTable[[#This Row],[GroupByKey]])*DiscreteStatsTable[Average])),0)</f>
        <v>14.80738990479856</v>
      </c>
      <c r="O119" cm="1">
        <f t="array" ref="O119">IFERROR(_xlfn.STDEV.S(IF((DiscreteStatsTable[GroupByKey]=DiscreteStatsTable[[#This Row],[GroupByKey]]),(DiscreteStatsTable[GroupByKey]=DiscreteStatsTable[[#This Row],[GroupByKey]])*DiscreteStatsTable[Average])),0)</f>
        <v>8.7394837578947643E-2</v>
      </c>
      <c r="P119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6.2518500608284761E-2</v>
      </c>
      <c r="R119" cm="1">
        <f t="array" ref="R119">MIN(IF((DiscreteStatsTable[GroupByKey]=DiscreteStatsTable[[#This Row],[GroupByKey]]),(DiscreteStatsTable[GroupByKey]=DiscreteStatsTable[[#This Row],[GroupByKey]])*DiscreteStatsTable[Average]))</f>
        <v>14.638753868636099</v>
      </c>
      <c r="S119" cm="1">
        <f t="array" ref="S119">MAX(IF((DiscreteStatsTable[GroupByKey]=DiscreteStatsTable[[#This Row],[GroupByKey]]),(DiscreteStatsTable[GroupByKey]=DiscreteStatsTable[[#This Row],[GroupByKey]])*DiscreteStatsTable[Average]))</f>
        <v>14.938387130672201</v>
      </c>
      <c r="T119" cm="1">
        <f t="array" ref="T119">MIN(IF((DiscreteStatsTable[GroupByKey]=DiscreteStatsTable[[#This Row],[GroupByKey]]),(DiscreteStatsTable[GroupByKey]=DiscreteStatsTable[[#This Row],[GroupByKey]])*DiscreteStatsTable[Minimum]))</f>
        <v>2.5999999993946399</v>
      </c>
      <c r="U119" cm="1">
        <f t="array" ref="U119">MAX(IF((DiscreteStatsTable[GroupByKey]=DiscreteStatsTable[[#This Row],[GroupByKey]]),(DiscreteStatsTable[GroupByKey]=DiscreteStatsTable[[#This Row],[GroupByKey]])*DiscreteStatsTable[Maximum]))</f>
        <v>301.61300022101199</v>
      </c>
      <c r="V119" cm="1">
        <f t="array" ref="V119">IFERROR(AVERAGE(IF((DiscreteStatsTable[GroupByKey]=DiscreteStatsTable[[#This Row],[GroupByKey]]),(DiscreteStatsTable[GroupByKey]=DiscreteStatsTable[[#This Row],[GroupByKey]])*DiscreteStatsTable[NumberObservations])),0)</f>
        <v>39114.6</v>
      </c>
      <c r="W119">
        <f>IF((DiscreteStatsTable[[#This Row],[RepsRequested]]&gt;1),DiscreteStatsTable[[#This Row],[HalfWidth]],DiscreteStatsTable[[#This Row],[BatchMeansHalfWidth]])</f>
        <v>6.2518500608284761E-2</v>
      </c>
      <c r="X119" cm="1">
        <f t="array" ref="X119">COUNT(IF((DiscreteStatsTable[GroupByKey]=DiscreteStatsTable[[#This Row],[GroupByKey]]),(DiscreteStatsTable[GroupByKey]=DiscreteStatsTable[[#This Row],[GroupByKey]])*DiscreteStatsTable[Replication]))</f>
        <v>10</v>
      </c>
      <c r="Y119">
        <f>IF(DiscreteStatsTable[[#This Row],[RepsRequested]]=DiscreteStatsTable[[#This Row],[RepsWithStatObserved]],1,0)</f>
        <v>1</v>
      </c>
    </row>
    <row r="120" spans="1:25" x14ac:dyDescent="0.25">
      <c r="A120" t="s">
        <v>67</v>
      </c>
      <c r="B120" t="s">
        <v>69</v>
      </c>
      <c r="C120">
        <v>5</v>
      </c>
      <c r="D120" t="s">
        <v>83</v>
      </c>
      <c r="E120" t="s">
        <v>81</v>
      </c>
      <c r="F120" t="s">
        <v>77</v>
      </c>
      <c r="G120">
        <v>2.8102832781159299</v>
      </c>
      <c r="H120">
        <v>3.1541321653645302E-2</v>
      </c>
      <c r="I120">
        <v>0</v>
      </c>
      <c r="J120">
        <v>8.0000000000072795</v>
      </c>
      <c r="K120">
        <v>38937</v>
      </c>
      <c r="L120" t="str">
        <f>DiscreteStatsTable[[#This Row],[ProjectName]]&amp;DiscreteStatsTable[[#This Row],[Name]]&amp;DiscreteStatsTable[[#This Row],[Type]]&amp;DiscreteStatsTable[[#This Row],[Source]]</f>
        <v>Unnamed ProjectOldPartVA TimeEntity</v>
      </c>
      <c r="M120" cm="1">
        <f t="array" ref="M120">MAX(IF((ProjectInfoTable[ProjectName]=DiscreteStatsTable[[#This Row],[ProjectName]]),(ProjectInfoTable[ProjectName]=DiscreteStatsTable[[#This Row],[ProjectName]])*ProjectInfoTable[NumberOfReplications]))</f>
        <v>10</v>
      </c>
      <c r="N120" cm="1">
        <f t="array" ref="N120">IFERROR(AVERAGE(IF((DiscreteStatsTable[GroupByKey]=DiscreteStatsTable[[#This Row],[GroupByKey]]),(DiscreteStatsTable[GroupByKey]=DiscreteStatsTable[[#This Row],[GroupByKey]])*DiscreteStatsTable[Average])),0)</f>
        <v>2.8068584162430272</v>
      </c>
      <c r="O120" cm="1">
        <f t="array" ref="O120">IFERROR(_xlfn.STDEV.S(IF((DiscreteStatsTable[GroupByKey]=DiscreteStatsTable[[#This Row],[GroupByKey]]),(DiscreteStatsTable[GroupByKey]=DiscreteStatsTable[[#This Row],[GroupByKey]])*DiscreteStatsTable[Average])),0)</f>
        <v>1.0844368772089623E-2</v>
      </c>
      <c r="P120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7.7575940920069286E-3</v>
      </c>
      <c r="R120" cm="1">
        <f t="array" ref="R120">MIN(IF((DiscreteStatsTable[GroupByKey]=DiscreteStatsTable[[#This Row],[GroupByKey]]),(DiscreteStatsTable[GroupByKey]=DiscreteStatsTable[[#This Row],[GroupByKey]])*DiscreteStatsTable[Average]))</f>
        <v>2.7926069641580802</v>
      </c>
      <c r="S120" cm="1">
        <f t="array" ref="S120">MAX(IF((DiscreteStatsTable[GroupByKey]=DiscreteStatsTable[[#This Row],[GroupByKey]]),(DiscreteStatsTable[GroupByKey]=DiscreteStatsTable[[#This Row],[GroupByKey]])*DiscreteStatsTable[Average]))</f>
        <v>2.8286311922860898</v>
      </c>
      <c r="T120" cm="1">
        <f t="array" ref="T120">MIN(IF((DiscreteStatsTable[GroupByKey]=DiscreteStatsTable[[#This Row],[GroupByKey]]),(DiscreteStatsTable[GroupByKey]=DiscreteStatsTable[[#This Row],[GroupByKey]])*DiscreteStatsTable[Minimum]))</f>
        <v>0</v>
      </c>
      <c r="U120" cm="1">
        <f t="array" ref="U120">MAX(IF((DiscreteStatsTable[GroupByKey]=DiscreteStatsTable[[#This Row],[GroupByKey]]),(DiscreteStatsTable[GroupByKey]=DiscreteStatsTable[[#This Row],[GroupByKey]])*DiscreteStatsTable[Maximum]))</f>
        <v>8.0000000000291003</v>
      </c>
      <c r="V120" cm="1">
        <f t="array" ref="V120">IFERROR(AVERAGE(IF((DiscreteStatsTable[GroupByKey]=DiscreteStatsTable[[#This Row],[GroupByKey]]),(DiscreteStatsTable[GroupByKey]=DiscreteStatsTable[[#This Row],[GroupByKey]])*DiscreteStatsTable[NumberObservations])),0)</f>
        <v>39114.6</v>
      </c>
      <c r="W120">
        <f>IF((DiscreteStatsTable[[#This Row],[RepsRequested]]&gt;1),DiscreteStatsTable[[#This Row],[HalfWidth]],DiscreteStatsTable[[#This Row],[BatchMeansHalfWidth]])</f>
        <v>7.7575940920069286E-3</v>
      </c>
      <c r="X120" cm="1">
        <f t="array" ref="X120">COUNT(IF((DiscreteStatsTable[GroupByKey]=DiscreteStatsTable[[#This Row],[GroupByKey]]),(DiscreteStatsTable[GroupByKey]=DiscreteStatsTable[[#This Row],[GroupByKey]])*DiscreteStatsTable[Replication]))</f>
        <v>10</v>
      </c>
      <c r="Y120">
        <f>IF(DiscreteStatsTable[[#This Row],[RepsRequested]]=DiscreteStatsTable[[#This Row],[RepsWithStatObserved]],1,0)</f>
        <v>1</v>
      </c>
    </row>
    <row r="121" spans="1:25" x14ac:dyDescent="0.25">
      <c r="A121" t="s">
        <v>67</v>
      </c>
      <c r="B121" t="s">
        <v>69</v>
      </c>
      <c r="C121">
        <v>5</v>
      </c>
      <c r="D121" t="s">
        <v>83</v>
      </c>
      <c r="E121" t="s">
        <v>82</v>
      </c>
      <c r="F121" t="s">
        <v>77</v>
      </c>
      <c r="G121">
        <v>26.043562964064598</v>
      </c>
      <c r="H121">
        <v>3.9416920747041</v>
      </c>
      <c r="I121">
        <v>0</v>
      </c>
      <c r="J121">
        <v>697.97683727095102</v>
      </c>
      <c r="K121">
        <v>38937</v>
      </c>
      <c r="L121" t="str">
        <f>DiscreteStatsTable[[#This Row],[ProjectName]]&amp;DiscreteStatsTable[[#This Row],[Name]]&amp;DiscreteStatsTable[[#This Row],[Type]]&amp;DiscreteStatsTable[[#This Row],[Source]]</f>
        <v>Unnamed ProjectOldPartWait TimeEntity</v>
      </c>
      <c r="M121" cm="1">
        <f t="array" ref="M121">MAX(IF((ProjectInfoTable[ProjectName]=DiscreteStatsTable[[#This Row],[ProjectName]]),(ProjectInfoTable[ProjectName]=DiscreteStatsTable[[#This Row],[ProjectName]])*ProjectInfoTable[NumberOfReplications]))</f>
        <v>10</v>
      </c>
      <c r="N121" cm="1">
        <f t="array" ref="N121">IFERROR(AVERAGE(IF((DiscreteStatsTable[GroupByKey]=DiscreteStatsTable[[#This Row],[GroupByKey]]),(DiscreteStatsTable[GroupByKey]=DiscreteStatsTable[[#This Row],[GroupByKey]])*DiscreteStatsTable[Average])),0)</f>
        <v>25.459161551617594</v>
      </c>
      <c r="O121" cm="1">
        <f t="array" ref="O121">IFERROR(_xlfn.STDEV.S(IF((DiscreteStatsTable[GroupByKey]=DiscreteStatsTable[[#This Row],[GroupByKey]]),(DiscreteStatsTable[GroupByKey]=DiscreteStatsTable[[#This Row],[GroupByKey]])*DiscreteStatsTable[Average])),0)</f>
        <v>1.1829151497487862</v>
      </c>
      <c r="P121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0.84620652155011711</v>
      </c>
      <c r="R121" cm="1">
        <f t="array" ref="R121">MIN(IF((DiscreteStatsTable[GroupByKey]=DiscreteStatsTable[[#This Row],[GroupByKey]]),(DiscreteStatsTable[GroupByKey]=DiscreteStatsTable[[#This Row],[GroupByKey]])*DiscreteStatsTable[Average]))</f>
        <v>23.749747212782399</v>
      </c>
      <c r="S121" cm="1">
        <f t="array" ref="S121">MAX(IF((DiscreteStatsTable[GroupByKey]=DiscreteStatsTable[[#This Row],[GroupByKey]]),(DiscreteStatsTable[GroupByKey]=DiscreteStatsTable[[#This Row],[GroupByKey]])*DiscreteStatsTable[Average]))</f>
        <v>27.4385105303964</v>
      </c>
      <c r="T121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cm="1">
        <f t="array" ref="U121">MAX(IF((DiscreteStatsTable[GroupByKey]=DiscreteStatsTable[[#This Row],[GroupByKey]]),(DiscreteStatsTable[GroupByKey]=DiscreteStatsTable[[#This Row],[GroupByKey]])*DiscreteStatsTable[Maximum]))</f>
        <v>697.97683727095102</v>
      </c>
      <c r="V121" cm="1">
        <f t="array" ref="V121">IFERROR(AVERAGE(IF((DiscreteStatsTable[GroupByKey]=DiscreteStatsTable[[#This Row],[GroupByKey]]),(DiscreteStatsTable[GroupByKey]=DiscreteStatsTable[[#This Row],[GroupByKey]])*DiscreteStatsTable[NumberObservations])),0)</f>
        <v>39114.6</v>
      </c>
      <c r="W121">
        <f>IF((DiscreteStatsTable[[#This Row],[RepsRequested]]&gt;1),DiscreteStatsTable[[#This Row],[HalfWidth]],DiscreteStatsTable[[#This Row],[BatchMeansHalfWidth]])</f>
        <v>0.84620652155011711</v>
      </c>
      <c r="X121" cm="1">
        <f t="array" ref="X121">COUNT(IF((DiscreteStatsTable[GroupByKey]=DiscreteStatsTable[[#This Row],[GroupByKey]]),(DiscreteStatsTable[GroupByKey]=DiscreteStatsTable[[#This Row],[GroupByKey]])*DiscreteStatsTable[Replication]))</f>
        <v>10</v>
      </c>
      <c r="Y121">
        <f>IF(DiscreteStatsTable[[#This Row],[RepsRequested]]=DiscreteStatsTable[[#This Row],[RepsWithStatObserved]],1,0)</f>
        <v>1</v>
      </c>
    </row>
    <row r="122" spans="1:25" x14ac:dyDescent="0.25">
      <c r="A122" t="s">
        <v>67</v>
      </c>
      <c r="B122" t="s">
        <v>69</v>
      </c>
      <c r="C122">
        <v>6</v>
      </c>
      <c r="D122" t="s">
        <v>83</v>
      </c>
      <c r="E122" t="s">
        <v>76</v>
      </c>
      <c r="F122" t="s">
        <v>77</v>
      </c>
      <c r="G122">
        <v>0</v>
      </c>
      <c r="H122">
        <v>0</v>
      </c>
      <c r="I122">
        <v>0</v>
      </c>
      <c r="J122">
        <v>0</v>
      </c>
      <c r="K122">
        <v>39510</v>
      </c>
      <c r="L122" s="5" t="str">
        <f>DiscreteStatsTable[[#This Row],[ProjectName]]&amp;DiscreteStatsTable[[#This Row],[Name]]&amp;DiscreteStatsTable[[#This Row],[Type]]&amp;DiscreteStatsTable[[#This Row],[Source]]</f>
        <v>Unnamed ProjectOldPartNVA TimeEntity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10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0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0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0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0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0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39114.6</v>
      </c>
      <c r="W122" s="5">
        <f>IF((DiscreteStatsTable[[#This Row],[RepsRequested]]&gt;1),DiscreteStatsTable[[#This Row],[HalfWidth]],DiscreteStatsTable[[#This Row],[BatchMeansHalfWidth]])</f>
        <v>0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10</v>
      </c>
      <c r="Y122" s="5">
        <f>IF(DiscreteStatsTable[[#This Row],[RepsRequested]]=DiscreteStatsTable[[#This Row],[RepsWithStatObserved]],1,0)</f>
        <v>1</v>
      </c>
    </row>
    <row r="123" spans="1:25" x14ac:dyDescent="0.25">
      <c r="A123" t="s">
        <v>67</v>
      </c>
      <c r="B123" t="s">
        <v>69</v>
      </c>
      <c r="C123">
        <v>6</v>
      </c>
      <c r="D123" t="s">
        <v>83</v>
      </c>
      <c r="E123" t="s">
        <v>78</v>
      </c>
      <c r="F123" t="s">
        <v>77</v>
      </c>
      <c r="G123">
        <v>26.563148661461501</v>
      </c>
      <c r="H123">
        <v>0.27621059184553598</v>
      </c>
      <c r="I123">
        <v>0</v>
      </c>
      <c r="J123">
        <v>100.63603227451701</v>
      </c>
      <c r="K123">
        <v>39510</v>
      </c>
      <c r="L123" s="5" t="str">
        <f>DiscreteStatsTable[[#This Row],[ProjectName]]&amp;DiscreteStatsTable[[#This Row],[Name]]&amp;DiscreteStatsTable[[#This Row],[Type]]&amp;DiscreteStatsTable[[#This Row],[Source]]</f>
        <v>Unnamed ProjectOldPartOther TimeEntity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10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26.5549021198449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0.10060394881248749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7.1967729550932169E-2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26.429032514931901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26.770475746157199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102.681411641621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39114.6</v>
      </c>
      <c r="W123" s="5">
        <f>IF((DiscreteStatsTable[[#This Row],[RepsRequested]]&gt;1),DiscreteStatsTable[[#This Row],[HalfWidth]],DiscreteStatsTable[[#This Row],[BatchMeansHalfWidth]])</f>
        <v>7.1967729550932169E-2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10</v>
      </c>
      <c r="Y123" s="5">
        <f>IF(DiscreteStatsTable[[#This Row],[RepsRequested]]=DiscreteStatsTable[[#This Row],[RepsWithStatObserved]],1,0)</f>
        <v>1</v>
      </c>
    </row>
    <row r="124" spans="1:25" x14ac:dyDescent="0.25">
      <c r="A124" t="s">
        <v>67</v>
      </c>
      <c r="B124" t="s">
        <v>69</v>
      </c>
      <c r="C124">
        <v>6</v>
      </c>
      <c r="D124" t="s">
        <v>83</v>
      </c>
      <c r="E124" t="s">
        <v>79</v>
      </c>
      <c r="F124" t="s">
        <v>77</v>
      </c>
      <c r="G124">
        <v>71.280521488420803</v>
      </c>
      <c r="H124">
        <v>2.7126832705240602</v>
      </c>
      <c r="I124">
        <v>2.5999999993946399</v>
      </c>
      <c r="J124">
        <v>560.88010453817003</v>
      </c>
      <c r="K124">
        <v>39510</v>
      </c>
      <c r="L124" s="5" t="str">
        <f>DiscreteStatsTable[[#This Row],[ProjectName]]&amp;DiscreteStatsTable[[#This Row],[Name]]&amp;DiscreteStatsTable[[#This Row],[Type]]&amp;DiscreteStatsTable[[#This Row],[Source]]</f>
        <v>Unnamed ProjectOldPartTotal TimeEntity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10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69.628311992504038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1.2322643661026464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0.88150882427309152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67.806850464608502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71.785243392167402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2.5999999993946399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801.14163618703606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39114.6</v>
      </c>
      <c r="W124" s="5">
        <f>IF((DiscreteStatsTable[[#This Row],[RepsRequested]]&gt;1),DiscreteStatsTable[[#This Row],[HalfWidth]],DiscreteStatsTable[[#This Row],[BatchMeansHalfWidth]])</f>
        <v>0.88150882427309152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10</v>
      </c>
      <c r="Y124" s="5">
        <f>IF(DiscreteStatsTable[[#This Row],[RepsRequested]]=DiscreteStatsTable[[#This Row],[RepsWithStatObserved]],1,0)</f>
        <v>1</v>
      </c>
    </row>
    <row r="125" spans="1:25" x14ac:dyDescent="0.25">
      <c r="A125" t="s">
        <v>67</v>
      </c>
      <c r="B125" t="s">
        <v>69</v>
      </c>
      <c r="C125">
        <v>6</v>
      </c>
      <c r="D125" t="s">
        <v>83</v>
      </c>
      <c r="E125" t="s">
        <v>80</v>
      </c>
      <c r="F125" t="s">
        <v>77</v>
      </c>
      <c r="G125">
        <v>14.638753868636099</v>
      </c>
      <c r="H125">
        <v>0.18522433702718699</v>
      </c>
      <c r="I125">
        <v>2.5999999993946399</v>
      </c>
      <c r="J125">
        <v>238.75842003501</v>
      </c>
      <c r="K125">
        <v>39510</v>
      </c>
      <c r="L125" s="5" t="str">
        <f>DiscreteStatsTable[[#This Row],[ProjectName]]&amp;DiscreteStatsTable[[#This Row],[Name]]&amp;DiscreteStatsTable[[#This Row],[Type]]&amp;DiscreteStatsTable[[#This Row],[Source]]</f>
        <v>Unnamed ProjectOldPartTransfer TimeEntity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10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14.80738990479856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8.7394837578947643E-2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6.2518500608284761E-2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14.638753868636099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14.938387130672201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2.5999999993946399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301.61300022101199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39114.6</v>
      </c>
      <c r="W125" s="5">
        <f>IF((DiscreteStatsTable[[#This Row],[RepsRequested]]&gt;1),DiscreteStatsTable[[#This Row],[HalfWidth]],DiscreteStatsTable[[#This Row],[BatchMeansHalfWidth]])</f>
        <v>6.2518500608284761E-2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10</v>
      </c>
      <c r="Y125" s="5">
        <f>IF(DiscreteStatsTable[[#This Row],[RepsRequested]]=DiscreteStatsTable[[#This Row],[RepsWithStatObserved]],1,0)</f>
        <v>1</v>
      </c>
    </row>
    <row r="126" spans="1:25" x14ac:dyDescent="0.25">
      <c r="A126" t="s">
        <v>67</v>
      </c>
      <c r="B126" t="s">
        <v>69</v>
      </c>
      <c r="C126">
        <v>6</v>
      </c>
      <c r="D126" t="s">
        <v>83</v>
      </c>
      <c r="E126" t="s">
        <v>81</v>
      </c>
      <c r="F126" t="s">
        <v>77</v>
      </c>
      <c r="G126">
        <v>2.8086054163502898</v>
      </c>
      <c r="H126">
        <v>2.8799167855851099E-2</v>
      </c>
      <c r="I126">
        <v>0</v>
      </c>
      <c r="J126">
        <v>8.0000000000291003</v>
      </c>
      <c r="K126">
        <v>39510</v>
      </c>
      <c r="L126" s="5" t="str">
        <f>DiscreteStatsTable[[#This Row],[ProjectName]]&amp;DiscreteStatsTable[[#This Row],[Name]]&amp;DiscreteStatsTable[[#This Row],[Type]]&amp;DiscreteStatsTable[[#This Row],[Source]]</f>
        <v>Unnamed ProjectOldPartVA TimeEntity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10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2.8068584162430272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1.0844368772089623E-2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7.7575940920069286E-3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2.7926069641580802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2.8286311922860898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0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8.0000000000291003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39114.6</v>
      </c>
      <c r="W126" s="5">
        <f>IF((DiscreteStatsTable[[#This Row],[RepsRequested]]&gt;1),DiscreteStatsTable[[#This Row],[HalfWidth]],DiscreteStatsTable[[#This Row],[BatchMeansHalfWidth]])</f>
        <v>7.7575940920069286E-3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10</v>
      </c>
      <c r="Y126" s="5">
        <f>IF(DiscreteStatsTable[[#This Row],[RepsRequested]]=DiscreteStatsTable[[#This Row],[RepsWithStatObserved]],1,0)</f>
        <v>1</v>
      </c>
    </row>
    <row r="127" spans="1:25" x14ac:dyDescent="0.25">
      <c r="A127" t="s">
        <v>67</v>
      </c>
      <c r="B127" t="s">
        <v>69</v>
      </c>
      <c r="C127">
        <v>6</v>
      </c>
      <c r="D127" t="s">
        <v>83</v>
      </c>
      <c r="E127" t="s">
        <v>82</v>
      </c>
      <c r="F127" t="s">
        <v>77</v>
      </c>
      <c r="G127">
        <v>27.270013541972499</v>
      </c>
      <c r="H127">
        <v>2.5850794125222798</v>
      </c>
      <c r="I127">
        <v>0</v>
      </c>
      <c r="J127">
        <v>432.46132015329198</v>
      </c>
      <c r="K127">
        <v>39510</v>
      </c>
      <c r="L127" s="5" t="str">
        <f>DiscreteStatsTable[[#This Row],[ProjectName]]&amp;DiscreteStatsTable[[#This Row],[Name]]&amp;DiscreteStatsTable[[#This Row],[Type]]&amp;DiscreteStatsTable[[#This Row],[Source]]</f>
        <v>Unnamed ProjectOldPartWait TimeEntity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10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25.459161551617594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1.1829151497487862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0.84620652155011711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23.749747212782399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27.4385105303964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697.97683727095102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39114.6</v>
      </c>
      <c r="W127" s="5">
        <f>IF((DiscreteStatsTable[[#This Row],[RepsRequested]]&gt;1),DiscreteStatsTable[[#This Row],[HalfWidth]],DiscreteStatsTable[[#This Row],[BatchMeansHalfWidth]])</f>
        <v>0.84620652155011711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10</v>
      </c>
      <c r="Y127" s="5">
        <f>IF(DiscreteStatsTable[[#This Row],[RepsRequested]]=DiscreteStatsTable[[#This Row],[RepsWithStatObserved]],1,0)</f>
        <v>1</v>
      </c>
    </row>
    <row r="128" spans="1:25" x14ac:dyDescent="0.25">
      <c r="A128" t="s">
        <v>67</v>
      </c>
      <c r="B128" t="s">
        <v>69</v>
      </c>
      <c r="C128">
        <v>7</v>
      </c>
      <c r="D128" t="s">
        <v>83</v>
      </c>
      <c r="E128" t="s">
        <v>76</v>
      </c>
      <c r="F128" t="s">
        <v>77</v>
      </c>
      <c r="G128">
        <v>0</v>
      </c>
      <c r="H128">
        <v>0</v>
      </c>
      <c r="I128">
        <v>0</v>
      </c>
      <c r="J128">
        <v>0</v>
      </c>
      <c r="K128">
        <v>38838</v>
      </c>
      <c r="L128" s="5" t="str">
        <f>DiscreteStatsTable[[#This Row],[ProjectName]]&amp;DiscreteStatsTable[[#This Row],[Name]]&amp;DiscreteStatsTable[[#This Row],[Type]]&amp;DiscreteStatsTable[[#This Row],[Source]]</f>
        <v>Unnamed ProjectOldPartNVA TimeEntity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10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0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0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0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0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0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39114.6</v>
      </c>
      <c r="W128" s="5">
        <f>IF((DiscreteStatsTable[[#This Row],[RepsRequested]]&gt;1),DiscreteStatsTable[[#This Row],[HalfWidth]],DiscreteStatsTable[[#This Row],[BatchMeansHalfWidth]])</f>
        <v>0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10</v>
      </c>
      <c r="Y128" s="5">
        <f>IF(DiscreteStatsTable[[#This Row],[RepsRequested]]=DiscreteStatsTable[[#This Row],[RepsWithStatObserved]],1,0)</f>
        <v>1</v>
      </c>
    </row>
    <row r="129" spans="1:25" x14ac:dyDescent="0.25">
      <c r="A129" t="s">
        <v>67</v>
      </c>
      <c r="B129" t="s">
        <v>69</v>
      </c>
      <c r="C129">
        <v>7</v>
      </c>
      <c r="D129" t="s">
        <v>83</v>
      </c>
      <c r="E129" t="s">
        <v>78</v>
      </c>
      <c r="F129" t="s">
        <v>77</v>
      </c>
      <c r="G129">
        <v>26.571580335481698</v>
      </c>
      <c r="H129">
        <v>0.34353056275681498</v>
      </c>
      <c r="I129">
        <v>0</v>
      </c>
      <c r="J129">
        <v>97.237194786313907</v>
      </c>
      <c r="K129">
        <v>38838</v>
      </c>
      <c r="L129" s="5" t="str">
        <f>DiscreteStatsTable[[#This Row],[ProjectName]]&amp;DiscreteStatsTable[[#This Row],[Name]]&amp;DiscreteStatsTable[[#This Row],[Type]]&amp;DiscreteStatsTable[[#This Row],[Source]]</f>
        <v>Unnamed ProjectOldPartOther TimeEntity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10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26.5549021198449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0.10060394881248749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7.1967729550932169E-2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26.429032514931901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26.770475746157199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102.681411641621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39114.6</v>
      </c>
      <c r="W129" s="5">
        <f>IF((DiscreteStatsTable[[#This Row],[RepsRequested]]&gt;1),DiscreteStatsTable[[#This Row],[HalfWidth]],DiscreteStatsTable[[#This Row],[BatchMeansHalfWidth]])</f>
        <v>7.1967729550932169E-2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10</v>
      </c>
      <c r="Y129" s="5">
        <f>IF(DiscreteStatsTable[[#This Row],[RepsRequested]]=DiscreteStatsTable[[#This Row],[RepsWithStatObserved]],1,0)</f>
        <v>1</v>
      </c>
    </row>
    <row r="130" spans="1:25" x14ac:dyDescent="0.25">
      <c r="A130" t="s">
        <v>67</v>
      </c>
      <c r="B130" t="s">
        <v>69</v>
      </c>
      <c r="C130">
        <v>7</v>
      </c>
      <c r="D130" t="s">
        <v>83</v>
      </c>
      <c r="E130" t="s">
        <v>79</v>
      </c>
      <c r="F130" t="s">
        <v>77</v>
      </c>
      <c r="G130">
        <v>68.858889930387093</v>
      </c>
      <c r="H130">
        <v>2.9935522592177102</v>
      </c>
      <c r="I130">
        <v>2.5999999993946399</v>
      </c>
      <c r="J130">
        <v>688.55845776660101</v>
      </c>
      <c r="K130">
        <v>38838</v>
      </c>
      <c r="L130" s="5" t="str">
        <f>DiscreteStatsTable[[#This Row],[ProjectName]]&amp;DiscreteStatsTable[[#This Row],[Name]]&amp;DiscreteStatsTable[[#This Row],[Type]]&amp;DiscreteStatsTable[[#This Row],[Source]]</f>
        <v>Unnamed ProjectOldPartTotal TimeEntity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10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69.628311992504038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1.2322643661026464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0.88150882427309152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67.806850464608502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71.785243392167402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2.5999999993946399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801.14163618703606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39114.6</v>
      </c>
      <c r="W130" s="5">
        <f>IF((DiscreteStatsTable[[#This Row],[RepsRequested]]&gt;1),DiscreteStatsTable[[#This Row],[HalfWidth]],DiscreteStatsTable[[#This Row],[BatchMeansHalfWidth]])</f>
        <v>0.88150882427309152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10</v>
      </c>
      <c r="Y130" s="5">
        <f>IF(DiscreteStatsTable[[#This Row],[RepsRequested]]=DiscreteStatsTable[[#This Row],[RepsWithStatObserved]],1,0)</f>
        <v>1</v>
      </c>
    </row>
    <row r="131" spans="1:25" x14ac:dyDescent="0.25">
      <c r="A131" t="s">
        <v>67</v>
      </c>
      <c r="B131" t="s">
        <v>69</v>
      </c>
      <c r="C131">
        <v>7</v>
      </c>
      <c r="D131" t="s">
        <v>83</v>
      </c>
      <c r="E131" t="s">
        <v>80</v>
      </c>
      <c r="F131" t="s">
        <v>77</v>
      </c>
      <c r="G131">
        <v>14.8001536180951</v>
      </c>
      <c r="H131">
        <v>3E+20</v>
      </c>
      <c r="I131">
        <v>2.5999999993946399</v>
      </c>
      <c r="J131">
        <v>141.62953338780801</v>
      </c>
      <c r="K131">
        <v>38838</v>
      </c>
      <c r="L131" s="5" t="str">
        <f>DiscreteStatsTable[[#This Row],[ProjectName]]&amp;DiscreteStatsTable[[#This Row],[Name]]&amp;DiscreteStatsTable[[#This Row],[Type]]&amp;DiscreteStatsTable[[#This Row],[Source]]</f>
        <v>Unnamed ProjectOldPartTransfer TimeEntity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10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14.80738990479856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8.7394837578947643E-2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6.2518500608284761E-2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14.638753868636099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14.938387130672201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2.5999999993946399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301.61300022101199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39114.6</v>
      </c>
      <c r="W131" s="5">
        <f>IF((DiscreteStatsTable[[#This Row],[RepsRequested]]&gt;1),DiscreteStatsTable[[#This Row],[HalfWidth]],DiscreteStatsTable[[#This Row],[BatchMeansHalfWidth]])</f>
        <v>6.2518500608284761E-2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10</v>
      </c>
      <c r="Y131" s="5">
        <f>IF(DiscreteStatsTable[[#This Row],[RepsRequested]]=DiscreteStatsTable[[#This Row],[RepsWithStatObserved]],1,0)</f>
        <v>1</v>
      </c>
    </row>
    <row r="132" spans="1:25" x14ac:dyDescent="0.25">
      <c r="A132" t="s">
        <v>67</v>
      </c>
      <c r="B132" t="s">
        <v>69</v>
      </c>
      <c r="C132">
        <v>7</v>
      </c>
      <c r="D132" t="s">
        <v>83</v>
      </c>
      <c r="E132" t="s">
        <v>81</v>
      </c>
      <c r="F132" t="s">
        <v>77</v>
      </c>
      <c r="G132">
        <v>2.8090014933827798</v>
      </c>
      <c r="H132">
        <v>3.6013243634422099E-2</v>
      </c>
      <c r="I132">
        <v>0</v>
      </c>
      <c r="J132">
        <v>8.0000000000291003</v>
      </c>
      <c r="K132">
        <v>38838</v>
      </c>
      <c r="L132" s="5" t="str">
        <f>DiscreteStatsTable[[#This Row],[ProjectName]]&amp;DiscreteStatsTable[[#This Row],[Name]]&amp;DiscreteStatsTable[[#This Row],[Type]]&amp;DiscreteStatsTable[[#This Row],[Source]]</f>
        <v>Unnamed ProjectOldPartVA TimeEntity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10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2.8068584162430272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1.0844368772089623E-2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7.7575940920069286E-3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2.7926069641580802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2.8286311922860898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0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8.0000000000291003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39114.6</v>
      </c>
      <c r="W132" s="5">
        <f>IF((DiscreteStatsTable[[#This Row],[RepsRequested]]&gt;1),DiscreteStatsTable[[#This Row],[HalfWidth]],DiscreteStatsTable[[#This Row],[BatchMeansHalfWidth]])</f>
        <v>7.7575940920069286E-3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10</v>
      </c>
      <c r="Y132" s="5">
        <f>IF(DiscreteStatsTable[[#This Row],[RepsRequested]]=DiscreteStatsTable[[#This Row],[RepsWithStatObserved]],1,0)</f>
        <v>1</v>
      </c>
    </row>
    <row r="133" spans="1:25" x14ac:dyDescent="0.25">
      <c r="A133" t="s">
        <v>67</v>
      </c>
      <c r="B133" t="s">
        <v>69</v>
      </c>
      <c r="C133">
        <v>7</v>
      </c>
      <c r="D133" t="s">
        <v>83</v>
      </c>
      <c r="E133" t="s">
        <v>82</v>
      </c>
      <c r="F133" t="s">
        <v>77</v>
      </c>
      <c r="G133">
        <v>24.6781544834279</v>
      </c>
      <c r="H133">
        <v>2.7381131638755298</v>
      </c>
      <c r="I133">
        <v>0</v>
      </c>
      <c r="J133">
        <v>577.09052988106896</v>
      </c>
      <c r="K133">
        <v>38838</v>
      </c>
      <c r="L133" s="5" t="str">
        <f>DiscreteStatsTable[[#This Row],[ProjectName]]&amp;DiscreteStatsTable[[#This Row],[Name]]&amp;DiscreteStatsTable[[#This Row],[Type]]&amp;DiscreteStatsTable[[#This Row],[Source]]</f>
        <v>Unnamed ProjectOldPartWait TimeEntity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10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25.459161551617594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1.1829151497487862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0.84620652155011711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23.749747212782399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27.4385105303964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697.97683727095102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39114.6</v>
      </c>
      <c r="W133" s="5">
        <f>IF((DiscreteStatsTable[[#This Row],[RepsRequested]]&gt;1),DiscreteStatsTable[[#This Row],[HalfWidth]],DiscreteStatsTable[[#This Row],[BatchMeansHalfWidth]])</f>
        <v>0.84620652155011711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10</v>
      </c>
      <c r="Y133" s="5">
        <f>IF(DiscreteStatsTable[[#This Row],[RepsRequested]]=DiscreteStatsTable[[#This Row],[RepsWithStatObserved]],1,0)</f>
        <v>1</v>
      </c>
    </row>
    <row r="134" spans="1:25" x14ac:dyDescent="0.25">
      <c r="A134" t="s">
        <v>67</v>
      </c>
      <c r="B134" t="s">
        <v>69</v>
      </c>
      <c r="C134">
        <v>8</v>
      </c>
      <c r="D134" t="s">
        <v>83</v>
      </c>
      <c r="E134" t="s">
        <v>76</v>
      </c>
      <c r="F134" t="s">
        <v>77</v>
      </c>
      <c r="G134">
        <v>0</v>
      </c>
      <c r="H134">
        <v>0</v>
      </c>
      <c r="I134">
        <v>0</v>
      </c>
      <c r="J134">
        <v>0</v>
      </c>
      <c r="K134">
        <v>39220</v>
      </c>
      <c r="L134" s="5" t="str">
        <f>DiscreteStatsTable[[#This Row],[ProjectName]]&amp;DiscreteStatsTable[[#This Row],[Name]]&amp;DiscreteStatsTable[[#This Row],[Type]]&amp;DiscreteStatsTable[[#This Row],[Source]]</f>
        <v>Unnamed ProjectOldPartNVA TimeEntity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10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0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0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0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0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0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39114.6</v>
      </c>
      <c r="W134" s="5">
        <f>IF((DiscreteStatsTable[[#This Row],[RepsRequested]]&gt;1),DiscreteStatsTable[[#This Row],[HalfWidth]],DiscreteStatsTable[[#This Row],[BatchMeansHalfWidth]])</f>
        <v>0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10</v>
      </c>
      <c r="Y134" s="5">
        <f>IF(DiscreteStatsTable[[#This Row],[RepsRequested]]=DiscreteStatsTable[[#This Row],[RepsWithStatObserved]],1,0)</f>
        <v>1</v>
      </c>
    </row>
    <row r="135" spans="1:25" x14ac:dyDescent="0.25">
      <c r="A135" t="s">
        <v>67</v>
      </c>
      <c r="B135" t="s">
        <v>69</v>
      </c>
      <c r="C135">
        <v>8</v>
      </c>
      <c r="D135" t="s">
        <v>83</v>
      </c>
      <c r="E135" t="s">
        <v>78</v>
      </c>
      <c r="F135" t="s">
        <v>77</v>
      </c>
      <c r="G135">
        <v>26.640157754681901</v>
      </c>
      <c r="H135">
        <v>0.29349736085026901</v>
      </c>
      <c r="I135">
        <v>0</v>
      </c>
      <c r="J135">
        <v>100.79452085049699</v>
      </c>
      <c r="K135">
        <v>39220</v>
      </c>
      <c r="L135" s="5" t="str">
        <f>DiscreteStatsTable[[#This Row],[ProjectName]]&amp;DiscreteStatsTable[[#This Row],[Name]]&amp;DiscreteStatsTable[[#This Row],[Type]]&amp;DiscreteStatsTable[[#This Row],[Source]]</f>
        <v>Unnamed ProjectOldPartOther TimeEntity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10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26.5549021198449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0.10060394881248749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7.1967729550932169E-2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26.429032514931901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26.770475746157199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102.681411641621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39114.6</v>
      </c>
      <c r="W135" s="5">
        <f>IF((DiscreteStatsTable[[#This Row],[RepsRequested]]&gt;1),DiscreteStatsTable[[#This Row],[HalfWidth]],DiscreteStatsTable[[#This Row],[BatchMeansHalfWidth]])</f>
        <v>7.1967729550932169E-2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10</v>
      </c>
      <c r="Y135" s="5">
        <f>IF(DiscreteStatsTable[[#This Row],[RepsRequested]]=DiscreteStatsTable[[#This Row],[RepsWithStatObserved]],1,0)</f>
        <v>1</v>
      </c>
    </row>
    <row r="136" spans="1:25" x14ac:dyDescent="0.25">
      <c r="A136" t="s">
        <v>67</v>
      </c>
      <c r="B136" t="s">
        <v>69</v>
      </c>
      <c r="C136">
        <v>8</v>
      </c>
      <c r="D136" t="s">
        <v>83</v>
      </c>
      <c r="E136" t="s">
        <v>79</v>
      </c>
      <c r="F136" t="s">
        <v>77</v>
      </c>
      <c r="G136">
        <v>70.0648712854031</v>
      </c>
      <c r="H136">
        <v>2.2543967866569199</v>
      </c>
      <c r="I136">
        <v>2.5999999993946399</v>
      </c>
      <c r="J136">
        <v>595.77108914125699</v>
      </c>
      <c r="K136">
        <v>39220</v>
      </c>
      <c r="L136" s="5" t="str">
        <f>DiscreteStatsTable[[#This Row],[ProjectName]]&amp;DiscreteStatsTable[[#This Row],[Name]]&amp;DiscreteStatsTable[[#This Row],[Type]]&amp;DiscreteStatsTable[[#This Row],[Source]]</f>
        <v>Unnamed ProjectOldPartTotal TimeEntity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10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69.628311992504038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1.2322643661026464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0.88150882427309152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67.806850464608502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71.785243392167402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2.5999999993946399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801.14163618703606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39114.6</v>
      </c>
      <c r="W136" s="5">
        <f>IF((DiscreteStatsTable[[#This Row],[RepsRequested]]&gt;1),DiscreteStatsTable[[#This Row],[HalfWidth]],DiscreteStatsTable[[#This Row],[BatchMeansHalfWidth]])</f>
        <v>0.88150882427309152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10</v>
      </c>
      <c r="Y136" s="5">
        <f>IF(DiscreteStatsTable[[#This Row],[RepsRequested]]=DiscreteStatsTable[[#This Row],[RepsWithStatObserved]],1,0)</f>
        <v>1</v>
      </c>
    </row>
    <row r="137" spans="1:25" x14ac:dyDescent="0.25">
      <c r="A137" t="s">
        <v>67</v>
      </c>
      <c r="B137" t="s">
        <v>69</v>
      </c>
      <c r="C137">
        <v>8</v>
      </c>
      <c r="D137" t="s">
        <v>83</v>
      </c>
      <c r="E137" t="s">
        <v>80</v>
      </c>
      <c r="F137" t="s">
        <v>77</v>
      </c>
      <c r="G137">
        <v>14.7976811642828</v>
      </c>
      <c r="H137">
        <v>0.145390031424355</v>
      </c>
      <c r="I137">
        <v>2.5999999993946399</v>
      </c>
      <c r="J137">
        <v>218.633160866797</v>
      </c>
      <c r="K137">
        <v>39220</v>
      </c>
      <c r="L137" s="5" t="str">
        <f>DiscreteStatsTable[[#This Row],[ProjectName]]&amp;DiscreteStatsTable[[#This Row],[Name]]&amp;DiscreteStatsTable[[#This Row],[Type]]&amp;DiscreteStatsTable[[#This Row],[Source]]</f>
        <v>Unnamed ProjectOldPartTransfer TimeEntity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10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14.80738990479856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8.7394837578947643E-2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6.2518500608284761E-2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14.638753868636099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14.938387130672201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2.5999999993946399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301.61300022101199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39114.6</v>
      </c>
      <c r="W137" s="5">
        <f>IF((DiscreteStatsTable[[#This Row],[RepsRequested]]&gt;1),DiscreteStatsTable[[#This Row],[HalfWidth]],DiscreteStatsTable[[#This Row],[BatchMeansHalfWidth]])</f>
        <v>6.2518500608284761E-2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10</v>
      </c>
      <c r="Y137" s="5">
        <f>IF(DiscreteStatsTable[[#This Row],[RepsRequested]]=DiscreteStatsTable[[#This Row],[RepsWithStatObserved]],1,0)</f>
        <v>1</v>
      </c>
    </row>
    <row r="138" spans="1:25" x14ac:dyDescent="0.25">
      <c r="A138" t="s">
        <v>67</v>
      </c>
      <c r="B138" t="s">
        <v>69</v>
      </c>
      <c r="C138">
        <v>8</v>
      </c>
      <c r="D138" t="s">
        <v>83</v>
      </c>
      <c r="E138" t="s">
        <v>81</v>
      </c>
      <c r="F138" t="s">
        <v>77</v>
      </c>
      <c r="G138">
        <v>2.8175420703722498</v>
      </c>
      <c r="H138">
        <v>3.0088936910576701E-2</v>
      </c>
      <c r="I138">
        <v>0</v>
      </c>
      <c r="J138">
        <v>8</v>
      </c>
      <c r="K138">
        <v>39220</v>
      </c>
      <c r="L138" s="5" t="str">
        <f>DiscreteStatsTable[[#This Row],[ProjectName]]&amp;DiscreteStatsTable[[#This Row],[Name]]&amp;DiscreteStatsTable[[#This Row],[Type]]&amp;DiscreteStatsTable[[#This Row],[Source]]</f>
        <v>Unnamed ProjectOldPartVA TimeEntity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10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2.8068584162430272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1.0844368772089623E-2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7.7575940920069286E-3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2.7926069641580802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2.8286311922860898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0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8.0000000000291003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39114.6</v>
      </c>
      <c r="W138" s="5">
        <f>IF((DiscreteStatsTable[[#This Row],[RepsRequested]]&gt;1),DiscreteStatsTable[[#This Row],[HalfWidth]],DiscreteStatsTable[[#This Row],[BatchMeansHalfWidth]])</f>
        <v>7.7575940920069286E-3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10</v>
      </c>
      <c r="Y138" s="5">
        <f>IF(DiscreteStatsTable[[#This Row],[RepsRequested]]=DiscreteStatsTable[[#This Row],[RepsWithStatObserved]],1,0)</f>
        <v>1</v>
      </c>
    </row>
    <row r="139" spans="1:25" x14ac:dyDescent="0.25">
      <c r="A139" t="s">
        <v>67</v>
      </c>
      <c r="B139" t="s">
        <v>69</v>
      </c>
      <c r="C139">
        <v>8</v>
      </c>
      <c r="D139" t="s">
        <v>83</v>
      </c>
      <c r="E139" t="s">
        <v>82</v>
      </c>
      <c r="F139" t="s">
        <v>77</v>
      </c>
      <c r="G139">
        <v>25.809490296066301</v>
      </c>
      <c r="H139">
        <v>2.0619572434651801</v>
      </c>
      <c r="I139">
        <v>0</v>
      </c>
      <c r="J139">
        <v>481.67481349792803</v>
      </c>
      <c r="K139">
        <v>39220</v>
      </c>
      <c r="L139" s="5" t="str">
        <f>DiscreteStatsTable[[#This Row],[ProjectName]]&amp;DiscreteStatsTable[[#This Row],[Name]]&amp;DiscreteStatsTable[[#This Row],[Type]]&amp;DiscreteStatsTable[[#This Row],[Source]]</f>
        <v>Unnamed ProjectOldPartWait TimeEntity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10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25.459161551617594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1.1829151497487862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0.84620652155011711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23.749747212782399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27.4385105303964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697.97683727095102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39114.6</v>
      </c>
      <c r="W139" s="5">
        <f>IF((DiscreteStatsTable[[#This Row],[RepsRequested]]&gt;1),DiscreteStatsTable[[#This Row],[HalfWidth]],DiscreteStatsTable[[#This Row],[BatchMeansHalfWidth]])</f>
        <v>0.84620652155011711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10</v>
      </c>
      <c r="Y139" s="5">
        <f>IF(DiscreteStatsTable[[#This Row],[RepsRequested]]=DiscreteStatsTable[[#This Row],[RepsWithStatObserved]],1,0)</f>
        <v>1</v>
      </c>
    </row>
    <row r="140" spans="1:25" x14ac:dyDescent="0.25">
      <c r="A140" t="s">
        <v>67</v>
      </c>
      <c r="B140" t="s">
        <v>69</v>
      </c>
      <c r="C140">
        <v>9</v>
      </c>
      <c r="D140" t="s">
        <v>83</v>
      </c>
      <c r="E140" t="s">
        <v>76</v>
      </c>
      <c r="F140" t="s">
        <v>77</v>
      </c>
      <c r="G140">
        <v>0</v>
      </c>
      <c r="H140">
        <v>0</v>
      </c>
      <c r="I140">
        <v>0</v>
      </c>
      <c r="J140">
        <v>0</v>
      </c>
      <c r="K140">
        <v>39259</v>
      </c>
      <c r="L140" s="5" t="str">
        <f>DiscreteStatsTable[[#This Row],[ProjectName]]&amp;DiscreteStatsTable[[#This Row],[Name]]&amp;DiscreteStatsTable[[#This Row],[Type]]&amp;DiscreteStatsTable[[#This Row],[Source]]</f>
        <v>Unnamed ProjectOldPartNVA TimeEntity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10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0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0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0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0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0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39114.6</v>
      </c>
      <c r="W140" s="5">
        <f>IF((DiscreteStatsTable[[#This Row],[RepsRequested]]&gt;1),DiscreteStatsTable[[#This Row],[HalfWidth]],DiscreteStatsTable[[#This Row],[BatchMeansHalfWidth]])</f>
        <v>0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10</v>
      </c>
      <c r="Y140" s="5">
        <f>IF(DiscreteStatsTable[[#This Row],[RepsRequested]]=DiscreteStatsTable[[#This Row],[RepsWithStatObserved]],1,0)</f>
        <v>1</v>
      </c>
    </row>
    <row r="141" spans="1:25" x14ac:dyDescent="0.25">
      <c r="A141" t="s">
        <v>67</v>
      </c>
      <c r="B141" t="s">
        <v>69</v>
      </c>
      <c r="C141">
        <v>9</v>
      </c>
      <c r="D141" t="s">
        <v>83</v>
      </c>
      <c r="E141" t="s">
        <v>78</v>
      </c>
      <c r="F141" t="s">
        <v>77</v>
      </c>
      <c r="G141">
        <v>26.566587855556001</v>
      </c>
      <c r="H141">
        <v>0.38827782328646199</v>
      </c>
      <c r="I141">
        <v>0</v>
      </c>
      <c r="J141">
        <v>99.970266972814002</v>
      </c>
      <c r="K141">
        <v>39259</v>
      </c>
      <c r="L141" s="5" t="str">
        <f>DiscreteStatsTable[[#This Row],[ProjectName]]&amp;DiscreteStatsTable[[#This Row],[Name]]&amp;DiscreteStatsTable[[#This Row],[Type]]&amp;DiscreteStatsTable[[#This Row],[Source]]</f>
        <v>Unnamed ProjectOldPartOther TimeEntity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10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26.5549021198449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0.10060394881248749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7.1967729550932169E-2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26.429032514931901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26.770475746157199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102.681411641621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39114.6</v>
      </c>
      <c r="W141" s="5">
        <f>IF((DiscreteStatsTable[[#This Row],[RepsRequested]]&gt;1),DiscreteStatsTable[[#This Row],[HalfWidth]],DiscreteStatsTable[[#This Row],[BatchMeansHalfWidth]])</f>
        <v>7.1967729550932169E-2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10</v>
      </c>
      <c r="Y141" s="5">
        <f>IF(DiscreteStatsTable[[#This Row],[RepsRequested]]=DiscreteStatsTable[[#This Row],[RepsWithStatObserved]],1,0)</f>
        <v>1</v>
      </c>
    </row>
    <row r="142" spans="1:25" x14ac:dyDescent="0.25">
      <c r="A142" t="s">
        <v>67</v>
      </c>
      <c r="B142" t="s">
        <v>69</v>
      </c>
      <c r="C142">
        <v>9</v>
      </c>
      <c r="D142" t="s">
        <v>83</v>
      </c>
      <c r="E142" t="s">
        <v>79</v>
      </c>
      <c r="F142" t="s">
        <v>77</v>
      </c>
      <c r="G142">
        <v>68.967515354511406</v>
      </c>
      <c r="H142">
        <v>2.96027635720269</v>
      </c>
      <c r="I142">
        <v>2.5999999993946399</v>
      </c>
      <c r="J142">
        <v>613.00383878417801</v>
      </c>
      <c r="K142">
        <v>39259</v>
      </c>
      <c r="L142" s="5" t="str">
        <f>DiscreteStatsTable[[#This Row],[ProjectName]]&amp;DiscreteStatsTable[[#This Row],[Name]]&amp;DiscreteStatsTable[[#This Row],[Type]]&amp;DiscreteStatsTable[[#This Row],[Source]]</f>
        <v>Unnamed ProjectOldPartTotal TimeEntity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10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69.628311992504038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1.2322643661026464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0.88150882427309152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67.806850464608502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71.785243392167402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2.5999999993946399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801.14163618703606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39114.6</v>
      </c>
      <c r="W142" s="5">
        <f>IF((DiscreteStatsTable[[#This Row],[RepsRequested]]&gt;1),DiscreteStatsTable[[#This Row],[HalfWidth]],DiscreteStatsTable[[#This Row],[BatchMeansHalfWidth]])</f>
        <v>0.88150882427309152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10</v>
      </c>
      <c r="Y142" s="5">
        <f>IF(DiscreteStatsTable[[#This Row],[RepsRequested]]=DiscreteStatsTable[[#This Row],[RepsWithStatObserved]],1,0)</f>
        <v>1</v>
      </c>
    </row>
    <row r="143" spans="1:25" x14ac:dyDescent="0.25">
      <c r="A143" t="s">
        <v>67</v>
      </c>
      <c r="B143" t="s">
        <v>69</v>
      </c>
      <c r="C143">
        <v>9</v>
      </c>
      <c r="D143" t="s">
        <v>83</v>
      </c>
      <c r="E143" t="s">
        <v>80</v>
      </c>
      <c r="F143" t="s">
        <v>77</v>
      </c>
      <c r="G143">
        <v>14.816449531597099</v>
      </c>
      <c r="H143">
        <v>0.171947992775385</v>
      </c>
      <c r="I143">
        <v>2.5999999993946399</v>
      </c>
      <c r="J143">
        <v>200.41942572320801</v>
      </c>
      <c r="K143">
        <v>39259</v>
      </c>
      <c r="L143" s="5" t="str">
        <f>DiscreteStatsTable[[#This Row],[ProjectName]]&amp;DiscreteStatsTable[[#This Row],[Name]]&amp;DiscreteStatsTable[[#This Row],[Type]]&amp;DiscreteStatsTable[[#This Row],[Source]]</f>
        <v>Unnamed ProjectOldPartTransfer TimeEntity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10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14.80738990479856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8.7394837578947643E-2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6.2518500608284761E-2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14.638753868636099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14.938387130672201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2.5999999993946399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301.61300022101199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39114.6</v>
      </c>
      <c r="W143" s="5">
        <f>IF((DiscreteStatsTable[[#This Row],[RepsRequested]]&gt;1),DiscreteStatsTable[[#This Row],[HalfWidth]],DiscreteStatsTable[[#This Row],[BatchMeansHalfWidth]])</f>
        <v>6.2518500608284761E-2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10</v>
      </c>
      <c r="Y143" s="5">
        <f>IF(DiscreteStatsTable[[#This Row],[RepsRequested]]=DiscreteStatsTable[[#This Row],[RepsWithStatObserved]],1,0)</f>
        <v>1</v>
      </c>
    </row>
    <row r="144" spans="1:25" x14ac:dyDescent="0.25">
      <c r="A144" t="s">
        <v>67</v>
      </c>
      <c r="B144" t="s">
        <v>69</v>
      </c>
      <c r="C144">
        <v>9</v>
      </c>
      <c r="D144" t="s">
        <v>83</v>
      </c>
      <c r="E144" t="s">
        <v>81</v>
      </c>
      <c r="F144" t="s">
        <v>77</v>
      </c>
      <c r="G144">
        <v>2.8074072187269099</v>
      </c>
      <c r="H144">
        <v>4.1053828088329199E-2</v>
      </c>
      <c r="I144">
        <v>0</v>
      </c>
      <c r="J144">
        <v>8</v>
      </c>
      <c r="K144">
        <v>39259</v>
      </c>
      <c r="L144" s="5" t="str">
        <f>DiscreteStatsTable[[#This Row],[ProjectName]]&amp;DiscreteStatsTable[[#This Row],[Name]]&amp;DiscreteStatsTable[[#This Row],[Type]]&amp;DiscreteStatsTable[[#This Row],[Source]]</f>
        <v>Unnamed ProjectOldPartVA TimeEntity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10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2.8068584162430272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1.0844368772089623E-2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7.7575940920069286E-3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2.7926069641580802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2.8286311922860898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0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8.0000000000291003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39114.6</v>
      </c>
      <c r="W144" s="5">
        <f>IF((DiscreteStatsTable[[#This Row],[RepsRequested]]&gt;1),DiscreteStatsTable[[#This Row],[HalfWidth]],DiscreteStatsTable[[#This Row],[BatchMeansHalfWidth]])</f>
        <v>7.7575940920069286E-3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10</v>
      </c>
      <c r="Y144" s="5">
        <f>IF(DiscreteStatsTable[[#This Row],[RepsRequested]]=DiscreteStatsTable[[#This Row],[RepsWithStatObserved]],1,0)</f>
        <v>1</v>
      </c>
    </row>
    <row r="145" spans="1:25" x14ac:dyDescent="0.25">
      <c r="A145" t="s">
        <v>67</v>
      </c>
      <c r="B145" t="s">
        <v>69</v>
      </c>
      <c r="C145">
        <v>9</v>
      </c>
      <c r="D145" t="s">
        <v>83</v>
      </c>
      <c r="E145" t="s">
        <v>82</v>
      </c>
      <c r="F145" t="s">
        <v>77</v>
      </c>
      <c r="G145">
        <v>24.777070748632202</v>
      </c>
      <c r="H145">
        <v>2.61150090517835</v>
      </c>
      <c r="I145">
        <v>0</v>
      </c>
      <c r="J145">
        <v>503.33472289258498</v>
      </c>
      <c r="K145">
        <v>39259</v>
      </c>
      <c r="L145" s="5" t="str">
        <f>DiscreteStatsTable[[#This Row],[ProjectName]]&amp;DiscreteStatsTable[[#This Row],[Name]]&amp;DiscreteStatsTable[[#This Row],[Type]]&amp;DiscreteStatsTable[[#This Row],[Source]]</f>
        <v>Unnamed ProjectOldPartWait TimeEntity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10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25.459161551617594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1.1829151497487862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0.84620652155011711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23.749747212782399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27.4385105303964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697.97683727095102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39114.6</v>
      </c>
      <c r="W145" s="5">
        <f>IF((DiscreteStatsTable[[#This Row],[RepsRequested]]&gt;1),DiscreteStatsTable[[#This Row],[HalfWidth]],DiscreteStatsTable[[#This Row],[BatchMeansHalfWidth]])</f>
        <v>0.84620652155011711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10</v>
      </c>
      <c r="Y145" s="5">
        <f>IF(DiscreteStatsTable[[#This Row],[RepsRequested]]=DiscreteStatsTable[[#This Row],[RepsWithStatObserved]],1,0)</f>
        <v>1</v>
      </c>
    </row>
    <row r="146" spans="1:25" x14ac:dyDescent="0.25">
      <c r="A146" t="s">
        <v>67</v>
      </c>
      <c r="B146" t="s">
        <v>69</v>
      </c>
      <c r="C146">
        <v>10</v>
      </c>
      <c r="D146" t="s">
        <v>83</v>
      </c>
      <c r="E146" t="s">
        <v>76</v>
      </c>
      <c r="F146" t="s">
        <v>77</v>
      </c>
      <c r="G146">
        <v>0</v>
      </c>
      <c r="H146">
        <v>0</v>
      </c>
      <c r="I146">
        <v>0</v>
      </c>
      <c r="J146">
        <v>0</v>
      </c>
      <c r="K146">
        <v>39231</v>
      </c>
      <c r="L146" s="5" t="str">
        <f>DiscreteStatsTable[[#This Row],[ProjectName]]&amp;DiscreteStatsTable[[#This Row],[Name]]&amp;DiscreteStatsTable[[#This Row],[Type]]&amp;DiscreteStatsTable[[#This Row],[Source]]</f>
        <v>Unnamed ProjectOldPartNVA TimeEntity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10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0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0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0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0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0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39114.6</v>
      </c>
      <c r="W146" s="5">
        <f>IF((DiscreteStatsTable[[#This Row],[RepsRequested]]&gt;1),DiscreteStatsTable[[#This Row],[HalfWidth]],DiscreteStatsTable[[#This Row],[BatchMeansHalfWidth]])</f>
        <v>0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10</v>
      </c>
      <c r="Y146" s="5">
        <f>IF(DiscreteStatsTable[[#This Row],[RepsRequested]]=DiscreteStatsTable[[#This Row],[RepsWithStatObserved]],1,0)</f>
        <v>1</v>
      </c>
    </row>
    <row r="147" spans="1:25" x14ac:dyDescent="0.25">
      <c r="A147" t="s">
        <v>67</v>
      </c>
      <c r="B147" t="s">
        <v>69</v>
      </c>
      <c r="C147">
        <v>10</v>
      </c>
      <c r="D147" t="s">
        <v>83</v>
      </c>
      <c r="E147" t="s">
        <v>78</v>
      </c>
      <c r="F147" t="s">
        <v>77</v>
      </c>
      <c r="G147">
        <v>26.447997295614801</v>
      </c>
      <c r="H147">
        <v>0.31507313249462099</v>
      </c>
      <c r="I147">
        <v>0</v>
      </c>
      <c r="J147">
        <v>95.158334624939002</v>
      </c>
      <c r="K147">
        <v>39231</v>
      </c>
      <c r="L147" s="5" t="str">
        <f>DiscreteStatsTable[[#This Row],[ProjectName]]&amp;DiscreteStatsTable[[#This Row],[Name]]&amp;DiscreteStatsTable[[#This Row],[Type]]&amp;DiscreteStatsTable[[#This Row],[Source]]</f>
        <v>Unnamed ProjectOldPartOther TimeEntity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10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26.5549021198449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0.10060394881248749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7.1967729550932169E-2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26.429032514931901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26.770475746157199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102.681411641621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39114.6</v>
      </c>
      <c r="W147" s="5">
        <f>IF((DiscreteStatsTable[[#This Row],[RepsRequested]]&gt;1),DiscreteStatsTable[[#This Row],[HalfWidth]],DiscreteStatsTable[[#This Row],[BatchMeansHalfWidth]])</f>
        <v>7.1967729550932169E-2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10</v>
      </c>
      <c r="Y147" s="5">
        <f>IF(DiscreteStatsTable[[#This Row],[RepsRequested]]=DiscreteStatsTable[[#This Row],[RepsWithStatObserved]],1,0)</f>
        <v>1</v>
      </c>
    </row>
    <row r="148" spans="1:25" x14ac:dyDescent="0.25">
      <c r="A148" t="s">
        <v>67</v>
      </c>
      <c r="B148" t="s">
        <v>69</v>
      </c>
      <c r="C148">
        <v>10</v>
      </c>
      <c r="D148" t="s">
        <v>83</v>
      </c>
      <c r="E148" t="s">
        <v>79</v>
      </c>
      <c r="F148" t="s">
        <v>77</v>
      </c>
      <c r="G148">
        <v>68.704052222838797</v>
      </c>
      <c r="H148">
        <v>2.62494087672584</v>
      </c>
      <c r="I148">
        <v>2.5999999993946399</v>
      </c>
      <c r="J148">
        <v>613.83094543576601</v>
      </c>
      <c r="K148">
        <v>39231</v>
      </c>
      <c r="L148" s="5" t="str">
        <f>DiscreteStatsTable[[#This Row],[ProjectName]]&amp;DiscreteStatsTable[[#This Row],[Name]]&amp;DiscreteStatsTable[[#This Row],[Type]]&amp;DiscreteStatsTable[[#This Row],[Source]]</f>
        <v>Unnamed ProjectOldPartTotal TimeEntity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10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69.628311992504038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1.2322643661026464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0.88150882427309152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67.806850464608502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71.785243392167402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2.5999999993946399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801.14163618703606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39114.6</v>
      </c>
      <c r="W148" s="5">
        <f>IF((DiscreteStatsTable[[#This Row],[RepsRequested]]&gt;1),DiscreteStatsTable[[#This Row],[HalfWidth]],DiscreteStatsTable[[#This Row],[BatchMeansHalfWidth]])</f>
        <v>0.88150882427309152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10</v>
      </c>
      <c r="Y148" s="5">
        <f>IF(DiscreteStatsTable[[#This Row],[RepsRequested]]=DiscreteStatsTable[[#This Row],[RepsWithStatObserved]],1,0)</f>
        <v>1</v>
      </c>
    </row>
    <row r="149" spans="1:25" x14ac:dyDescent="0.25">
      <c r="A149" t="s">
        <v>67</v>
      </c>
      <c r="B149" t="s">
        <v>69</v>
      </c>
      <c r="C149">
        <v>10</v>
      </c>
      <c r="D149" t="s">
        <v>83</v>
      </c>
      <c r="E149" t="s">
        <v>80</v>
      </c>
      <c r="F149" t="s">
        <v>77</v>
      </c>
      <c r="G149">
        <v>14.8154231486165</v>
      </c>
      <c r="H149">
        <v>0.15842724358844601</v>
      </c>
      <c r="I149">
        <v>2.5999999993946399</v>
      </c>
      <c r="J149">
        <v>188.06232743489099</v>
      </c>
      <c r="K149">
        <v>39231</v>
      </c>
      <c r="L149" s="5" t="str">
        <f>DiscreteStatsTable[[#This Row],[ProjectName]]&amp;DiscreteStatsTable[[#This Row],[Name]]&amp;DiscreteStatsTable[[#This Row],[Type]]&amp;DiscreteStatsTable[[#This Row],[Source]]</f>
        <v>Unnamed ProjectOldPartTransfer TimeEntity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10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14.80738990479856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8.7394837578947643E-2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6.2518500608284761E-2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14.638753868636099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14.938387130672201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2.5999999993946399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301.61300022101199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39114.6</v>
      </c>
      <c r="W149" s="5">
        <f>IF((DiscreteStatsTable[[#This Row],[RepsRequested]]&gt;1),DiscreteStatsTable[[#This Row],[HalfWidth]],DiscreteStatsTable[[#This Row],[BatchMeansHalfWidth]])</f>
        <v>6.2518500608284761E-2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10</v>
      </c>
      <c r="Y149" s="5">
        <f>IF(DiscreteStatsTable[[#This Row],[RepsRequested]]=DiscreteStatsTable[[#This Row],[RepsWithStatObserved]],1,0)</f>
        <v>1</v>
      </c>
    </row>
    <row r="150" spans="1:25" x14ac:dyDescent="0.25">
      <c r="A150" t="s">
        <v>67</v>
      </c>
      <c r="B150" t="s">
        <v>69</v>
      </c>
      <c r="C150">
        <v>10</v>
      </c>
      <c r="D150" t="s">
        <v>83</v>
      </c>
      <c r="E150" t="s">
        <v>81</v>
      </c>
      <c r="F150" t="s">
        <v>77</v>
      </c>
      <c r="G150">
        <v>2.7949325788279502</v>
      </c>
      <c r="H150">
        <v>3.2931153967053803E-2</v>
      </c>
      <c r="I150">
        <v>0</v>
      </c>
      <c r="J150">
        <v>8</v>
      </c>
      <c r="K150">
        <v>39231</v>
      </c>
      <c r="L150" s="5" t="str">
        <f>DiscreteStatsTable[[#This Row],[ProjectName]]&amp;DiscreteStatsTable[[#This Row],[Name]]&amp;DiscreteStatsTable[[#This Row],[Type]]&amp;DiscreteStatsTable[[#This Row],[Source]]</f>
        <v>Unnamed ProjectOldPartVA TimeEntity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10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2.8068584162430272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1.0844368772089623E-2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7.7575940920069286E-3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2.7926069641580802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2.8286311922860898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0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8.0000000000291003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39114.6</v>
      </c>
      <c r="W150" s="5">
        <f>IF((DiscreteStatsTable[[#This Row],[RepsRequested]]&gt;1),DiscreteStatsTable[[#This Row],[HalfWidth]],DiscreteStatsTable[[#This Row],[BatchMeansHalfWidth]])</f>
        <v>7.7575940920069286E-3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10</v>
      </c>
      <c r="Y150" s="5">
        <f>IF(DiscreteStatsTable[[#This Row],[RepsRequested]]=DiscreteStatsTable[[#This Row],[RepsWithStatObserved]],1,0)</f>
        <v>1</v>
      </c>
    </row>
    <row r="151" spans="1:25" x14ac:dyDescent="0.25">
      <c r="A151" t="s">
        <v>67</v>
      </c>
      <c r="B151" t="s">
        <v>69</v>
      </c>
      <c r="C151">
        <v>10</v>
      </c>
      <c r="D151" t="s">
        <v>83</v>
      </c>
      <c r="E151" t="s">
        <v>82</v>
      </c>
      <c r="F151" t="s">
        <v>77</v>
      </c>
      <c r="G151">
        <v>24.6456991997802</v>
      </c>
      <c r="H151">
        <v>2.4339761564291398</v>
      </c>
      <c r="I151">
        <v>0</v>
      </c>
      <c r="J151">
        <v>488.88426496231102</v>
      </c>
      <c r="K151">
        <v>39231</v>
      </c>
      <c r="L151" s="5" t="str">
        <f>DiscreteStatsTable[[#This Row],[ProjectName]]&amp;DiscreteStatsTable[[#This Row],[Name]]&amp;DiscreteStatsTable[[#This Row],[Type]]&amp;DiscreteStatsTable[[#This Row],[Source]]</f>
        <v>Unnamed ProjectOldPartWait TimeEntity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10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25.459161551617594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1.1829151497487862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0.84620652155011711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23.749747212782399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27.4385105303964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697.97683727095102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39114.6</v>
      </c>
      <c r="W151" s="5">
        <f>IF((DiscreteStatsTable[[#This Row],[RepsRequested]]&gt;1),DiscreteStatsTable[[#This Row],[HalfWidth]],DiscreteStatsTable[[#This Row],[BatchMeansHalfWidth]])</f>
        <v>0.84620652155011711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10</v>
      </c>
      <c r="Y151" s="5">
        <f>IF(DiscreteStatsTable[[#This Row],[RepsRequested]]=DiscreteStatsTable[[#This Row],[RepsWithStatObserved]],1,0)</f>
        <v>1</v>
      </c>
    </row>
    <row r="152" spans="1:25" x14ac:dyDescent="0.25">
      <c r="A152" t="s">
        <v>67</v>
      </c>
      <c r="B152" t="s">
        <v>69</v>
      </c>
      <c r="C152">
        <v>1</v>
      </c>
      <c r="D152" t="s">
        <v>84</v>
      </c>
      <c r="E152" t="s">
        <v>71</v>
      </c>
      <c r="F152" t="s">
        <v>72</v>
      </c>
      <c r="G152">
        <v>16.156612673710701</v>
      </c>
      <c r="H152">
        <v>1.2557246227046901</v>
      </c>
      <c r="I152">
        <v>0</v>
      </c>
      <c r="J152">
        <v>117.204349472537</v>
      </c>
      <c r="K152">
        <v>19449</v>
      </c>
      <c r="L152" s="5" t="str">
        <f>DiscreteStatsTable[[#This Row],[ProjectName]]&amp;DiscreteStatsTable[[#This Row],[Name]]&amp;DiscreteStatsTable[[#This Row],[Type]]&amp;DiscreteStatsTable[[#This Row],[Source]]</f>
        <v>Unnamed ProjectPackQWaiting TimeQueue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10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16.342083245800943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0.92317823515899855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0.6604019259627999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14.460984743214899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17.671093893504501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132.19592455730901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19615.8</v>
      </c>
      <c r="W152" s="5">
        <f>IF((DiscreteStatsTable[[#This Row],[RepsRequested]]&gt;1),DiscreteStatsTable[[#This Row],[HalfWidth]],DiscreteStatsTable[[#This Row],[BatchMeansHalfWidth]])</f>
        <v>0.6604019259627999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10</v>
      </c>
      <c r="Y152" s="5">
        <f>IF(DiscreteStatsTable[[#This Row],[RepsRequested]]=DiscreteStatsTable[[#This Row],[RepsWithStatObserved]],1,0)</f>
        <v>1</v>
      </c>
    </row>
    <row r="153" spans="1:25" x14ac:dyDescent="0.25">
      <c r="A153" t="s">
        <v>67</v>
      </c>
      <c r="B153" t="s">
        <v>69</v>
      </c>
      <c r="C153">
        <v>2</v>
      </c>
      <c r="D153" t="s">
        <v>84</v>
      </c>
      <c r="E153" t="s">
        <v>71</v>
      </c>
      <c r="F153" t="s">
        <v>72</v>
      </c>
      <c r="G153">
        <v>16.0443194579811</v>
      </c>
      <c r="H153">
        <v>1.0109190591161199</v>
      </c>
      <c r="I153">
        <v>0</v>
      </c>
      <c r="J153">
        <v>113.478460905491</v>
      </c>
      <c r="K153">
        <v>19619</v>
      </c>
      <c r="L153" s="5" t="str">
        <f>DiscreteStatsTable[[#This Row],[ProjectName]]&amp;DiscreteStatsTable[[#This Row],[Name]]&amp;DiscreteStatsTable[[#This Row],[Type]]&amp;DiscreteStatsTable[[#This Row],[Source]]</f>
        <v>Unnamed ProjectPackQWaiting TimeQueue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10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16.342083245800943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0.92317823515899855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0.6604019259627999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14.460984743214899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17.671093893504501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132.19592455730901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19615.8</v>
      </c>
      <c r="W153" s="5">
        <f>IF((DiscreteStatsTable[[#This Row],[RepsRequested]]&gt;1),DiscreteStatsTable[[#This Row],[HalfWidth]],DiscreteStatsTable[[#This Row],[BatchMeansHalfWidth]])</f>
        <v>0.6604019259627999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10</v>
      </c>
      <c r="Y153" s="5">
        <f>IF(DiscreteStatsTable[[#This Row],[RepsRequested]]=DiscreteStatsTable[[#This Row],[RepsWithStatObserved]],1,0)</f>
        <v>1</v>
      </c>
    </row>
    <row r="154" spans="1:25" x14ac:dyDescent="0.25">
      <c r="A154" t="s">
        <v>67</v>
      </c>
      <c r="B154" t="s">
        <v>69</v>
      </c>
      <c r="C154">
        <v>3</v>
      </c>
      <c r="D154" t="s">
        <v>84</v>
      </c>
      <c r="E154" t="s">
        <v>71</v>
      </c>
      <c r="F154" t="s">
        <v>72</v>
      </c>
      <c r="G154">
        <v>14.460984743214899</v>
      </c>
      <c r="H154">
        <v>0.77905310602274402</v>
      </c>
      <c r="I154">
        <v>0</v>
      </c>
      <c r="J154">
        <v>89.966492616455099</v>
      </c>
      <c r="K154">
        <v>19409</v>
      </c>
      <c r="L154" s="5" t="str">
        <f>DiscreteStatsTable[[#This Row],[ProjectName]]&amp;DiscreteStatsTable[[#This Row],[Name]]&amp;DiscreteStatsTable[[#This Row],[Type]]&amp;DiscreteStatsTable[[#This Row],[Source]]</f>
        <v>Unnamed ProjectPackQWaiting TimeQueue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10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16.342083245800943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0.92317823515899855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0.6604019259627999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14.460984743214899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17.671093893504501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0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132.19592455730901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19615.8</v>
      </c>
      <c r="W154" s="5">
        <f>IF((DiscreteStatsTable[[#This Row],[RepsRequested]]&gt;1),DiscreteStatsTable[[#This Row],[HalfWidth]],DiscreteStatsTable[[#This Row],[BatchMeansHalfWidth]])</f>
        <v>0.6604019259627999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10</v>
      </c>
      <c r="Y154" s="5">
        <f>IF(DiscreteStatsTable[[#This Row],[RepsRequested]]=DiscreteStatsTable[[#This Row],[RepsWithStatObserved]],1,0)</f>
        <v>1</v>
      </c>
    </row>
    <row r="155" spans="1:25" x14ac:dyDescent="0.25">
      <c r="A155" t="s">
        <v>67</v>
      </c>
      <c r="B155" t="s">
        <v>69</v>
      </c>
      <c r="C155">
        <v>4</v>
      </c>
      <c r="D155" t="s">
        <v>84</v>
      </c>
      <c r="E155" t="s">
        <v>71</v>
      </c>
      <c r="F155" t="s">
        <v>72</v>
      </c>
      <c r="G155">
        <v>17.512506471427098</v>
      </c>
      <c r="H155">
        <v>1.33265767734086</v>
      </c>
      <c r="I155">
        <v>0</v>
      </c>
      <c r="J155">
        <v>119.19848801070501</v>
      </c>
      <c r="K155">
        <v>19914</v>
      </c>
      <c r="L155" s="5" t="str">
        <f>DiscreteStatsTable[[#This Row],[ProjectName]]&amp;DiscreteStatsTable[[#This Row],[Name]]&amp;DiscreteStatsTable[[#This Row],[Type]]&amp;DiscreteStatsTable[[#This Row],[Source]]</f>
        <v>Unnamed ProjectPackQWaiting TimeQueue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10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16.342083245800943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0.92317823515899855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0.6604019259627999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14.460984743214899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17.671093893504501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132.19592455730901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19615.8</v>
      </c>
      <c r="W155" s="5">
        <f>IF((DiscreteStatsTable[[#This Row],[RepsRequested]]&gt;1),DiscreteStatsTable[[#This Row],[HalfWidth]],DiscreteStatsTable[[#This Row],[BatchMeansHalfWidth]])</f>
        <v>0.6604019259627999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10</v>
      </c>
      <c r="Y155" s="5">
        <f>IF(DiscreteStatsTable[[#This Row],[RepsRequested]]=DiscreteStatsTable[[#This Row],[RepsWithStatObserved]],1,0)</f>
        <v>1</v>
      </c>
    </row>
    <row r="156" spans="1:25" x14ac:dyDescent="0.25">
      <c r="A156" t="s">
        <v>67</v>
      </c>
      <c r="B156" t="s">
        <v>69</v>
      </c>
      <c r="C156">
        <v>5</v>
      </c>
      <c r="D156" t="s">
        <v>84</v>
      </c>
      <c r="E156" t="s">
        <v>71</v>
      </c>
      <c r="F156" t="s">
        <v>72</v>
      </c>
      <c r="G156">
        <v>16.102904317256701</v>
      </c>
      <c r="H156">
        <v>1.1737123772328699</v>
      </c>
      <c r="I156">
        <v>0</v>
      </c>
      <c r="J156">
        <v>89.296369925927095</v>
      </c>
      <c r="K156">
        <v>19498</v>
      </c>
      <c r="L156" s="5" t="str">
        <f>DiscreteStatsTable[[#This Row],[ProjectName]]&amp;DiscreteStatsTable[[#This Row],[Name]]&amp;DiscreteStatsTable[[#This Row],[Type]]&amp;DiscreteStatsTable[[#This Row],[Source]]</f>
        <v>Unnamed ProjectPackQWaiting TimeQueue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10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16.342083245800943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0.92317823515899855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0.6604019259627999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14.460984743214899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17.671093893504501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0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132.19592455730901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19615.8</v>
      </c>
      <c r="W156" s="5">
        <f>IF((DiscreteStatsTable[[#This Row],[RepsRequested]]&gt;1),DiscreteStatsTable[[#This Row],[HalfWidth]],DiscreteStatsTable[[#This Row],[BatchMeansHalfWidth]])</f>
        <v>0.6604019259627999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10</v>
      </c>
      <c r="Y156" s="5">
        <f>IF(DiscreteStatsTable[[#This Row],[RepsRequested]]=DiscreteStatsTable[[#This Row],[RepsWithStatObserved]],1,0)</f>
        <v>1</v>
      </c>
    </row>
    <row r="157" spans="1:25" x14ac:dyDescent="0.25">
      <c r="A157" t="s">
        <v>67</v>
      </c>
      <c r="B157" t="s">
        <v>69</v>
      </c>
      <c r="C157">
        <v>6</v>
      </c>
      <c r="D157" t="s">
        <v>84</v>
      </c>
      <c r="E157" t="s">
        <v>71</v>
      </c>
      <c r="F157" t="s">
        <v>72</v>
      </c>
      <c r="G157">
        <v>17.671093893504501</v>
      </c>
      <c r="H157">
        <v>1.32136494034448</v>
      </c>
      <c r="I157">
        <v>0</v>
      </c>
      <c r="J157">
        <v>124.034444417572</v>
      </c>
      <c r="K157">
        <v>19857</v>
      </c>
      <c r="L157" s="5" t="str">
        <f>DiscreteStatsTable[[#This Row],[ProjectName]]&amp;DiscreteStatsTable[[#This Row],[Name]]&amp;DiscreteStatsTable[[#This Row],[Type]]&amp;DiscreteStatsTable[[#This Row],[Source]]</f>
        <v>Unnamed ProjectPackQWaiting TimeQueue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10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16.342083245800943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0.92317823515899855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0.6604019259627999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14.460984743214899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17.671093893504501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132.19592455730901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19615.8</v>
      </c>
      <c r="W157" s="5">
        <f>IF((DiscreteStatsTable[[#This Row],[RepsRequested]]&gt;1),DiscreteStatsTable[[#This Row],[HalfWidth]],DiscreteStatsTable[[#This Row],[BatchMeansHalfWidth]])</f>
        <v>0.6604019259627999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10</v>
      </c>
      <c r="Y157" s="5">
        <f>IF(DiscreteStatsTable[[#This Row],[RepsRequested]]=DiscreteStatsTable[[#This Row],[RepsWithStatObserved]],1,0)</f>
        <v>1</v>
      </c>
    </row>
    <row r="158" spans="1:25" x14ac:dyDescent="0.25">
      <c r="A158" t="s">
        <v>67</v>
      </c>
      <c r="B158" t="s">
        <v>69</v>
      </c>
      <c r="C158">
        <v>7</v>
      </c>
      <c r="D158" t="s">
        <v>84</v>
      </c>
      <c r="E158" t="s">
        <v>71</v>
      </c>
      <c r="F158" t="s">
        <v>72</v>
      </c>
      <c r="G158">
        <v>15.9867669669554</v>
      </c>
      <c r="H158">
        <v>1.0741756145406101</v>
      </c>
      <c r="I158">
        <v>0</v>
      </c>
      <c r="J158">
        <v>95.986766263202298</v>
      </c>
      <c r="K158">
        <v>19570</v>
      </c>
      <c r="L158" s="5" t="str">
        <f>DiscreteStatsTable[[#This Row],[ProjectName]]&amp;DiscreteStatsTable[[#This Row],[Name]]&amp;DiscreteStatsTable[[#This Row],[Type]]&amp;DiscreteStatsTable[[#This Row],[Source]]</f>
        <v>Unnamed ProjectPackQWaiting TimeQueue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10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16.342083245800943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0.92317823515899855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0.6604019259627999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14.460984743214899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17.671093893504501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132.19592455730901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19615.8</v>
      </c>
      <c r="W158" s="5">
        <f>IF((DiscreteStatsTable[[#This Row],[RepsRequested]]&gt;1),DiscreteStatsTable[[#This Row],[HalfWidth]],DiscreteStatsTable[[#This Row],[BatchMeansHalfWidth]])</f>
        <v>0.6604019259627999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10</v>
      </c>
      <c r="Y158" s="5">
        <f>IF(DiscreteStatsTable[[#This Row],[RepsRequested]]=DiscreteStatsTable[[#This Row],[RepsWithStatObserved]],1,0)</f>
        <v>1</v>
      </c>
    </row>
    <row r="159" spans="1:25" x14ac:dyDescent="0.25">
      <c r="A159" t="s">
        <v>67</v>
      </c>
      <c r="B159" t="s">
        <v>69</v>
      </c>
      <c r="C159">
        <v>8</v>
      </c>
      <c r="D159" t="s">
        <v>84</v>
      </c>
      <c r="E159" t="s">
        <v>71</v>
      </c>
      <c r="F159" t="s">
        <v>72</v>
      </c>
      <c r="G159">
        <v>17.131343779764698</v>
      </c>
      <c r="H159">
        <v>1.2760073065581401</v>
      </c>
      <c r="I159">
        <v>0</v>
      </c>
      <c r="J159">
        <v>107.492629610468</v>
      </c>
      <c r="K159">
        <v>19695</v>
      </c>
      <c r="L159" s="5" t="str">
        <f>DiscreteStatsTable[[#This Row],[ProjectName]]&amp;DiscreteStatsTable[[#This Row],[Name]]&amp;DiscreteStatsTable[[#This Row],[Type]]&amp;DiscreteStatsTable[[#This Row],[Source]]</f>
        <v>Unnamed ProjectPackQWaiting TimeQueue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10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16.342083245800943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0.92317823515899855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0.6604019259627999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14.460984743214899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17.671093893504501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132.19592455730901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19615.8</v>
      </c>
      <c r="W159" s="5">
        <f>IF((DiscreteStatsTable[[#This Row],[RepsRequested]]&gt;1),DiscreteStatsTable[[#This Row],[HalfWidth]],DiscreteStatsTable[[#This Row],[BatchMeansHalfWidth]])</f>
        <v>0.6604019259627999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10</v>
      </c>
      <c r="Y159" s="5">
        <f>IF(DiscreteStatsTable[[#This Row],[RepsRequested]]=DiscreteStatsTable[[#This Row],[RepsWithStatObserved]],1,0)</f>
        <v>1</v>
      </c>
    </row>
    <row r="160" spans="1:25" x14ac:dyDescent="0.25">
      <c r="A160" t="s">
        <v>67</v>
      </c>
      <c r="B160" t="s">
        <v>69</v>
      </c>
      <c r="C160">
        <v>9</v>
      </c>
      <c r="D160" t="s">
        <v>84</v>
      </c>
      <c r="E160" t="s">
        <v>71</v>
      </c>
      <c r="F160" t="s">
        <v>72</v>
      </c>
      <c r="G160">
        <v>16.1004227529391</v>
      </c>
      <c r="H160">
        <v>1.1959108205256801</v>
      </c>
      <c r="I160">
        <v>0</v>
      </c>
      <c r="J160">
        <v>122.729548500967</v>
      </c>
      <c r="K160">
        <v>19619</v>
      </c>
      <c r="L160" s="5" t="str">
        <f>DiscreteStatsTable[[#This Row],[ProjectName]]&amp;DiscreteStatsTable[[#This Row],[Name]]&amp;DiscreteStatsTable[[#This Row],[Type]]&amp;DiscreteStatsTable[[#This Row],[Source]]</f>
        <v>Unnamed ProjectPackQWaiting TimeQueue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10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16.342083245800943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0.92317823515899855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0.6604019259627999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14.460984743214899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17.671093893504501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0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132.19592455730901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19615.8</v>
      </c>
      <c r="W160" s="5">
        <f>IF((DiscreteStatsTable[[#This Row],[RepsRequested]]&gt;1),DiscreteStatsTable[[#This Row],[HalfWidth]],DiscreteStatsTable[[#This Row],[BatchMeansHalfWidth]])</f>
        <v>0.6604019259627999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10</v>
      </c>
      <c r="Y160" s="5">
        <f>IF(DiscreteStatsTable[[#This Row],[RepsRequested]]=DiscreteStatsTable[[#This Row],[RepsWithStatObserved]],1,0)</f>
        <v>1</v>
      </c>
    </row>
    <row r="161" spans="1:25" x14ac:dyDescent="0.25">
      <c r="A161" t="s">
        <v>67</v>
      </c>
      <c r="B161" t="s">
        <v>69</v>
      </c>
      <c r="C161">
        <v>10</v>
      </c>
      <c r="D161" t="s">
        <v>84</v>
      </c>
      <c r="E161" t="s">
        <v>71</v>
      </c>
      <c r="F161" t="s">
        <v>72</v>
      </c>
      <c r="G161">
        <v>16.253877401255199</v>
      </c>
      <c r="H161">
        <v>1.3496954887582799</v>
      </c>
      <c r="I161">
        <v>0</v>
      </c>
      <c r="J161">
        <v>132.19592455730901</v>
      </c>
      <c r="K161">
        <v>19528</v>
      </c>
      <c r="L161" s="5" t="str">
        <f>DiscreteStatsTable[[#This Row],[ProjectName]]&amp;DiscreteStatsTable[[#This Row],[Name]]&amp;DiscreteStatsTable[[#This Row],[Type]]&amp;DiscreteStatsTable[[#This Row],[Source]]</f>
        <v>Unnamed ProjectPackQWaiting TimeQueue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10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16.342083245800943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0.92317823515899855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0.6604019259627999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14.460984743214899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17.671093893504501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132.19592455730901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19615.8</v>
      </c>
      <c r="W161" s="5">
        <f>IF((DiscreteStatsTable[[#This Row],[RepsRequested]]&gt;1),DiscreteStatsTable[[#This Row],[HalfWidth]],DiscreteStatsTable[[#This Row],[BatchMeansHalfWidth]])</f>
        <v>0.6604019259627999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10</v>
      </c>
      <c r="Y161" s="5">
        <f>IF(DiscreteStatsTable[[#This Row],[RepsRequested]]=DiscreteStatsTable[[#This Row],[RepsWithStatObserved]],1,0)</f>
        <v>1</v>
      </c>
    </row>
    <row r="162" spans="1:25" x14ac:dyDescent="0.25">
      <c r="A162" t="s">
        <v>67</v>
      </c>
      <c r="B162" t="s">
        <v>69</v>
      </c>
      <c r="C162">
        <v>1</v>
      </c>
      <c r="D162" t="s">
        <v>85</v>
      </c>
      <c r="E162" t="s">
        <v>71</v>
      </c>
      <c r="F162" t="s">
        <v>72</v>
      </c>
      <c r="G162">
        <v>0.41062571697354</v>
      </c>
      <c r="H162">
        <v>2.6461689869571599E-2</v>
      </c>
      <c r="I162">
        <v>0</v>
      </c>
      <c r="J162">
        <v>18.505978265471601</v>
      </c>
      <c r="K162">
        <v>19450</v>
      </c>
      <c r="L162" s="5" t="str">
        <f>DiscreteStatsTable[[#This Row],[ProjectName]]&amp;DiscreteStatsTable[[#This Row],[Name]]&amp;DiscreteStatsTable[[#This Row],[Type]]&amp;DiscreteStatsTable[[#This Row],[Source]]</f>
        <v>Unnamed ProjectPackReqQWaiting TimeQueue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10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0.42283517513581825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1.3511010771416105E-2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9.6651948619765476E-3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0.39727462981438899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0.44463425929362299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0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20.274494886893098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19615.900000000001</v>
      </c>
      <c r="W162" s="5">
        <f>IF((DiscreteStatsTable[[#This Row],[RepsRequested]]&gt;1),DiscreteStatsTable[[#This Row],[HalfWidth]],DiscreteStatsTable[[#This Row],[BatchMeansHalfWidth]])</f>
        <v>9.6651948619765476E-3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10</v>
      </c>
      <c r="Y162" s="5">
        <f>IF(DiscreteStatsTable[[#This Row],[RepsRequested]]=DiscreteStatsTable[[#This Row],[RepsWithStatObserved]],1,0)</f>
        <v>1</v>
      </c>
    </row>
    <row r="163" spans="1:25" x14ac:dyDescent="0.25">
      <c r="A163" t="s">
        <v>67</v>
      </c>
      <c r="B163" t="s">
        <v>69</v>
      </c>
      <c r="C163">
        <v>2</v>
      </c>
      <c r="D163" t="s">
        <v>85</v>
      </c>
      <c r="E163" t="s">
        <v>71</v>
      </c>
      <c r="F163" t="s">
        <v>72</v>
      </c>
      <c r="G163">
        <v>0.4253918931158</v>
      </c>
      <c r="H163">
        <v>2.3339241038967399E-2</v>
      </c>
      <c r="I163">
        <v>0</v>
      </c>
      <c r="J163">
        <v>16.0595663594431</v>
      </c>
      <c r="K163">
        <v>19618</v>
      </c>
      <c r="L163" s="5" t="str">
        <f>DiscreteStatsTable[[#This Row],[ProjectName]]&amp;DiscreteStatsTable[[#This Row],[Name]]&amp;DiscreteStatsTable[[#This Row],[Type]]&amp;DiscreteStatsTable[[#This Row],[Source]]</f>
        <v>Unnamed ProjectPackReqQWaiting TimeQueue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10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0.42283517513581825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1.3511010771416105E-2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9.6651948619765476E-3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0.39727462981438899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0.44463425929362299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20.274494886893098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19615.900000000001</v>
      </c>
      <c r="W163" s="5">
        <f>IF((DiscreteStatsTable[[#This Row],[RepsRequested]]&gt;1),DiscreteStatsTable[[#This Row],[HalfWidth]],DiscreteStatsTable[[#This Row],[BatchMeansHalfWidth]])</f>
        <v>9.6651948619765476E-3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10</v>
      </c>
      <c r="Y163" s="5">
        <f>IF(DiscreteStatsTable[[#This Row],[RepsRequested]]=DiscreteStatsTable[[#This Row],[RepsWithStatObserved]],1,0)</f>
        <v>1</v>
      </c>
    </row>
    <row r="164" spans="1:25" x14ac:dyDescent="0.25">
      <c r="A164" t="s">
        <v>67</v>
      </c>
      <c r="B164" t="s">
        <v>69</v>
      </c>
      <c r="C164">
        <v>3</v>
      </c>
      <c r="D164" t="s">
        <v>85</v>
      </c>
      <c r="E164" t="s">
        <v>71</v>
      </c>
      <c r="F164" t="s">
        <v>72</v>
      </c>
      <c r="G164">
        <v>0.41547168986866101</v>
      </c>
      <c r="H164">
        <v>3E+20</v>
      </c>
      <c r="I164">
        <v>0</v>
      </c>
      <c r="J164">
        <v>15.903152276558099</v>
      </c>
      <c r="K164">
        <v>19409</v>
      </c>
      <c r="L164" s="5" t="str">
        <f>DiscreteStatsTable[[#This Row],[ProjectName]]&amp;DiscreteStatsTable[[#This Row],[Name]]&amp;DiscreteStatsTable[[#This Row],[Type]]&amp;DiscreteStatsTable[[#This Row],[Source]]</f>
        <v>Unnamed ProjectPackReqQWaiting TimeQueue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10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0.42283517513581825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1.3511010771416105E-2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9.6651948619765476E-3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0.39727462981438899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0.44463425929362299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20.274494886893098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19615.900000000001</v>
      </c>
      <c r="W164" s="5">
        <f>IF((DiscreteStatsTable[[#This Row],[RepsRequested]]&gt;1),DiscreteStatsTable[[#This Row],[HalfWidth]],DiscreteStatsTable[[#This Row],[BatchMeansHalfWidth]])</f>
        <v>9.6651948619765476E-3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10</v>
      </c>
      <c r="Y164" s="5">
        <f>IF(DiscreteStatsTable[[#This Row],[RepsRequested]]=DiscreteStatsTable[[#This Row],[RepsWithStatObserved]],1,0)</f>
        <v>1</v>
      </c>
    </row>
    <row r="165" spans="1:25" x14ac:dyDescent="0.25">
      <c r="A165" t="s">
        <v>67</v>
      </c>
      <c r="B165" t="s">
        <v>69</v>
      </c>
      <c r="C165">
        <v>4</v>
      </c>
      <c r="D165" t="s">
        <v>85</v>
      </c>
      <c r="E165" t="s">
        <v>71</v>
      </c>
      <c r="F165" t="s">
        <v>72</v>
      </c>
      <c r="G165">
        <v>0.43456145009638197</v>
      </c>
      <c r="H165">
        <v>3.1998954457194202E-2</v>
      </c>
      <c r="I165">
        <v>0</v>
      </c>
      <c r="J165">
        <v>17.381222227151699</v>
      </c>
      <c r="K165">
        <v>19913</v>
      </c>
      <c r="L165" s="5" t="str">
        <f>DiscreteStatsTable[[#This Row],[ProjectName]]&amp;DiscreteStatsTable[[#This Row],[Name]]&amp;DiscreteStatsTable[[#This Row],[Type]]&amp;DiscreteStatsTable[[#This Row],[Source]]</f>
        <v>Unnamed ProjectPackReqQWaiting TimeQueue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10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0.42283517513581825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1.3511010771416105E-2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9.6651948619765476E-3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0.39727462981438899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0.44463425929362299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20.274494886893098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19615.900000000001</v>
      </c>
      <c r="W165" s="5">
        <f>IF((DiscreteStatsTable[[#This Row],[RepsRequested]]&gt;1),DiscreteStatsTable[[#This Row],[HalfWidth]],DiscreteStatsTable[[#This Row],[BatchMeansHalfWidth]])</f>
        <v>9.6651948619765476E-3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10</v>
      </c>
      <c r="Y165" s="5">
        <f>IF(DiscreteStatsTable[[#This Row],[RepsRequested]]=DiscreteStatsTable[[#This Row],[RepsWithStatObserved]],1,0)</f>
        <v>1</v>
      </c>
    </row>
    <row r="166" spans="1:25" x14ac:dyDescent="0.25">
      <c r="A166" t="s">
        <v>67</v>
      </c>
      <c r="B166" t="s">
        <v>69</v>
      </c>
      <c r="C166">
        <v>5</v>
      </c>
      <c r="D166" t="s">
        <v>85</v>
      </c>
      <c r="E166" t="s">
        <v>71</v>
      </c>
      <c r="F166" t="s">
        <v>72</v>
      </c>
      <c r="G166">
        <v>0.422357093106842</v>
      </c>
      <c r="H166">
        <v>2.4829430625828701E-2</v>
      </c>
      <c r="I166">
        <v>0</v>
      </c>
      <c r="J166">
        <v>20.274494886893098</v>
      </c>
      <c r="K166">
        <v>19499</v>
      </c>
      <c r="L166" s="5" t="str">
        <f>DiscreteStatsTable[[#This Row],[ProjectName]]&amp;DiscreteStatsTable[[#This Row],[Name]]&amp;DiscreteStatsTable[[#This Row],[Type]]&amp;DiscreteStatsTable[[#This Row],[Source]]</f>
        <v>Unnamed ProjectPackReqQWaiting TimeQueue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10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0.42283517513581825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1.3511010771416105E-2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9.6651948619765476E-3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0.39727462981438899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0.44463425929362299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0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20.274494886893098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19615.900000000001</v>
      </c>
      <c r="W166" s="5">
        <f>IF((DiscreteStatsTable[[#This Row],[RepsRequested]]&gt;1),DiscreteStatsTable[[#This Row],[HalfWidth]],DiscreteStatsTable[[#This Row],[BatchMeansHalfWidth]])</f>
        <v>9.6651948619765476E-3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10</v>
      </c>
      <c r="Y166" s="5">
        <f>IF(DiscreteStatsTable[[#This Row],[RepsRequested]]=DiscreteStatsTable[[#This Row],[RepsWithStatObserved]],1,0)</f>
        <v>1</v>
      </c>
    </row>
    <row r="167" spans="1:25" x14ac:dyDescent="0.25">
      <c r="A167" t="s">
        <v>67</v>
      </c>
      <c r="B167" t="s">
        <v>69</v>
      </c>
      <c r="C167">
        <v>6</v>
      </c>
      <c r="D167" t="s">
        <v>85</v>
      </c>
      <c r="E167" t="s">
        <v>71</v>
      </c>
      <c r="F167" t="s">
        <v>72</v>
      </c>
      <c r="G167">
        <v>0.44463425929362299</v>
      </c>
      <c r="H167">
        <v>2.6430266739715599E-2</v>
      </c>
      <c r="I167">
        <v>0</v>
      </c>
      <c r="J167">
        <v>17.549995781504499</v>
      </c>
      <c r="K167">
        <v>19857</v>
      </c>
      <c r="L167" s="5" t="str">
        <f>DiscreteStatsTable[[#This Row],[ProjectName]]&amp;DiscreteStatsTable[[#This Row],[Name]]&amp;DiscreteStatsTable[[#This Row],[Type]]&amp;DiscreteStatsTable[[#This Row],[Source]]</f>
        <v>Unnamed ProjectPackReqQWaiting TimeQueue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10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0.42283517513581825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1.3511010771416105E-2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9.6651948619765476E-3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0.39727462981438899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0.44463425929362299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20.274494886893098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19615.900000000001</v>
      </c>
      <c r="W167" s="5">
        <f>IF((DiscreteStatsTable[[#This Row],[RepsRequested]]&gt;1),DiscreteStatsTable[[#This Row],[HalfWidth]],DiscreteStatsTable[[#This Row],[BatchMeansHalfWidth]])</f>
        <v>9.6651948619765476E-3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10</v>
      </c>
      <c r="Y167" s="5">
        <f>IF(DiscreteStatsTable[[#This Row],[RepsRequested]]=DiscreteStatsTable[[#This Row],[RepsWithStatObserved]],1,0)</f>
        <v>1</v>
      </c>
    </row>
    <row r="168" spans="1:25" x14ac:dyDescent="0.25">
      <c r="A168" t="s">
        <v>67</v>
      </c>
      <c r="B168" t="s">
        <v>69</v>
      </c>
      <c r="C168">
        <v>7</v>
      </c>
      <c r="D168" t="s">
        <v>85</v>
      </c>
      <c r="E168" t="s">
        <v>71</v>
      </c>
      <c r="F168" t="s">
        <v>72</v>
      </c>
      <c r="G168">
        <v>0.418909128265883</v>
      </c>
      <c r="H168">
        <v>2.4166403723147399E-2</v>
      </c>
      <c r="I168">
        <v>0</v>
      </c>
      <c r="J168">
        <v>15.940747643064199</v>
      </c>
      <c r="K168">
        <v>19570</v>
      </c>
      <c r="L168" s="5" t="str">
        <f>DiscreteStatsTable[[#This Row],[ProjectName]]&amp;DiscreteStatsTable[[#This Row],[Name]]&amp;DiscreteStatsTable[[#This Row],[Type]]&amp;DiscreteStatsTable[[#This Row],[Source]]</f>
        <v>Unnamed ProjectPackReqQWaiting TimeQueue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10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0.42283517513581825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1.3511010771416105E-2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9.6651948619765476E-3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0.39727462981438899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0.44463425929362299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0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20.274494886893098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19615.900000000001</v>
      </c>
      <c r="W168" s="5">
        <f>IF((DiscreteStatsTable[[#This Row],[RepsRequested]]&gt;1),DiscreteStatsTable[[#This Row],[HalfWidth]],DiscreteStatsTable[[#This Row],[BatchMeansHalfWidth]])</f>
        <v>9.6651948619765476E-3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10</v>
      </c>
      <c r="Y168" s="5">
        <f>IF(DiscreteStatsTable[[#This Row],[RepsRequested]]=DiscreteStatsTable[[#This Row],[RepsWithStatObserved]],1,0)</f>
        <v>1</v>
      </c>
    </row>
    <row r="169" spans="1:25" x14ac:dyDescent="0.25">
      <c r="A169" t="s">
        <v>67</v>
      </c>
      <c r="B169" t="s">
        <v>69</v>
      </c>
      <c r="C169">
        <v>8</v>
      </c>
      <c r="D169" t="s">
        <v>85</v>
      </c>
      <c r="E169" t="s">
        <v>71</v>
      </c>
      <c r="F169" t="s">
        <v>72</v>
      </c>
      <c r="G169">
        <v>0.42404557040401503</v>
      </c>
      <c r="H169">
        <v>2.7349371226101201E-2</v>
      </c>
      <c r="I169">
        <v>0</v>
      </c>
      <c r="J169">
        <v>16.3862519451068</v>
      </c>
      <c r="K169">
        <v>19695</v>
      </c>
      <c r="L169" s="5" t="str">
        <f>DiscreteStatsTable[[#This Row],[ProjectName]]&amp;DiscreteStatsTable[[#This Row],[Name]]&amp;DiscreteStatsTable[[#This Row],[Type]]&amp;DiscreteStatsTable[[#This Row],[Source]]</f>
        <v>Unnamed ProjectPackReqQWaiting TimeQueue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10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0.42283517513581825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1.3511010771416105E-2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9.6651948619765476E-3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0.39727462981438899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0.44463425929362299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20.274494886893098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19615.900000000001</v>
      </c>
      <c r="W169" s="5">
        <f>IF((DiscreteStatsTable[[#This Row],[RepsRequested]]&gt;1),DiscreteStatsTable[[#This Row],[HalfWidth]],DiscreteStatsTable[[#This Row],[BatchMeansHalfWidth]])</f>
        <v>9.6651948619765476E-3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10</v>
      </c>
      <c r="Y169" s="5">
        <f>IF(DiscreteStatsTable[[#This Row],[RepsRequested]]=DiscreteStatsTable[[#This Row],[RepsWithStatObserved]],1,0)</f>
        <v>1</v>
      </c>
    </row>
    <row r="170" spans="1:25" x14ac:dyDescent="0.25">
      <c r="A170" t="s">
        <v>67</v>
      </c>
      <c r="B170" t="s">
        <v>69</v>
      </c>
      <c r="C170">
        <v>9</v>
      </c>
      <c r="D170" t="s">
        <v>85</v>
      </c>
      <c r="E170" t="s">
        <v>71</v>
      </c>
      <c r="F170" t="s">
        <v>72</v>
      </c>
      <c r="G170">
        <v>0.43508032041904798</v>
      </c>
      <c r="H170">
        <v>2.80246114629033E-2</v>
      </c>
      <c r="I170">
        <v>0</v>
      </c>
      <c r="J170">
        <v>14.749112847086501</v>
      </c>
      <c r="K170">
        <v>19620</v>
      </c>
      <c r="L170" s="5" t="str">
        <f>DiscreteStatsTable[[#This Row],[ProjectName]]&amp;DiscreteStatsTable[[#This Row],[Name]]&amp;DiscreteStatsTable[[#This Row],[Type]]&amp;DiscreteStatsTable[[#This Row],[Source]]</f>
        <v>Unnamed ProjectPackReqQWaiting TimeQueue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10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0.42283517513581825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1.3511010771416105E-2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9.6651948619765476E-3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0.39727462981438899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0.44463425929362299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20.274494886893098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19615.900000000001</v>
      </c>
      <c r="W170" s="5">
        <f>IF((DiscreteStatsTable[[#This Row],[RepsRequested]]&gt;1),DiscreteStatsTable[[#This Row],[HalfWidth]],DiscreteStatsTable[[#This Row],[BatchMeansHalfWidth]])</f>
        <v>9.6651948619765476E-3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10</v>
      </c>
      <c r="Y170" s="5">
        <f>IF(DiscreteStatsTable[[#This Row],[RepsRequested]]=DiscreteStatsTable[[#This Row],[RepsWithStatObserved]],1,0)</f>
        <v>1</v>
      </c>
    </row>
    <row r="171" spans="1:25" x14ac:dyDescent="0.25">
      <c r="A171" t="s">
        <v>67</v>
      </c>
      <c r="B171" t="s">
        <v>69</v>
      </c>
      <c r="C171">
        <v>10</v>
      </c>
      <c r="D171" t="s">
        <v>85</v>
      </c>
      <c r="E171" t="s">
        <v>71</v>
      </c>
      <c r="F171" t="s">
        <v>72</v>
      </c>
      <c r="G171">
        <v>0.39727462981438899</v>
      </c>
      <c r="H171">
        <v>2.4778271184220199E-2</v>
      </c>
      <c r="I171">
        <v>0</v>
      </c>
      <c r="J171">
        <v>16.2737367894442</v>
      </c>
      <c r="K171">
        <v>19528</v>
      </c>
      <c r="L171" s="5" t="str">
        <f>DiscreteStatsTable[[#This Row],[ProjectName]]&amp;DiscreteStatsTable[[#This Row],[Name]]&amp;DiscreteStatsTable[[#This Row],[Type]]&amp;DiscreteStatsTable[[#This Row],[Source]]</f>
        <v>Unnamed ProjectPackReqQWaiting TimeQueue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10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0.42283517513581825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1.3511010771416105E-2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9.6651948619765476E-3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0.39727462981438899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0.44463425929362299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20.274494886893098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19615.900000000001</v>
      </c>
      <c r="W171" s="5">
        <f>IF((DiscreteStatsTable[[#This Row],[RepsRequested]]&gt;1),DiscreteStatsTable[[#This Row],[HalfWidth]],DiscreteStatsTable[[#This Row],[BatchMeansHalfWidth]])</f>
        <v>9.6651948619765476E-3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10</v>
      </c>
      <c r="Y171" s="5">
        <f>IF(DiscreteStatsTable[[#This Row],[RepsRequested]]=DiscreteStatsTable[[#This Row],[RepsWithStatObserved]],1,0)</f>
        <v>1</v>
      </c>
    </row>
    <row r="172" spans="1:25" x14ac:dyDescent="0.25">
      <c r="A172" t="s">
        <v>67</v>
      </c>
      <c r="B172" t="s">
        <v>69</v>
      </c>
      <c r="C172">
        <v>1</v>
      </c>
      <c r="D172" t="s">
        <v>86</v>
      </c>
      <c r="E172" t="s">
        <v>71</v>
      </c>
      <c r="F172" t="s">
        <v>72</v>
      </c>
      <c r="G172">
        <v>2.46929276490732</v>
      </c>
      <c r="H172">
        <v>0.16928539590730199</v>
      </c>
      <c r="I172">
        <v>0</v>
      </c>
      <c r="J172">
        <v>39.663195176486603</v>
      </c>
      <c r="K172">
        <v>13496</v>
      </c>
      <c r="L172" s="5" t="str">
        <f>DiscreteStatsTable[[#This Row],[ProjectName]]&amp;DiscreteStatsTable[[#This Row],[Name]]&amp;DiscreteStatsTable[[#This Row],[Type]]&amp;DiscreteStatsTable[[#This Row],[Source]]</f>
        <v>Unnamed ProjectPaintQWaiting TimeQueue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10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2.5112702822422621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4.7806803918528436E-2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3.4198927335504746E-2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2.44135409421229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2.5918018060106802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0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45.589153537584899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13722.6</v>
      </c>
      <c r="W172" s="5">
        <f>IF((DiscreteStatsTable[[#This Row],[RepsRequested]]&gt;1),DiscreteStatsTable[[#This Row],[HalfWidth]],DiscreteStatsTable[[#This Row],[BatchMeansHalfWidth]])</f>
        <v>3.4198927335504746E-2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10</v>
      </c>
      <c r="Y172" s="5">
        <f>IF(DiscreteStatsTable[[#This Row],[RepsRequested]]=DiscreteStatsTable[[#This Row],[RepsWithStatObserved]],1,0)</f>
        <v>1</v>
      </c>
    </row>
    <row r="173" spans="1:25" x14ac:dyDescent="0.25">
      <c r="A173" t="s">
        <v>67</v>
      </c>
      <c r="B173" t="s">
        <v>69</v>
      </c>
      <c r="C173">
        <v>2</v>
      </c>
      <c r="D173" t="s">
        <v>86</v>
      </c>
      <c r="E173" t="s">
        <v>71</v>
      </c>
      <c r="F173" t="s">
        <v>72</v>
      </c>
      <c r="G173">
        <v>2.5119305419662199</v>
      </c>
      <c r="H173">
        <v>0.180355088649683</v>
      </c>
      <c r="I173">
        <v>0</v>
      </c>
      <c r="J173">
        <v>39.151843072380899</v>
      </c>
      <c r="K173">
        <v>13722</v>
      </c>
      <c r="L173" s="5" t="str">
        <f>DiscreteStatsTable[[#This Row],[ProjectName]]&amp;DiscreteStatsTable[[#This Row],[Name]]&amp;DiscreteStatsTable[[#This Row],[Type]]&amp;DiscreteStatsTable[[#This Row],[Source]]</f>
        <v>Unnamed ProjectPaintQWaiting TimeQueue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10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2.5112702822422621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4.7806803918528436E-2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3.4198927335504746E-2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2.44135409421229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2.5918018060106802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45.589153537584899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13722.6</v>
      </c>
      <c r="W173" s="5">
        <f>IF((DiscreteStatsTable[[#This Row],[RepsRequested]]&gt;1),DiscreteStatsTable[[#This Row],[HalfWidth]],DiscreteStatsTable[[#This Row],[BatchMeansHalfWidth]])</f>
        <v>3.4198927335504746E-2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10</v>
      </c>
      <c r="Y173" s="5">
        <f>IF(DiscreteStatsTable[[#This Row],[RepsRequested]]=DiscreteStatsTable[[#This Row],[RepsWithStatObserved]],1,0)</f>
        <v>1</v>
      </c>
    </row>
    <row r="174" spans="1:25" x14ac:dyDescent="0.25">
      <c r="A174" t="s">
        <v>67</v>
      </c>
      <c r="B174" t="s">
        <v>69</v>
      </c>
      <c r="C174">
        <v>3</v>
      </c>
      <c r="D174" t="s">
        <v>86</v>
      </c>
      <c r="E174" t="s">
        <v>71</v>
      </c>
      <c r="F174" t="s">
        <v>72</v>
      </c>
      <c r="G174">
        <v>2.50579819963537</v>
      </c>
      <c r="H174">
        <v>0.17620814924612899</v>
      </c>
      <c r="I174">
        <v>0</v>
      </c>
      <c r="J174">
        <v>42.0351093823556</v>
      </c>
      <c r="K174">
        <v>13672</v>
      </c>
      <c r="L174" s="5" t="str">
        <f>DiscreteStatsTable[[#This Row],[ProjectName]]&amp;DiscreteStatsTable[[#This Row],[Name]]&amp;DiscreteStatsTable[[#This Row],[Type]]&amp;DiscreteStatsTable[[#This Row],[Source]]</f>
        <v>Unnamed ProjectPaintQWaiting TimeQueue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10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2.5112702822422621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4.7806803918528436E-2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3.4198927335504746E-2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2.44135409421229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2.5918018060106802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0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45.589153537584899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13722.6</v>
      </c>
      <c r="W174" s="5">
        <f>IF((DiscreteStatsTable[[#This Row],[RepsRequested]]&gt;1),DiscreteStatsTable[[#This Row],[HalfWidth]],DiscreteStatsTable[[#This Row],[BatchMeansHalfWidth]])</f>
        <v>3.4198927335504746E-2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10</v>
      </c>
      <c r="Y174" s="5">
        <f>IF(DiscreteStatsTable[[#This Row],[RepsRequested]]=DiscreteStatsTable[[#This Row],[RepsWithStatObserved]],1,0)</f>
        <v>1</v>
      </c>
    </row>
    <row r="175" spans="1:25" x14ac:dyDescent="0.25">
      <c r="A175" t="s">
        <v>67</v>
      </c>
      <c r="B175" t="s">
        <v>69</v>
      </c>
      <c r="C175">
        <v>4</v>
      </c>
      <c r="D175" t="s">
        <v>86</v>
      </c>
      <c r="E175" t="s">
        <v>71</v>
      </c>
      <c r="F175" t="s">
        <v>72</v>
      </c>
      <c r="G175">
        <v>2.5763628841810799</v>
      </c>
      <c r="H175">
        <v>0.17519724767893499</v>
      </c>
      <c r="I175">
        <v>0</v>
      </c>
      <c r="J175">
        <v>40.3845350117845</v>
      </c>
      <c r="K175">
        <v>13863</v>
      </c>
      <c r="L175" s="5" t="str">
        <f>DiscreteStatsTable[[#This Row],[ProjectName]]&amp;DiscreteStatsTable[[#This Row],[Name]]&amp;DiscreteStatsTable[[#This Row],[Type]]&amp;DiscreteStatsTable[[#This Row],[Source]]</f>
        <v>Unnamed ProjectPaintQWaiting TimeQueue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10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2.5112702822422621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4.7806803918528436E-2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3.4198927335504746E-2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2.44135409421229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2.5918018060106802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45.589153537584899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13722.6</v>
      </c>
      <c r="W175" s="5">
        <f>IF((DiscreteStatsTable[[#This Row],[RepsRequested]]&gt;1),DiscreteStatsTable[[#This Row],[HalfWidth]],DiscreteStatsTable[[#This Row],[BatchMeansHalfWidth]])</f>
        <v>3.4198927335504746E-2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10</v>
      </c>
      <c r="Y175" s="5">
        <f>IF(DiscreteStatsTable[[#This Row],[RepsRequested]]=DiscreteStatsTable[[#This Row],[RepsWithStatObserved]],1,0)</f>
        <v>1</v>
      </c>
    </row>
    <row r="176" spans="1:25" x14ac:dyDescent="0.25">
      <c r="A176" t="s">
        <v>67</v>
      </c>
      <c r="B176" t="s">
        <v>69</v>
      </c>
      <c r="C176">
        <v>5</v>
      </c>
      <c r="D176" t="s">
        <v>86</v>
      </c>
      <c r="E176" t="s">
        <v>71</v>
      </c>
      <c r="F176" t="s">
        <v>72</v>
      </c>
      <c r="G176">
        <v>2.5228820963385998</v>
      </c>
      <c r="H176">
        <v>0.122280837869001</v>
      </c>
      <c r="I176">
        <v>0</v>
      </c>
      <c r="J176">
        <v>45.589153537584899</v>
      </c>
      <c r="K176">
        <v>13677</v>
      </c>
      <c r="L176" s="5" t="str">
        <f>DiscreteStatsTable[[#This Row],[ProjectName]]&amp;DiscreteStatsTable[[#This Row],[Name]]&amp;DiscreteStatsTable[[#This Row],[Type]]&amp;DiscreteStatsTable[[#This Row],[Source]]</f>
        <v>Unnamed ProjectPaintQWaiting TimeQueue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10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2.5112702822422621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4.7806803918528436E-2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3.4198927335504746E-2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2.44135409421229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2.5918018060106802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0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45.589153537584899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13722.6</v>
      </c>
      <c r="W176" s="5">
        <f>IF((DiscreteStatsTable[[#This Row],[RepsRequested]]&gt;1),DiscreteStatsTable[[#This Row],[HalfWidth]],DiscreteStatsTable[[#This Row],[BatchMeansHalfWidth]])</f>
        <v>3.4198927335504746E-2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10</v>
      </c>
      <c r="Y176" s="5">
        <f>IF(DiscreteStatsTable[[#This Row],[RepsRequested]]=DiscreteStatsTable[[#This Row],[RepsWithStatObserved]],1,0)</f>
        <v>1</v>
      </c>
    </row>
    <row r="177" spans="1:25" x14ac:dyDescent="0.25">
      <c r="A177" t="s">
        <v>67</v>
      </c>
      <c r="B177" t="s">
        <v>69</v>
      </c>
      <c r="C177">
        <v>6</v>
      </c>
      <c r="D177" t="s">
        <v>86</v>
      </c>
      <c r="E177" t="s">
        <v>71</v>
      </c>
      <c r="F177" t="s">
        <v>72</v>
      </c>
      <c r="G177">
        <v>2.4856824510600699</v>
      </c>
      <c r="H177">
        <v>0.157473262762857</v>
      </c>
      <c r="I177">
        <v>0</v>
      </c>
      <c r="J177">
        <v>45.527161677266101</v>
      </c>
      <c r="K177">
        <v>13871</v>
      </c>
      <c r="L177" s="5" t="str">
        <f>DiscreteStatsTable[[#This Row],[ProjectName]]&amp;DiscreteStatsTable[[#This Row],[Name]]&amp;DiscreteStatsTable[[#This Row],[Type]]&amp;DiscreteStatsTable[[#This Row],[Source]]</f>
        <v>Unnamed ProjectPaintQWaiting TimeQueue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10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2.5112702822422621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4.7806803918528436E-2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3.4198927335504746E-2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2.44135409421229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2.5918018060106802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45.589153537584899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13722.6</v>
      </c>
      <c r="W177" s="5">
        <f>IF((DiscreteStatsTable[[#This Row],[RepsRequested]]&gt;1),DiscreteStatsTable[[#This Row],[HalfWidth]],DiscreteStatsTable[[#This Row],[BatchMeansHalfWidth]])</f>
        <v>3.4198927335504746E-2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10</v>
      </c>
      <c r="Y177" s="5">
        <f>IF(DiscreteStatsTable[[#This Row],[RepsRequested]]=DiscreteStatsTable[[#This Row],[RepsWithStatObserved]],1,0)</f>
        <v>1</v>
      </c>
    </row>
    <row r="178" spans="1:25" x14ac:dyDescent="0.25">
      <c r="A178" t="s">
        <v>67</v>
      </c>
      <c r="B178" t="s">
        <v>69</v>
      </c>
      <c r="C178">
        <v>7</v>
      </c>
      <c r="D178" t="s">
        <v>86</v>
      </c>
      <c r="E178" t="s">
        <v>71</v>
      </c>
      <c r="F178" t="s">
        <v>72</v>
      </c>
      <c r="G178">
        <v>2.5918018060106802</v>
      </c>
      <c r="H178">
        <v>0.20174191674363801</v>
      </c>
      <c r="I178">
        <v>0</v>
      </c>
      <c r="J178">
        <v>43.091321133251803</v>
      </c>
      <c r="K178">
        <v>13636</v>
      </c>
      <c r="L178" s="5" t="str">
        <f>DiscreteStatsTable[[#This Row],[ProjectName]]&amp;DiscreteStatsTable[[#This Row],[Name]]&amp;DiscreteStatsTable[[#This Row],[Type]]&amp;DiscreteStatsTable[[#This Row],[Source]]</f>
        <v>Unnamed ProjectPaintQWaiting TimeQueue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10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2.5112702822422621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4.7806803918528436E-2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3.4198927335504746E-2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2.44135409421229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2.5918018060106802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0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45.589153537584899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13722.6</v>
      </c>
      <c r="W178" s="5">
        <f>IF((DiscreteStatsTable[[#This Row],[RepsRequested]]&gt;1),DiscreteStatsTable[[#This Row],[HalfWidth]],DiscreteStatsTable[[#This Row],[BatchMeansHalfWidth]])</f>
        <v>3.4198927335504746E-2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10</v>
      </c>
      <c r="Y178" s="5">
        <f>IF(DiscreteStatsTable[[#This Row],[RepsRequested]]=DiscreteStatsTable[[#This Row],[RepsWithStatObserved]],1,0)</f>
        <v>1</v>
      </c>
    </row>
    <row r="179" spans="1:25" x14ac:dyDescent="0.25">
      <c r="A179" t="s">
        <v>67</v>
      </c>
      <c r="B179" t="s">
        <v>69</v>
      </c>
      <c r="C179">
        <v>8</v>
      </c>
      <c r="D179" t="s">
        <v>86</v>
      </c>
      <c r="E179" t="s">
        <v>71</v>
      </c>
      <c r="F179" t="s">
        <v>72</v>
      </c>
      <c r="G179">
        <v>2.4701458738197402</v>
      </c>
      <c r="H179">
        <v>0.193548305679897</v>
      </c>
      <c r="I179">
        <v>0</v>
      </c>
      <c r="J179">
        <v>40.620478361786802</v>
      </c>
      <c r="K179">
        <v>13812</v>
      </c>
      <c r="L179" s="5" t="str">
        <f>DiscreteStatsTable[[#This Row],[ProjectName]]&amp;DiscreteStatsTable[[#This Row],[Name]]&amp;DiscreteStatsTable[[#This Row],[Type]]&amp;DiscreteStatsTable[[#This Row],[Source]]</f>
        <v>Unnamed ProjectPaintQWaiting TimeQueue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10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2.5112702822422621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4.7806803918528436E-2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3.4198927335504746E-2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2.44135409421229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2.5918018060106802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45.589153537584899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13722.6</v>
      </c>
      <c r="W179" s="5">
        <f>IF((DiscreteStatsTable[[#This Row],[RepsRequested]]&gt;1),DiscreteStatsTable[[#This Row],[HalfWidth]],DiscreteStatsTable[[#This Row],[BatchMeansHalfWidth]])</f>
        <v>3.4198927335504746E-2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10</v>
      </c>
      <c r="Y179" s="5">
        <f>IF(DiscreteStatsTable[[#This Row],[RepsRequested]]=DiscreteStatsTable[[#This Row],[RepsWithStatObserved]],1,0)</f>
        <v>1</v>
      </c>
    </row>
    <row r="180" spans="1:25" x14ac:dyDescent="0.25">
      <c r="A180" t="s">
        <v>67</v>
      </c>
      <c r="B180" t="s">
        <v>69</v>
      </c>
      <c r="C180">
        <v>9</v>
      </c>
      <c r="D180" t="s">
        <v>86</v>
      </c>
      <c r="E180" t="s">
        <v>71</v>
      </c>
      <c r="F180" t="s">
        <v>72</v>
      </c>
      <c r="G180">
        <v>2.44135409421229</v>
      </c>
      <c r="H180">
        <v>0.13250334638751601</v>
      </c>
      <c r="I180">
        <v>0</v>
      </c>
      <c r="J180">
        <v>43.027556033222901</v>
      </c>
      <c r="K180">
        <v>13774</v>
      </c>
      <c r="L180" s="5" t="str">
        <f>DiscreteStatsTable[[#This Row],[ProjectName]]&amp;DiscreteStatsTable[[#This Row],[Name]]&amp;DiscreteStatsTable[[#This Row],[Type]]&amp;DiscreteStatsTable[[#This Row],[Source]]</f>
        <v>Unnamed ProjectPaintQWaiting TimeQueue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10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2.5112702822422621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4.7806803918528436E-2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3.4198927335504746E-2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2.44135409421229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2.5918018060106802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0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45.589153537584899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13722.6</v>
      </c>
      <c r="W180" s="5">
        <f>IF((DiscreteStatsTable[[#This Row],[RepsRequested]]&gt;1),DiscreteStatsTable[[#This Row],[HalfWidth]],DiscreteStatsTable[[#This Row],[BatchMeansHalfWidth]])</f>
        <v>3.4198927335504746E-2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10</v>
      </c>
      <c r="Y180" s="5">
        <f>IF(DiscreteStatsTable[[#This Row],[RepsRequested]]=DiscreteStatsTable[[#This Row],[RepsWithStatObserved]],1,0)</f>
        <v>1</v>
      </c>
    </row>
    <row r="181" spans="1:25" x14ac:dyDescent="0.25">
      <c r="A181" t="s">
        <v>67</v>
      </c>
      <c r="B181" t="s">
        <v>69</v>
      </c>
      <c r="C181">
        <v>10</v>
      </c>
      <c r="D181" t="s">
        <v>86</v>
      </c>
      <c r="E181" t="s">
        <v>71</v>
      </c>
      <c r="F181" t="s">
        <v>72</v>
      </c>
      <c r="G181">
        <v>2.53745211029125</v>
      </c>
      <c r="H181">
        <v>0.197285733558657</v>
      </c>
      <c r="I181">
        <v>0</v>
      </c>
      <c r="J181">
        <v>38.7785338227986</v>
      </c>
      <c r="K181">
        <v>13703</v>
      </c>
      <c r="L181" s="5" t="str">
        <f>DiscreteStatsTable[[#This Row],[ProjectName]]&amp;DiscreteStatsTable[[#This Row],[Name]]&amp;DiscreteStatsTable[[#This Row],[Type]]&amp;DiscreteStatsTable[[#This Row],[Source]]</f>
        <v>Unnamed ProjectPaintQWaiting TimeQueue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10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2.5112702822422621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4.7806803918528436E-2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3.4198927335504746E-2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2.44135409421229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2.5918018060106802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45.589153537584899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13722.6</v>
      </c>
      <c r="W181" s="5">
        <f>IF((DiscreteStatsTable[[#This Row],[RepsRequested]]&gt;1),DiscreteStatsTable[[#This Row],[HalfWidth]],DiscreteStatsTable[[#This Row],[BatchMeansHalfWidth]])</f>
        <v>3.4198927335504746E-2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10</v>
      </c>
      <c r="Y181" s="5">
        <f>IF(DiscreteStatsTable[[#This Row],[RepsRequested]]=DiscreteStatsTable[[#This Row],[RepsWithStatObserved]],1,0)</f>
        <v>1</v>
      </c>
    </row>
    <row r="182" spans="1:25" x14ac:dyDescent="0.25">
      <c r="A182" t="s">
        <v>67</v>
      </c>
      <c r="B182" t="s">
        <v>69</v>
      </c>
      <c r="C182">
        <v>1</v>
      </c>
      <c r="D182" t="s">
        <v>87</v>
      </c>
      <c r="E182" t="s">
        <v>71</v>
      </c>
      <c r="F182" t="s">
        <v>72</v>
      </c>
      <c r="G182">
        <v>0.49443847083334502</v>
      </c>
      <c r="H182">
        <v>2.4291214634759601E-2</v>
      </c>
      <c r="I182">
        <v>0</v>
      </c>
      <c r="J182">
        <v>16.002340214319702</v>
      </c>
      <c r="K182">
        <v>13496</v>
      </c>
      <c r="L182" s="5" t="str">
        <f>DiscreteStatsTable[[#This Row],[ProjectName]]&amp;DiscreteStatsTable[[#This Row],[Name]]&amp;DiscreteStatsTable[[#This Row],[Type]]&amp;DiscreteStatsTable[[#This Row],[Source]]</f>
        <v>Unnamed ProjectPaintReqQWaiting TimeQueue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10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0.49391925673118131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1.4549096011287116E-2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1.0407796307304491E-2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0.47764851193542202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0.51712935231426205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0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18.774555745418201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13722.7</v>
      </c>
      <c r="W182" s="5">
        <f>IF((DiscreteStatsTable[[#This Row],[RepsRequested]]&gt;1),DiscreteStatsTable[[#This Row],[HalfWidth]],DiscreteStatsTable[[#This Row],[BatchMeansHalfWidth]])</f>
        <v>1.0407796307304491E-2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10</v>
      </c>
      <c r="Y182" s="5">
        <f>IF(DiscreteStatsTable[[#This Row],[RepsRequested]]=DiscreteStatsTable[[#This Row],[RepsWithStatObserved]],1,0)</f>
        <v>1</v>
      </c>
    </row>
    <row r="183" spans="1:25" x14ac:dyDescent="0.25">
      <c r="A183" t="s">
        <v>67</v>
      </c>
      <c r="B183" t="s">
        <v>69</v>
      </c>
      <c r="C183">
        <v>2</v>
      </c>
      <c r="D183" t="s">
        <v>87</v>
      </c>
      <c r="E183" t="s">
        <v>71</v>
      </c>
      <c r="F183" t="s">
        <v>72</v>
      </c>
      <c r="G183">
        <v>0.49292340810448798</v>
      </c>
      <c r="H183">
        <v>3.01213073279183E-2</v>
      </c>
      <c r="I183">
        <v>0</v>
      </c>
      <c r="J183">
        <v>14.056423745874801</v>
      </c>
      <c r="K183">
        <v>13722</v>
      </c>
      <c r="L183" s="5" t="str">
        <f>DiscreteStatsTable[[#This Row],[ProjectName]]&amp;DiscreteStatsTable[[#This Row],[Name]]&amp;DiscreteStatsTable[[#This Row],[Type]]&amp;DiscreteStatsTable[[#This Row],[Source]]</f>
        <v>Unnamed ProjectPaintReqQWaiting TimeQueue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10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0.49391925673118131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1.4549096011287116E-2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1.0407796307304491E-2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0.47764851193542202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0.51712935231426205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18.774555745418201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13722.7</v>
      </c>
      <c r="W183" s="5">
        <f>IF((DiscreteStatsTable[[#This Row],[RepsRequested]]&gt;1),DiscreteStatsTable[[#This Row],[HalfWidth]],DiscreteStatsTable[[#This Row],[BatchMeansHalfWidth]])</f>
        <v>1.0407796307304491E-2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10</v>
      </c>
      <c r="Y183" s="5">
        <f>IF(DiscreteStatsTable[[#This Row],[RepsRequested]]=DiscreteStatsTable[[#This Row],[RepsWithStatObserved]],1,0)</f>
        <v>1</v>
      </c>
    </row>
    <row r="184" spans="1:25" x14ac:dyDescent="0.25">
      <c r="A184" t="s">
        <v>67</v>
      </c>
      <c r="B184" t="s">
        <v>69</v>
      </c>
      <c r="C184">
        <v>3</v>
      </c>
      <c r="D184" t="s">
        <v>87</v>
      </c>
      <c r="E184" t="s">
        <v>71</v>
      </c>
      <c r="F184" t="s">
        <v>72</v>
      </c>
      <c r="G184">
        <v>0.485081922871336</v>
      </c>
      <c r="H184">
        <v>2.1556856404238201E-2</v>
      </c>
      <c r="I184">
        <v>0</v>
      </c>
      <c r="J184">
        <v>14.1151691246778</v>
      </c>
      <c r="K184">
        <v>13673</v>
      </c>
      <c r="L184" s="5" t="str">
        <f>DiscreteStatsTable[[#This Row],[ProjectName]]&amp;DiscreteStatsTable[[#This Row],[Name]]&amp;DiscreteStatsTable[[#This Row],[Type]]&amp;DiscreteStatsTable[[#This Row],[Source]]</f>
        <v>Unnamed ProjectPaintReqQWaiting TimeQueue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10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0.49391925673118131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1.4549096011287116E-2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1.0407796307304491E-2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0.47764851193542202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0.51712935231426205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0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18.774555745418201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13722.7</v>
      </c>
      <c r="W184" s="5">
        <f>IF((DiscreteStatsTable[[#This Row],[RepsRequested]]&gt;1),DiscreteStatsTable[[#This Row],[HalfWidth]],DiscreteStatsTable[[#This Row],[BatchMeansHalfWidth]])</f>
        <v>1.0407796307304491E-2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10</v>
      </c>
      <c r="Y184" s="5">
        <f>IF(DiscreteStatsTable[[#This Row],[RepsRequested]]=DiscreteStatsTable[[#This Row],[RepsWithStatObserved]],1,0)</f>
        <v>1</v>
      </c>
    </row>
    <row r="185" spans="1:25" x14ac:dyDescent="0.25">
      <c r="A185" t="s">
        <v>67</v>
      </c>
      <c r="B185" t="s">
        <v>69</v>
      </c>
      <c r="C185">
        <v>4</v>
      </c>
      <c r="D185" t="s">
        <v>87</v>
      </c>
      <c r="E185" t="s">
        <v>71</v>
      </c>
      <c r="F185" t="s">
        <v>72</v>
      </c>
      <c r="G185">
        <v>0.51695695111734896</v>
      </c>
      <c r="H185">
        <v>3.1339951330385599E-2</v>
      </c>
      <c r="I185">
        <v>0</v>
      </c>
      <c r="J185">
        <v>16.387571571045601</v>
      </c>
      <c r="K185">
        <v>13862</v>
      </c>
      <c r="L185" s="5" t="str">
        <f>DiscreteStatsTable[[#This Row],[ProjectName]]&amp;DiscreteStatsTable[[#This Row],[Name]]&amp;DiscreteStatsTable[[#This Row],[Type]]&amp;DiscreteStatsTable[[#This Row],[Source]]</f>
        <v>Unnamed ProjectPaintReqQWaiting TimeQueue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10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0.49391925673118131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1.4549096011287116E-2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1.0407796307304491E-2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0.47764851193542202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0.51712935231426205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18.774555745418201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13722.7</v>
      </c>
      <c r="W185" s="5">
        <f>IF((DiscreteStatsTable[[#This Row],[RepsRequested]]&gt;1),DiscreteStatsTable[[#This Row],[HalfWidth]],DiscreteStatsTable[[#This Row],[BatchMeansHalfWidth]])</f>
        <v>1.0407796307304491E-2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10</v>
      </c>
      <c r="Y185" s="5">
        <f>IF(DiscreteStatsTable[[#This Row],[RepsRequested]]=DiscreteStatsTable[[#This Row],[RepsWithStatObserved]],1,0)</f>
        <v>1</v>
      </c>
    </row>
    <row r="186" spans="1:25" x14ac:dyDescent="0.25">
      <c r="A186" t="s">
        <v>67</v>
      </c>
      <c r="B186" t="s">
        <v>69</v>
      </c>
      <c r="C186">
        <v>5</v>
      </c>
      <c r="D186" t="s">
        <v>87</v>
      </c>
      <c r="E186" t="s">
        <v>71</v>
      </c>
      <c r="F186" t="s">
        <v>72</v>
      </c>
      <c r="G186">
        <v>0.49978893609660602</v>
      </c>
      <c r="H186">
        <v>2.72690494515304E-2</v>
      </c>
      <c r="I186">
        <v>0</v>
      </c>
      <c r="J186">
        <v>18.774555745418201</v>
      </c>
      <c r="K186">
        <v>13677</v>
      </c>
      <c r="L186" s="5" t="str">
        <f>DiscreteStatsTable[[#This Row],[ProjectName]]&amp;DiscreteStatsTable[[#This Row],[Name]]&amp;DiscreteStatsTable[[#This Row],[Type]]&amp;DiscreteStatsTable[[#This Row],[Source]]</f>
        <v>Unnamed ProjectPaintReqQWaiting TimeQueue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10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0.49391925673118131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1.4549096011287116E-2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1.0407796307304491E-2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0.47764851193542202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0.51712935231426205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18.774555745418201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13722.7</v>
      </c>
      <c r="W186" s="5">
        <f>IF((DiscreteStatsTable[[#This Row],[RepsRequested]]&gt;1),DiscreteStatsTable[[#This Row],[HalfWidth]],DiscreteStatsTable[[#This Row],[BatchMeansHalfWidth]])</f>
        <v>1.0407796307304491E-2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10</v>
      </c>
      <c r="Y186" s="5">
        <f>IF(DiscreteStatsTable[[#This Row],[RepsRequested]]=DiscreteStatsTable[[#This Row],[RepsWithStatObserved]],1,0)</f>
        <v>1</v>
      </c>
    </row>
    <row r="187" spans="1:25" x14ac:dyDescent="0.25">
      <c r="A187" t="s">
        <v>67</v>
      </c>
      <c r="B187" t="s">
        <v>69</v>
      </c>
      <c r="C187">
        <v>6</v>
      </c>
      <c r="D187" t="s">
        <v>87</v>
      </c>
      <c r="E187" t="s">
        <v>71</v>
      </c>
      <c r="F187" t="s">
        <v>72</v>
      </c>
      <c r="G187">
        <v>0.51712935231426205</v>
      </c>
      <c r="H187">
        <v>3.1675196021557397E-2</v>
      </c>
      <c r="I187">
        <v>0</v>
      </c>
      <c r="J187">
        <v>16.796162422746399</v>
      </c>
      <c r="K187">
        <v>13871</v>
      </c>
      <c r="L187" s="5" t="str">
        <f>DiscreteStatsTable[[#This Row],[ProjectName]]&amp;DiscreteStatsTable[[#This Row],[Name]]&amp;DiscreteStatsTable[[#This Row],[Type]]&amp;DiscreteStatsTable[[#This Row],[Source]]</f>
        <v>Unnamed ProjectPaintReqQWaiting TimeQueue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10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0.49391925673118131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1.4549096011287116E-2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1.0407796307304491E-2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0.47764851193542202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0.51712935231426205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18.774555745418201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13722.7</v>
      </c>
      <c r="W187" s="5">
        <f>IF((DiscreteStatsTable[[#This Row],[RepsRequested]]&gt;1),DiscreteStatsTable[[#This Row],[HalfWidth]],DiscreteStatsTable[[#This Row],[BatchMeansHalfWidth]])</f>
        <v>1.0407796307304491E-2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10</v>
      </c>
      <c r="Y187" s="5">
        <f>IF(DiscreteStatsTable[[#This Row],[RepsRequested]]=DiscreteStatsTable[[#This Row],[RepsWithStatObserved]],1,0)</f>
        <v>1</v>
      </c>
    </row>
    <row r="188" spans="1:25" x14ac:dyDescent="0.25">
      <c r="A188" t="s">
        <v>67</v>
      </c>
      <c r="B188" t="s">
        <v>69</v>
      </c>
      <c r="C188">
        <v>7</v>
      </c>
      <c r="D188" t="s">
        <v>87</v>
      </c>
      <c r="E188" t="s">
        <v>71</v>
      </c>
      <c r="F188" t="s">
        <v>72</v>
      </c>
      <c r="G188">
        <v>0.47764851193542202</v>
      </c>
      <c r="H188">
        <v>2.5547185302550301E-2</v>
      </c>
      <c r="I188">
        <v>0</v>
      </c>
      <c r="J188">
        <v>13.847838553309</v>
      </c>
      <c r="K188">
        <v>13636</v>
      </c>
      <c r="L188" s="5" t="str">
        <f>DiscreteStatsTable[[#This Row],[ProjectName]]&amp;DiscreteStatsTable[[#This Row],[Name]]&amp;DiscreteStatsTable[[#This Row],[Type]]&amp;DiscreteStatsTable[[#This Row],[Source]]</f>
        <v>Unnamed ProjectPaintReqQWaiting TimeQueue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10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0.49391925673118131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1.4549096011287116E-2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1.0407796307304491E-2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0.47764851193542202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0.51712935231426205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0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18.774555745418201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13722.7</v>
      </c>
      <c r="W188" s="5">
        <f>IF((DiscreteStatsTable[[#This Row],[RepsRequested]]&gt;1),DiscreteStatsTable[[#This Row],[HalfWidth]],DiscreteStatsTable[[#This Row],[BatchMeansHalfWidth]])</f>
        <v>1.0407796307304491E-2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10</v>
      </c>
      <c r="Y188" s="5">
        <f>IF(DiscreteStatsTable[[#This Row],[RepsRequested]]=DiscreteStatsTable[[#This Row],[RepsWithStatObserved]],1,0)</f>
        <v>1</v>
      </c>
    </row>
    <row r="189" spans="1:25" x14ac:dyDescent="0.25">
      <c r="A189" t="s">
        <v>67</v>
      </c>
      <c r="B189" t="s">
        <v>69</v>
      </c>
      <c r="C189">
        <v>8</v>
      </c>
      <c r="D189" t="s">
        <v>87</v>
      </c>
      <c r="E189" t="s">
        <v>71</v>
      </c>
      <c r="F189" t="s">
        <v>72</v>
      </c>
      <c r="G189">
        <v>0.497199663993251</v>
      </c>
      <c r="H189">
        <v>2.5594354475916299E-2</v>
      </c>
      <c r="I189">
        <v>0</v>
      </c>
      <c r="J189">
        <v>16.3404267312144</v>
      </c>
      <c r="K189">
        <v>13812</v>
      </c>
      <c r="L189" s="5" t="str">
        <f>DiscreteStatsTable[[#This Row],[ProjectName]]&amp;DiscreteStatsTable[[#This Row],[Name]]&amp;DiscreteStatsTable[[#This Row],[Type]]&amp;DiscreteStatsTable[[#This Row],[Source]]</f>
        <v>Unnamed ProjectPaintReqQWaiting TimeQueue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10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0.49391925673118131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1.4549096011287116E-2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1.0407796307304491E-2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0.47764851193542202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0.51712935231426205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18.774555745418201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13722.7</v>
      </c>
      <c r="W189" s="5">
        <f>IF((DiscreteStatsTable[[#This Row],[RepsRequested]]&gt;1),DiscreteStatsTable[[#This Row],[HalfWidth]],DiscreteStatsTable[[#This Row],[BatchMeansHalfWidth]])</f>
        <v>1.0407796307304491E-2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10</v>
      </c>
      <c r="Y189" s="5">
        <f>IF(DiscreteStatsTable[[#This Row],[RepsRequested]]=DiscreteStatsTable[[#This Row],[RepsWithStatObserved]],1,0)</f>
        <v>1</v>
      </c>
    </row>
    <row r="190" spans="1:25" x14ac:dyDescent="0.25">
      <c r="A190" t="s">
        <v>67</v>
      </c>
      <c r="B190" t="s">
        <v>69</v>
      </c>
      <c r="C190">
        <v>9</v>
      </c>
      <c r="D190" t="s">
        <v>87</v>
      </c>
      <c r="E190" t="s">
        <v>71</v>
      </c>
      <c r="F190" t="s">
        <v>72</v>
      </c>
      <c r="G190">
        <v>0.47999205882500601</v>
      </c>
      <c r="H190">
        <v>2.7419448936180799E-2</v>
      </c>
      <c r="I190">
        <v>0</v>
      </c>
      <c r="J190">
        <v>17.557573800673701</v>
      </c>
      <c r="K190">
        <v>13774</v>
      </c>
      <c r="L190" s="5" t="str">
        <f>DiscreteStatsTable[[#This Row],[ProjectName]]&amp;DiscreteStatsTable[[#This Row],[Name]]&amp;DiscreteStatsTable[[#This Row],[Type]]&amp;DiscreteStatsTable[[#This Row],[Source]]</f>
        <v>Unnamed ProjectPaintReqQWaiting TimeQueue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10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0.49391925673118131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1.4549096011287116E-2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1.0407796307304491E-2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0.47764851193542202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0.51712935231426205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0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18.774555745418201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13722.7</v>
      </c>
      <c r="W190" s="5">
        <f>IF((DiscreteStatsTable[[#This Row],[RepsRequested]]&gt;1),DiscreteStatsTable[[#This Row],[HalfWidth]],DiscreteStatsTable[[#This Row],[BatchMeansHalfWidth]])</f>
        <v>1.0407796307304491E-2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10</v>
      </c>
      <c r="Y190" s="5">
        <f>IF(DiscreteStatsTable[[#This Row],[RepsRequested]]=DiscreteStatsTable[[#This Row],[RepsWithStatObserved]],1,0)</f>
        <v>1</v>
      </c>
    </row>
    <row r="191" spans="1:25" x14ac:dyDescent="0.25">
      <c r="A191" t="s">
        <v>67</v>
      </c>
      <c r="B191" t="s">
        <v>69</v>
      </c>
      <c r="C191">
        <v>10</v>
      </c>
      <c r="D191" t="s">
        <v>87</v>
      </c>
      <c r="E191" t="s">
        <v>71</v>
      </c>
      <c r="F191" t="s">
        <v>72</v>
      </c>
      <c r="G191">
        <v>0.478033291220748</v>
      </c>
      <c r="H191">
        <v>3.4287709460741403E-2</v>
      </c>
      <c r="I191">
        <v>0</v>
      </c>
      <c r="J191">
        <v>15.419476959563299</v>
      </c>
      <c r="K191">
        <v>13704</v>
      </c>
      <c r="L191" s="5" t="str">
        <f>DiscreteStatsTable[[#This Row],[ProjectName]]&amp;DiscreteStatsTable[[#This Row],[Name]]&amp;DiscreteStatsTable[[#This Row],[Type]]&amp;DiscreteStatsTable[[#This Row],[Source]]</f>
        <v>Unnamed ProjectPaintReqQWaiting TimeQueue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10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0.49391925673118131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1.4549096011287116E-2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1.0407796307304491E-2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0.47764851193542202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0.51712935231426205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18.774555745418201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13722.7</v>
      </c>
      <c r="W191" s="5">
        <f>IF((DiscreteStatsTable[[#This Row],[RepsRequested]]&gt;1),DiscreteStatsTable[[#This Row],[HalfWidth]],DiscreteStatsTable[[#This Row],[BatchMeansHalfWidth]])</f>
        <v>1.0407796307304491E-2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10</v>
      </c>
      <c r="Y191" s="5">
        <f>IF(DiscreteStatsTable[[#This Row],[RepsRequested]]=DiscreteStatsTable[[#This Row],[RepsWithStatObserved]],1,0)</f>
        <v>1</v>
      </c>
    </row>
    <row r="192" spans="1:25" x14ac:dyDescent="0.25">
      <c r="A192" t="s">
        <v>67</v>
      </c>
      <c r="B192" t="s">
        <v>69</v>
      </c>
      <c r="C192">
        <v>1</v>
      </c>
      <c r="D192" t="s">
        <v>88</v>
      </c>
      <c r="E192" t="s">
        <v>89</v>
      </c>
      <c r="F192" t="s">
        <v>90</v>
      </c>
      <c r="G192">
        <v>182.34218485641</v>
      </c>
      <c r="H192">
        <v>7.3834334023434902</v>
      </c>
      <c r="I192">
        <v>87.986685381154501</v>
      </c>
      <c r="J192">
        <v>577.18863697542099</v>
      </c>
      <c r="K192">
        <v>13497</v>
      </c>
      <c r="L192" s="5" t="str">
        <f>DiscreteStatsTable[[#This Row],[ProjectName]]&amp;DiscreteStatsTable[[#This Row],[Name]]&amp;DiscreteStatsTable[[#This Row],[Type]]&amp;DiscreteStatsTable[[#This Row],[Source]]</f>
        <v>Unnamed ProjectPartType1SysTimeNoneUser Specified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10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183.0256097970736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3.1234555826241972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2.2343855215228454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178.556232109566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188.13777577457799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85.085463017283502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801.14163618703606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13723.7</v>
      </c>
      <c r="W192" s="5">
        <f>IF((DiscreteStatsTable[[#This Row],[RepsRequested]]&gt;1),DiscreteStatsTable[[#This Row],[HalfWidth]],DiscreteStatsTable[[#This Row],[BatchMeansHalfWidth]])</f>
        <v>2.2343855215228454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10</v>
      </c>
      <c r="Y192" s="5">
        <f>IF(DiscreteStatsTable[[#This Row],[RepsRequested]]=DiscreteStatsTable[[#This Row],[RepsWithStatObserved]],1,0)</f>
        <v>1</v>
      </c>
    </row>
    <row r="193" spans="1:25" x14ac:dyDescent="0.25">
      <c r="A193" t="s">
        <v>67</v>
      </c>
      <c r="B193" t="s">
        <v>69</v>
      </c>
      <c r="C193">
        <v>2</v>
      </c>
      <c r="D193" t="s">
        <v>88</v>
      </c>
      <c r="E193" t="s">
        <v>89</v>
      </c>
      <c r="F193" t="s">
        <v>90</v>
      </c>
      <c r="G193">
        <v>182.047844740085</v>
      </c>
      <c r="H193">
        <v>5.5265505422275503</v>
      </c>
      <c r="I193">
        <v>85.827310976281296</v>
      </c>
      <c r="J193">
        <v>563.10089742424304</v>
      </c>
      <c r="K193">
        <v>13723</v>
      </c>
      <c r="L193" s="5" t="str">
        <f>DiscreteStatsTable[[#This Row],[ProjectName]]&amp;DiscreteStatsTable[[#This Row],[Name]]&amp;DiscreteStatsTable[[#This Row],[Type]]&amp;DiscreteStatsTable[[#This Row],[Source]]</f>
        <v>Unnamed ProjectPartType1SysTimeNoneUser Specified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10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183.0256097970736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3.1234555826241972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2.2343855215228454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178.556232109566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188.13777577457799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85.085463017283502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801.14163618703606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13723.7</v>
      </c>
      <c r="W193" s="5">
        <f>IF((DiscreteStatsTable[[#This Row],[RepsRequested]]&gt;1),DiscreteStatsTable[[#This Row],[HalfWidth]],DiscreteStatsTable[[#This Row],[BatchMeansHalfWidth]])</f>
        <v>2.2343855215228454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10</v>
      </c>
      <c r="Y193" s="5">
        <f>IF(DiscreteStatsTable[[#This Row],[RepsRequested]]=DiscreteStatsTable[[#This Row],[RepsWithStatObserved]],1,0)</f>
        <v>1</v>
      </c>
    </row>
    <row r="194" spans="1:25" x14ac:dyDescent="0.25">
      <c r="A194" t="s">
        <v>67</v>
      </c>
      <c r="B194" t="s">
        <v>69</v>
      </c>
      <c r="C194">
        <v>3</v>
      </c>
      <c r="D194" t="s">
        <v>88</v>
      </c>
      <c r="E194" t="s">
        <v>89</v>
      </c>
      <c r="F194" t="s">
        <v>90</v>
      </c>
      <c r="G194">
        <v>178.556232109566</v>
      </c>
      <c r="H194">
        <v>5.3327759555220098</v>
      </c>
      <c r="I194">
        <v>86.675513432215695</v>
      </c>
      <c r="J194">
        <v>554.85386245907296</v>
      </c>
      <c r="K194">
        <v>13674</v>
      </c>
      <c r="L194" s="5" t="str">
        <f>DiscreteStatsTable[[#This Row],[ProjectName]]&amp;DiscreteStatsTable[[#This Row],[Name]]&amp;DiscreteStatsTable[[#This Row],[Type]]&amp;DiscreteStatsTable[[#This Row],[Source]]</f>
        <v>Unnamed ProjectPartType1SysTimeNoneUser Specified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10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183.0256097970736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3.1234555826241972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2.2343855215228454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178.556232109566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188.13777577457799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85.085463017283502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801.14163618703606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13723.7</v>
      </c>
      <c r="W194" s="5">
        <f>IF((DiscreteStatsTable[[#This Row],[RepsRequested]]&gt;1),DiscreteStatsTable[[#This Row],[HalfWidth]],DiscreteStatsTable[[#This Row],[BatchMeansHalfWidth]])</f>
        <v>2.2343855215228454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10</v>
      </c>
      <c r="Y194" s="5">
        <f>IF(DiscreteStatsTable[[#This Row],[RepsRequested]]=DiscreteStatsTable[[#This Row],[RepsWithStatObserved]],1,0)</f>
        <v>1</v>
      </c>
    </row>
    <row r="195" spans="1:25" x14ac:dyDescent="0.25">
      <c r="A195" t="s">
        <v>67</v>
      </c>
      <c r="B195" t="s">
        <v>69</v>
      </c>
      <c r="C195">
        <v>4</v>
      </c>
      <c r="D195" t="s">
        <v>88</v>
      </c>
      <c r="E195" t="s">
        <v>89</v>
      </c>
      <c r="F195" t="s">
        <v>90</v>
      </c>
      <c r="G195">
        <v>188.13777577457799</v>
      </c>
      <c r="H195">
        <v>7.4454761981224102</v>
      </c>
      <c r="I195">
        <v>86.2837573857541</v>
      </c>
      <c r="J195">
        <v>599.54263019643304</v>
      </c>
      <c r="K195">
        <v>13861</v>
      </c>
      <c r="L195" s="5" t="str">
        <f>DiscreteStatsTable[[#This Row],[ProjectName]]&amp;DiscreteStatsTable[[#This Row],[Name]]&amp;DiscreteStatsTable[[#This Row],[Type]]&amp;DiscreteStatsTable[[#This Row],[Source]]</f>
        <v>Unnamed ProjectPartType1SysTimeNoneUser Specified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10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183.0256097970736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3.1234555826241972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2.2343855215228454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178.556232109566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188.13777577457799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85.085463017283502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801.14163618703606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13723.7</v>
      </c>
      <c r="W195" s="5">
        <f>IF((DiscreteStatsTable[[#This Row],[RepsRequested]]&gt;1),DiscreteStatsTable[[#This Row],[HalfWidth]],DiscreteStatsTable[[#This Row],[BatchMeansHalfWidth]])</f>
        <v>2.2343855215228454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10</v>
      </c>
      <c r="Y195" s="5">
        <f>IF(DiscreteStatsTable[[#This Row],[RepsRequested]]=DiscreteStatsTable[[#This Row],[RepsWithStatObserved]],1,0)</f>
        <v>1</v>
      </c>
    </row>
    <row r="196" spans="1:25" x14ac:dyDescent="0.25">
      <c r="A196" t="s">
        <v>67</v>
      </c>
      <c r="B196" t="s">
        <v>69</v>
      </c>
      <c r="C196">
        <v>5</v>
      </c>
      <c r="D196" t="s">
        <v>88</v>
      </c>
      <c r="E196" t="s">
        <v>89</v>
      </c>
      <c r="F196" t="s">
        <v>90</v>
      </c>
      <c r="G196">
        <v>184.68154503551401</v>
      </c>
      <c r="H196">
        <v>11.933281785821601</v>
      </c>
      <c r="I196">
        <v>87.040889793541297</v>
      </c>
      <c r="J196">
        <v>801.14163618703606</v>
      </c>
      <c r="K196">
        <v>13678</v>
      </c>
      <c r="L196" s="5" t="str">
        <f>DiscreteStatsTable[[#This Row],[ProjectName]]&amp;DiscreteStatsTable[[#This Row],[Name]]&amp;DiscreteStatsTable[[#This Row],[Type]]&amp;DiscreteStatsTable[[#This Row],[Source]]</f>
        <v>Unnamed ProjectPartType1SysTimeNoneUser Specified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10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183.0256097970736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3.1234555826241972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2.2343855215228454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178.556232109566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188.13777577457799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85.085463017283502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801.14163618703606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13723.7</v>
      </c>
      <c r="W196" s="5">
        <f>IF((DiscreteStatsTable[[#This Row],[RepsRequested]]&gt;1),DiscreteStatsTable[[#This Row],[HalfWidth]],DiscreteStatsTable[[#This Row],[BatchMeansHalfWidth]])</f>
        <v>2.2343855215228454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10</v>
      </c>
      <c r="Y196" s="5">
        <f>IF(DiscreteStatsTable[[#This Row],[RepsRequested]]=DiscreteStatsTable[[#This Row],[RepsWithStatObserved]],1,0)</f>
        <v>1</v>
      </c>
    </row>
    <row r="197" spans="1:25" x14ac:dyDescent="0.25">
      <c r="A197" t="s">
        <v>67</v>
      </c>
      <c r="B197" t="s">
        <v>69</v>
      </c>
      <c r="C197">
        <v>6</v>
      </c>
      <c r="D197" t="s">
        <v>88</v>
      </c>
      <c r="E197" t="s">
        <v>89</v>
      </c>
      <c r="F197" t="s">
        <v>90</v>
      </c>
      <c r="G197">
        <v>187.93794293199599</v>
      </c>
      <c r="H197">
        <v>6.8333867002351303</v>
      </c>
      <c r="I197">
        <v>86.844246684282595</v>
      </c>
      <c r="J197">
        <v>560.88010453817003</v>
      </c>
      <c r="K197">
        <v>13871</v>
      </c>
      <c r="L197" s="5" t="str">
        <f>DiscreteStatsTable[[#This Row],[ProjectName]]&amp;DiscreteStatsTable[[#This Row],[Name]]&amp;DiscreteStatsTable[[#This Row],[Type]]&amp;DiscreteStatsTable[[#This Row],[Source]]</f>
        <v>Unnamed ProjectPartType1SysTimeNoneUser Specified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10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183.0256097970736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3.1234555826241972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2.2343855215228454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178.556232109566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188.13777577457799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85.085463017283502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801.14163618703606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13723.7</v>
      </c>
      <c r="W197" s="5">
        <f>IF((DiscreteStatsTable[[#This Row],[RepsRequested]]&gt;1),DiscreteStatsTable[[#This Row],[HalfWidth]],DiscreteStatsTable[[#This Row],[BatchMeansHalfWidth]])</f>
        <v>2.2343855215228454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10</v>
      </c>
      <c r="Y197" s="5">
        <f>IF(DiscreteStatsTable[[#This Row],[RepsRequested]]=DiscreteStatsTable[[#This Row],[RepsWithStatObserved]],1,0)</f>
        <v>1</v>
      </c>
    </row>
    <row r="198" spans="1:25" x14ac:dyDescent="0.25">
      <c r="A198" t="s">
        <v>67</v>
      </c>
      <c r="B198" t="s">
        <v>69</v>
      </c>
      <c r="C198">
        <v>7</v>
      </c>
      <c r="D198" t="s">
        <v>88</v>
      </c>
      <c r="E198" t="s">
        <v>89</v>
      </c>
      <c r="F198" t="s">
        <v>90</v>
      </c>
      <c r="G198">
        <v>180.812631939109</v>
      </c>
      <c r="H198">
        <v>7.7517651666014498</v>
      </c>
      <c r="I198">
        <v>86.583931983761403</v>
      </c>
      <c r="J198">
        <v>688.55845776660101</v>
      </c>
      <c r="K198">
        <v>13637</v>
      </c>
      <c r="L198" s="5" t="str">
        <f>DiscreteStatsTable[[#This Row],[ProjectName]]&amp;DiscreteStatsTable[[#This Row],[Name]]&amp;DiscreteStatsTable[[#This Row],[Type]]&amp;DiscreteStatsTable[[#This Row],[Source]]</f>
        <v>Unnamed ProjectPartType1SysTimeNoneUser Specified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10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183.0256097970736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3.1234555826241972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2.2343855215228454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178.556232109566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188.13777577457799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85.085463017283502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801.14163618703606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13723.7</v>
      </c>
      <c r="W198" s="5">
        <f>IF((DiscreteStatsTable[[#This Row],[RepsRequested]]&gt;1),DiscreteStatsTable[[#This Row],[HalfWidth]],DiscreteStatsTable[[#This Row],[BatchMeansHalfWidth]])</f>
        <v>2.2343855215228454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10</v>
      </c>
      <c r="Y198" s="5">
        <f>IF(DiscreteStatsTable[[#This Row],[RepsRequested]]=DiscreteStatsTable[[#This Row],[RepsWithStatObserved]],1,0)</f>
        <v>1</v>
      </c>
    </row>
    <row r="199" spans="1:25" x14ac:dyDescent="0.25">
      <c r="A199" t="s">
        <v>67</v>
      </c>
      <c r="B199" t="s">
        <v>69</v>
      </c>
      <c r="C199">
        <v>8</v>
      </c>
      <c r="D199" t="s">
        <v>88</v>
      </c>
      <c r="E199" t="s">
        <v>89</v>
      </c>
      <c r="F199" t="s">
        <v>90</v>
      </c>
      <c r="G199">
        <v>183.69945648489201</v>
      </c>
      <c r="H199">
        <v>6.0949151454708002</v>
      </c>
      <c r="I199">
        <v>86.722952500858796</v>
      </c>
      <c r="J199">
        <v>595.77108914125699</v>
      </c>
      <c r="K199">
        <v>13813</v>
      </c>
      <c r="L199" s="5" t="str">
        <f>DiscreteStatsTable[[#This Row],[ProjectName]]&amp;DiscreteStatsTable[[#This Row],[Name]]&amp;DiscreteStatsTable[[#This Row],[Type]]&amp;DiscreteStatsTable[[#This Row],[Source]]</f>
        <v>Unnamed ProjectPartType1SysTimeNoneUser Specified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10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183.0256097970736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3.1234555826241972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2.2343855215228454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178.556232109566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188.13777577457799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85.085463017283502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801.14163618703606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13723.7</v>
      </c>
      <c r="W199" s="5">
        <f>IF((DiscreteStatsTable[[#This Row],[RepsRequested]]&gt;1),DiscreteStatsTable[[#This Row],[HalfWidth]],DiscreteStatsTable[[#This Row],[BatchMeansHalfWidth]])</f>
        <v>2.2343855215228454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10</v>
      </c>
      <c r="Y199" s="5">
        <f>IF(DiscreteStatsTable[[#This Row],[RepsRequested]]=DiscreteStatsTable[[#This Row],[RepsWithStatObserved]],1,0)</f>
        <v>1</v>
      </c>
    </row>
    <row r="200" spans="1:25" x14ac:dyDescent="0.25">
      <c r="A200" t="s">
        <v>67</v>
      </c>
      <c r="B200" t="s">
        <v>69</v>
      </c>
      <c r="C200">
        <v>9</v>
      </c>
      <c r="D200" t="s">
        <v>88</v>
      </c>
      <c r="E200" t="s">
        <v>89</v>
      </c>
      <c r="F200" t="s">
        <v>90</v>
      </c>
      <c r="G200">
        <v>181.06280159425799</v>
      </c>
      <c r="H200">
        <v>6.2592198425611798</v>
      </c>
      <c r="I200">
        <v>85.085463017283502</v>
      </c>
      <c r="J200">
        <v>613.00383878417801</v>
      </c>
      <c r="K200">
        <v>13777</v>
      </c>
      <c r="L200" s="5" t="str">
        <f>DiscreteStatsTable[[#This Row],[ProjectName]]&amp;DiscreteStatsTable[[#This Row],[Name]]&amp;DiscreteStatsTable[[#This Row],[Type]]&amp;DiscreteStatsTable[[#This Row],[Source]]</f>
        <v>Unnamed ProjectPartType1SysTimeNoneUser Specified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10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183.0256097970736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3.1234555826241972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2.2343855215228454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178.556232109566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188.13777577457799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85.085463017283502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801.14163618703606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13723.7</v>
      </c>
      <c r="W200" s="5">
        <f>IF((DiscreteStatsTable[[#This Row],[RepsRequested]]&gt;1),DiscreteStatsTable[[#This Row],[HalfWidth]],DiscreteStatsTable[[#This Row],[BatchMeansHalfWidth]])</f>
        <v>2.2343855215228454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10</v>
      </c>
      <c r="Y200" s="5">
        <f>IF(DiscreteStatsTable[[#This Row],[RepsRequested]]=DiscreteStatsTable[[#This Row],[RepsWithStatObserved]],1,0)</f>
        <v>1</v>
      </c>
    </row>
    <row r="201" spans="1:25" x14ac:dyDescent="0.25">
      <c r="A201" t="s">
        <v>67</v>
      </c>
      <c r="B201" t="s">
        <v>69</v>
      </c>
      <c r="C201">
        <v>10</v>
      </c>
      <c r="D201" t="s">
        <v>88</v>
      </c>
      <c r="E201" t="s">
        <v>89</v>
      </c>
      <c r="F201" t="s">
        <v>90</v>
      </c>
      <c r="G201">
        <v>180.97768250432799</v>
      </c>
      <c r="H201">
        <v>7.25847302505204</v>
      </c>
      <c r="I201">
        <v>88.979948193125907</v>
      </c>
      <c r="J201">
        <v>613.83094543576601</v>
      </c>
      <c r="K201">
        <v>13706</v>
      </c>
      <c r="L201" s="5" t="str">
        <f>DiscreteStatsTable[[#This Row],[ProjectName]]&amp;DiscreteStatsTable[[#This Row],[Name]]&amp;DiscreteStatsTable[[#This Row],[Type]]&amp;DiscreteStatsTable[[#This Row],[Source]]</f>
        <v>Unnamed ProjectPartType1SysTimeNoneUser Specified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10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183.0256097970736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3.1234555826241972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2.2343855215228454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178.556232109566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188.13777577457799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85.085463017283502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801.14163618703606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13723.7</v>
      </c>
      <c r="W201" s="5">
        <f>IF((DiscreteStatsTable[[#This Row],[RepsRequested]]&gt;1),DiscreteStatsTable[[#This Row],[HalfWidth]],DiscreteStatsTable[[#This Row],[BatchMeansHalfWidth]])</f>
        <v>2.2343855215228454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10</v>
      </c>
      <c r="Y201" s="5">
        <f>IF(DiscreteStatsTable[[#This Row],[RepsRequested]]=DiscreteStatsTable[[#This Row],[RepsWithStatObserved]],1,0)</f>
        <v>1</v>
      </c>
    </row>
    <row r="202" spans="1:25" x14ac:dyDescent="0.25">
      <c r="A202" t="s">
        <v>67</v>
      </c>
      <c r="B202" t="s">
        <v>69</v>
      </c>
      <c r="C202">
        <v>1</v>
      </c>
      <c r="D202" t="s">
        <v>91</v>
      </c>
      <c r="E202" t="s">
        <v>89</v>
      </c>
      <c r="F202" t="s">
        <v>90</v>
      </c>
      <c r="G202">
        <v>223.72699876419301</v>
      </c>
      <c r="H202">
        <v>7.8388958893684997</v>
      </c>
      <c r="I202">
        <v>105.74118321517</v>
      </c>
      <c r="J202">
        <v>617.61406575056003</v>
      </c>
      <c r="K202">
        <v>5954</v>
      </c>
      <c r="L202" s="5" t="str">
        <f>DiscreteStatsTable[[#This Row],[ProjectName]]&amp;DiscreteStatsTable[[#This Row],[Name]]&amp;DiscreteStatsTable[[#This Row],[Type]]&amp;DiscreteStatsTable[[#This Row],[Source]]</f>
        <v>Unnamed ProjectPartType2SysTimeNoneUser Specified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10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221.72862363811799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4.0577244205184302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2.9027211867436722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215.11579089224901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228.600057561574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103.587534622755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845.65217638315505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5893</v>
      </c>
      <c r="W202" s="5">
        <f>IF((DiscreteStatsTable[[#This Row],[RepsRequested]]&gt;1),DiscreteStatsTable[[#This Row],[HalfWidth]],DiscreteStatsTable[[#This Row],[BatchMeansHalfWidth]])</f>
        <v>2.9027211867436722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10</v>
      </c>
      <c r="Y202" s="5">
        <f>IF(DiscreteStatsTable[[#This Row],[RepsRequested]]=DiscreteStatsTable[[#This Row],[RepsWithStatObserved]],1,0)</f>
        <v>1</v>
      </c>
    </row>
    <row r="203" spans="1:25" x14ac:dyDescent="0.25">
      <c r="A203" t="s">
        <v>67</v>
      </c>
      <c r="B203" t="s">
        <v>69</v>
      </c>
      <c r="C203">
        <v>2</v>
      </c>
      <c r="D203" t="s">
        <v>91</v>
      </c>
      <c r="E203" t="s">
        <v>89</v>
      </c>
      <c r="F203" t="s">
        <v>90</v>
      </c>
      <c r="G203">
        <v>221.95488944844601</v>
      </c>
      <c r="H203">
        <v>6.5744659902720004</v>
      </c>
      <c r="I203">
        <v>108.69057331330301</v>
      </c>
      <c r="J203">
        <v>614.500025696085</v>
      </c>
      <c r="K203">
        <v>5896</v>
      </c>
      <c r="L203" s="5" t="str">
        <f>DiscreteStatsTable[[#This Row],[ProjectName]]&amp;DiscreteStatsTable[[#This Row],[Name]]&amp;DiscreteStatsTable[[#This Row],[Type]]&amp;DiscreteStatsTable[[#This Row],[Source]]</f>
        <v>Unnamed ProjectPartType2SysTimeNoneUser Specified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10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221.72862363811799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4.0577244205184302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2.9027211867436722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215.11579089224901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228.600057561574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103.587534622755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845.65217638315505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5893</v>
      </c>
      <c r="W203" s="5">
        <f>IF((DiscreteStatsTable[[#This Row],[RepsRequested]]&gt;1),DiscreteStatsTable[[#This Row],[HalfWidth]],DiscreteStatsTable[[#This Row],[BatchMeansHalfWidth]])</f>
        <v>2.9027211867436722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10</v>
      </c>
      <c r="Y203" s="5">
        <f>IF(DiscreteStatsTable[[#This Row],[RepsRequested]]=DiscreteStatsTable[[#This Row],[RepsWithStatObserved]],1,0)</f>
        <v>1</v>
      </c>
    </row>
    <row r="204" spans="1:25" x14ac:dyDescent="0.25">
      <c r="A204" t="s">
        <v>67</v>
      </c>
      <c r="B204" t="s">
        <v>69</v>
      </c>
      <c r="C204">
        <v>3</v>
      </c>
      <c r="D204" t="s">
        <v>91</v>
      </c>
      <c r="E204" t="s">
        <v>89</v>
      </c>
      <c r="F204" t="s">
        <v>90</v>
      </c>
      <c r="G204">
        <v>215.11579089224901</v>
      </c>
      <c r="H204">
        <v>4.7284040846651001</v>
      </c>
      <c r="I204">
        <v>108.61985962255901</v>
      </c>
      <c r="J204">
        <v>660.65861487732002</v>
      </c>
      <c r="K204">
        <v>5736</v>
      </c>
      <c r="L204" s="5" t="str">
        <f>DiscreteStatsTable[[#This Row],[ProjectName]]&amp;DiscreteStatsTable[[#This Row],[Name]]&amp;DiscreteStatsTable[[#This Row],[Type]]&amp;DiscreteStatsTable[[#This Row],[Source]]</f>
        <v>Unnamed ProjectPartType2SysTimeNoneUser Specified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10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221.72862363811799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4.0577244205184302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2.9027211867436722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215.11579089224901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228.600057561574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103.587534622755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845.65217638315505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5893</v>
      </c>
      <c r="W204" s="5">
        <f>IF((DiscreteStatsTable[[#This Row],[RepsRequested]]&gt;1),DiscreteStatsTable[[#This Row],[HalfWidth]],DiscreteStatsTable[[#This Row],[BatchMeansHalfWidth]])</f>
        <v>2.9027211867436722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10</v>
      </c>
      <c r="Y204" s="5">
        <f>IF(DiscreteStatsTable[[#This Row],[RepsRequested]]=DiscreteStatsTable[[#This Row],[RepsWithStatObserved]],1,0)</f>
        <v>1</v>
      </c>
    </row>
    <row r="205" spans="1:25" x14ac:dyDescent="0.25">
      <c r="A205" t="s">
        <v>67</v>
      </c>
      <c r="B205" t="s">
        <v>69</v>
      </c>
      <c r="C205">
        <v>4</v>
      </c>
      <c r="D205" t="s">
        <v>91</v>
      </c>
      <c r="E205" t="s">
        <v>89</v>
      </c>
      <c r="F205" t="s">
        <v>90</v>
      </c>
      <c r="G205">
        <v>226.31936130523599</v>
      </c>
      <c r="H205">
        <v>5.7643674207634499</v>
      </c>
      <c r="I205">
        <v>107.79046454117599</v>
      </c>
      <c r="J205">
        <v>622.06068711943203</v>
      </c>
      <c r="K205">
        <v>6052</v>
      </c>
      <c r="L205" s="5" t="str">
        <f>DiscreteStatsTable[[#This Row],[ProjectName]]&amp;DiscreteStatsTable[[#This Row],[Name]]&amp;DiscreteStatsTable[[#This Row],[Type]]&amp;DiscreteStatsTable[[#This Row],[Source]]</f>
        <v>Unnamed ProjectPartType2SysTimeNoneUser Specified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10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221.72862363811799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4.0577244205184302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2.9027211867436722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215.11579089224901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228.600057561574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103.587534622755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845.65217638315505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5893</v>
      </c>
      <c r="W205" s="5">
        <f>IF((DiscreteStatsTable[[#This Row],[RepsRequested]]&gt;1),DiscreteStatsTable[[#This Row],[HalfWidth]],DiscreteStatsTable[[#This Row],[BatchMeansHalfWidth]])</f>
        <v>2.9027211867436722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10</v>
      </c>
      <c r="Y205" s="5">
        <f>IF(DiscreteStatsTable[[#This Row],[RepsRequested]]=DiscreteStatsTable[[#This Row],[RepsWithStatObserved]],1,0)</f>
        <v>1</v>
      </c>
    </row>
    <row r="206" spans="1:25" x14ac:dyDescent="0.25">
      <c r="A206" t="s">
        <v>67</v>
      </c>
      <c r="B206" t="s">
        <v>69</v>
      </c>
      <c r="C206">
        <v>5</v>
      </c>
      <c r="D206" t="s">
        <v>91</v>
      </c>
      <c r="E206" t="s">
        <v>89</v>
      </c>
      <c r="F206" t="s">
        <v>90</v>
      </c>
      <c r="G206">
        <v>224.22133341036701</v>
      </c>
      <c r="H206">
        <v>12.383485391728501</v>
      </c>
      <c r="I206">
        <v>110.47149549855401</v>
      </c>
      <c r="J206">
        <v>845.65217638315505</v>
      </c>
      <c r="K206">
        <v>5821</v>
      </c>
      <c r="L206" s="5" t="str">
        <f>DiscreteStatsTable[[#This Row],[ProjectName]]&amp;DiscreteStatsTable[[#This Row],[Name]]&amp;DiscreteStatsTable[[#This Row],[Type]]&amp;DiscreteStatsTable[[#This Row],[Source]]</f>
        <v>Unnamed ProjectPartType2SysTimeNoneUser Specified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10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221.72862363811799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4.0577244205184302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2.9027211867436722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215.11579089224901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228.600057561574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103.587534622755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845.65217638315505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5893</v>
      </c>
      <c r="W206" s="5">
        <f>IF((DiscreteStatsTable[[#This Row],[RepsRequested]]&gt;1),DiscreteStatsTable[[#This Row],[HalfWidth]],DiscreteStatsTable[[#This Row],[BatchMeansHalfWidth]])</f>
        <v>2.9027211867436722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10</v>
      </c>
      <c r="Y206" s="5">
        <f>IF(DiscreteStatsTable[[#This Row],[RepsRequested]]=DiscreteStatsTable[[#This Row],[RepsWithStatObserved]],1,0)</f>
        <v>1</v>
      </c>
    </row>
    <row r="207" spans="1:25" x14ac:dyDescent="0.25">
      <c r="A207" t="s">
        <v>67</v>
      </c>
      <c r="B207" t="s">
        <v>69</v>
      </c>
      <c r="C207">
        <v>6</v>
      </c>
      <c r="D207" t="s">
        <v>91</v>
      </c>
      <c r="E207" t="s">
        <v>89</v>
      </c>
      <c r="F207" t="s">
        <v>90</v>
      </c>
      <c r="G207">
        <v>228.600057561574</v>
      </c>
      <c r="H207">
        <v>8.0488582512725202</v>
      </c>
      <c r="I207">
        <v>103.587534622755</v>
      </c>
      <c r="J207">
        <v>724.16217129986001</v>
      </c>
      <c r="K207">
        <v>5986</v>
      </c>
      <c r="L207" s="5" t="str">
        <f>DiscreteStatsTable[[#This Row],[ProjectName]]&amp;DiscreteStatsTable[[#This Row],[Name]]&amp;DiscreteStatsTable[[#This Row],[Type]]&amp;DiscreteStatsTable[[#This Row],[Source]]</f>
        <v>Unnamed ProjectPartType2SysTimeNoneUser Specified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10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221.72862363811799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4.0577244205184302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2.9027211867436722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215.11579089224901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228.600057561574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103.587534622755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845.65217638315505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5893</v>
      </c>
      <c r="W207" s="5">
        <f>IF((DiscreteStatsTable[[#This Row],[RepsRequested]]&gt;1),DiscreteStatsTable[[#This Row],[HalfWidth]],DiscreteStatsTable[[#This Row],[BatchMeansHalfWidth]])</f>
        <v>2.9027211867436722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10</v>
      </c>
      <c r="Y207" s="5">
        <f>IF(DiscreteStatsTable[[#This Row],[RepsRequested]]=DiscreteStatsTable[[#This Row],[RepsWithStatObserved]],1,0)</f>
        <v>1</v>
      </c>
    </row>
    <row r="208" spans="1:25" x14ac:dyDescent="0.25">
      <c r="A208" t="s">
        <v>67</v>
      </c>
      <c r="B208" t="s">
        <v>69</v>
      </c>
      <c r="C208">
        <v>7</v>
      </c>
      <c r="D208" t="s">
        <v>91</v>
      </c>
      <c r="E208" t="s">
        <v>89</v>
      </c>
      <c r="F208" t="s">
        <v>90</v>
      </c>
      <c r="G208">
        <v>219.200466290674</v>
      </c>
      <c r="H208">
        <v>8.3018384966579006</v>
      </c>
      <c r="I208">
        <v>111.52647618972701</v>
      </c>
      <c r="J208">
        <v>817.73990990815196</v>
      </c>
      <c r="K208">
        <v>5934</v>
      </c>
      <c r="L208" s="5" t="str">
        <f>DiscreteStatsTable[[#This Row],[ProjectName]]&amp;DiscreteStatsTable[[#This Row],[Name]]&amp;DiscreteStatsTable[[#This Row],[Type]]&amp;DiscreteStatsTable[[#This Row],[Source]]</f>
        <v>Unnamed ProjectPartType2SysTimeNoneUser Specified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10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221.72862363811799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4.0577244205184302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2.9027211867436722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215.11579089224901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228.600057561574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103.587534622755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845.65217638315505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5893</v>
      </c>
      <c r="W208" s="5">
        <f>IF((DiscreteStatsTable[[#This Row],[RepsRequested]]&gt;1),DiscreteStatsTable[[#This Row],[HalfWidth]],DiscreteStatsTable[[#This Row],[BatchMeansHalfWidth]])</f>
        <v>2.9027211867436722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10</v>
      </c>
      <c r="Y208" s="5">
        <f>IF(DiscreteStatsTable[[#This Row],[RepsRequested]]=DiscreteStatsTable[[#This Row],[RepsWithStatObserved]],1,0)</f>
        <v>1</v>
      </c>
    </row>
    <row r="209" spans="1:25" x14ac:dyDescent="0.25">
      <c r="A209" t="s">
        <v>67</v>
      </c>
      <c r="B209" t="s">
        <v>69</v>
      </c>
      <c r="C209">
        <v>8</v>
      </c>
      <c r="D209" t="s">
        <v>91</v>
      </c>
      <c r="E209" t="s">
        <v>89</v>
      </c>
      <c r="F209" t="s">
        <v>90</v>
      </c>
      <c r="G209">
        <v>220.77678031751199</v>
      </c>
      <c r="H209">
        <v>4.7304205991735202</v>
      </c>
      <c r="I209">
        <v>110.18832961952999</v>
      </c>
      <c r="J209">
        <v>639.12123771314498</v>
      </c>
      <c r="K209">
        <v>5883</v>
      </c>
      <c r="L209" s="5" t="str">
        <f>DiscreteStatsTable[[#This Row],[ProjectName]]&amp;DiscreteStatsTable[[#This Row],[Name]]&amp;DiscreteStatsTable[[#This Row],[Type]]&amp;DiscreteStatsTable[[#This Row],[Source]]</f>
        <v>Unnamed ProjectPartType2SysTimeNoneUser Specified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10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221.72862363811799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4.0577244205184302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2.9027211867436722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215.11579089224901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228.600057561574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103.587534622755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845.65217638315505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5893</v>
      </c>
      <c r="W209" s="5">
        <f>IF((DiscreteStatsTable[[#This Row],[RepsRequested]]&gt;1),DiscreteStatsTable[[#This Row],[HalfWidth]],DiscreteStatsTable[[#This Row],[BatchMeansHalfWidth]])</f>
        <v>2.9027211867436722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10</v>
      </c>
      <c r="Y209" s="5">
        <f>IF(DiscreteStatsTable[[#This Row],[RepsRequested]]=DiscreteStatsTable[[#This Row],[RepsWithStatObserved]],1,0)</f>
        <v>1</v>
      </c>
    </row>
    <row r="210" spans="1:25" x14ac:dyDescent="0.25">
      <c r="A210" t="s">
        <v>67</v>
      </c>
      <c r="B210" t="s">
        <v>69</v>
      </c>
      <c r="C210">
        <v>9</v>
      </c>
      <c r="D210" t="s">
        <v>91</v>
      </c>
      <c r="E210" t="s">
        <v>89</v>
      </c>
      <c r="F210" t="s">
        <v>90</v>
      </c>
      <c r="G210">
        <v>218.89184201219101</v>
      </c>
      <c r="H210">
        <v>7.9232015747553701</v>
      </c>
      <c r="I210">
        <v>110.453265810269</v>
      </c>
      <c r="J210">
        <v>635.86683304997905</v>
      </c>
      <c r="K210">
        <v>5844</v>
      </c>
      <c r="L210" s="5" t="str">
        <f>DiscreteStatsTable[[#This Row],[ProjectName]]&amp;DiscreteStatsTable[[#This Row],[Name]]&amp;DiscreteStatsTable[[#This Row],[Type]]&amp;DiscreteStatsTable[[#This Row],[Source]]</f>
        <v>Unnamed ProjectPartType2SysTimeNoneUser Specified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10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221.72862363811799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4.0577244205184302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2.9027211867436722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215.11579089224901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228.600057561574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103.587534622755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845.65217638315505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5893</v>
      </c>
      <c r="W210" s="5">
        <f>IF((DiscreteStatsTable[[#This Row],[RepsRequested]]&gt;1),DiscreteStatsTable[[#This Row],[HalfWidth]],DiscreteStatsTable[[#This Row],[BatchMeansHalfWidth]])</f>
        <v>2.9027211867436722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10</v>
      </c>
      <c r="Y210" s="5">
        <f>IF(DiscreteStatsTable[[#This Row],[RepsRequested]]=DiscreteStatsTable[[#This Row],[RepsWithStatObserved]],1,0)</f>
        <v>1</v>
      </c>
    </row>
    <row r="211" spans="1:25" x14ac:dyDescent="0.25">
      <c r="A211" t="s">
        <v>67</v>
      </c>
      <c r="B211" t="s">
        <v>69</v>
      </c>
      <c r="C211">
        <v>10</v>
      </c>
      <c r="D211" t="s">
        <v>91</v>
      </c>
      <c r="E211" t="s">
        <v>89</v>
      </c>
      <c r="F211" t="s">
        <v>90</v>
      </c>
      <c r="G211">
        <v>218.478716378738</v>
      </c>
      <c r="H211">
        <v>7.0145154128380396</v>
      </c>
      <c r="I211">
        <v>110.820874727331</v>
      </c>
      <c r="J211">
        <v>697.31718773476302</v>
      </c>
      <c r="K211">
        <v>5824</v>
      </c>
      <c r="L211" s="5" t="str">
        <f>DiscreteStatsTable[[#This Row],[ProjectName]]&amp;DiscreteStatsTable[[#This Row],[Name]]&amp;DiscreteStatsTable[[#This Row],[Type]]&amp;DiscreteStatsTable[[#This Row],[Source]]</f>
        <v>Unnamed ProjectPartType2SysTimeNoneUser Specified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10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221.72862363811799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4.0577244205184302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2.9027211867436722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215.11579089224901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228.600057561574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103.587534622755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845.65217638315505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5893</v>
      </c>
      <c r="W211" s="5">
        <f>IF((DiscreteStatsTable[[#This Row],[RepsRequested]]&gt;1),DiscreteStatsTable[[#This Row],[HalfWidth]],DiscreteStatsTable[[#This Row],[BatchMeansHalfWidth]])</f>
        <v>2.9027211867436722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10</v>
      </c>
      <c r="Y211" s="5">
        <f>IF(DiscreteStatsTable[[#This Row],[RepsRequested]]=DiscreteStatsTable[[#This Row],[RepsWithStatObserved]],1,0)</f>
        <v>1</v>
      </c>
    </row>
    <row r="212" spans="1:25" x14ac:dyDescent="0.25">
      <c r="A212" t="s">
        <v>67</v>
      </c>
      <c r="B212" t="s">
        <v>69</v>
      </c>
      <c r="C212">
        <v>1</v>
      </c>
      <c r="D212" t="s">
        <v>92</v>
      </c>
      <c r="E212" t="s">
        <v>93</v>
      </c>
      <c r="F212" t="s">
        <v>90</v>
      </c>
      <c r="G212">
        <v>195.0101804354</v>
      </c>
      <c r="H212">
        <v>6.9999372045681003</v>
      </c>
      <c r="I212">
        <v>87.986685381154501</v>
      </c>
      <c r="J212">
        <v>617.61406575056003</v>
      </c>
      <c r="K212">
        <v>19451</v>
      </c>
      <c r="L212" s="5" t="str">
        <f>DiscreteStatsTable[[#This Row],[ProjectName]]&amp;DiscreteStatsTable[[#This Row],[Name]]&amp;DiscreteStatsTable[[#This Row],[Type]]&amp;DiscreteStatsTable[[#This Row],[Source]]</f>
        <v>Unnamed ProjectSystemTimeTallyIntervalUser Specified</v>
      </c>
      <c r="M212" s="5" cm="1">
        <f t="array" ref="M212">MAX(IF((ProjectInfoTable[ProjectName]=DiscreteStatsTable[[#This Row],[ProjectName]]),(ProjectInfoTable[ProjectName]=DiscreteStatsTable[[#This Row],[ProjectName]])*ProjectInfoTable[NumberOfReplications]))</f>
        <v>10</v>
      </c>
      <c r="N212" s="5" cm="1">
        <f t="array" ref="N212">IFERROR(AVERAGE(IF((DiscreteStatsTable[GroupByKey]=DiscreteStatsTable[[#This Row],[GroupByKey]]),(DiscreteStatsTable[GroupByKey]=DiscreteStatsTable[[#This Row],[GroupByKey]])*DiscreteStatsTable[Average])),0)</f>
        <v>194.65511627766719</v>
      </c>
      <c r="O212" s="5" cm="1">
        <f t="array" ref="O212">IFERROR(_xlfn.STDEV.S(IF((DiscreteStatsTable[GroupByKey]=DiscreteStatsTable[[#This Row],[GroupByKey]]),(DiscreteStatsTable[GroupByKey]=DiscreteStatsTable[[#This Row],[GroupByKey]])*DiscreteStatsTable[Average])),0)</f>
        <v>3.4149964152087802</v>
      </c>
      <c r="P212" s="5" cm="1">
        <f t="array" ref="P212">MAX(IF((ProjectInfoTable[ProjectName]=DiscreteStatsTable[[#This Row],[ProjectName]]),(ProjectInfoTable[ProjectName]=DiscreteStatsTable[[#This Row],[ProjectName]])*ProjectInfoTable[ConfidenceInterval]))</f>
        <v>0.95</v>
      </c>
      <c r="Q212" s="5">
        <f>IF(AND(DiscreteStatsTable[[#This Row],[RepsWithStatObserved]]=1,Y212=0),200000000000000000000,IFERROR(_xlfn.T.INV.2T(1 -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2.4429412694846642</v>
      </c>
      <c r="R212" s="5" cm="1">
        <f t="array" ref="R212">MIN(IF((DiscreteStatsTable[GroupByKey]=DiscreteStatsTable[[#This Row],[GroupByKey]]),(DiscreteStatsTable[GroupByKey]=DiscreteStatsTable[[#This Row],[GroupByKey]])*DiscreteStatsTable[Average]))</f>
        <v>189.36023155199101</v>
      </c>
      <c r="S212" s="5" cm="1">
        <f t="array" ref="S212">MAX(IF((DiscreteStatsTable[GroupByKey]=DiscreteStatsTable[[#This Row],[GroupByKey]]),(DiscreteStatsTable[GroupByKey]=DiscreteStatsTable[[#This Row],[GroupByKey]])*DiscreteStatsTable[Average]))</f>
        <v>200.195757212735</v>
      </c>
      <c r="T212" s="5" cm="1">
        <f t="array" ref="T212">MIN(IF((DiscreteStatsTable[GroupByKey]=DiscreteStatsTable[[#This Row],[GroupByKey]]),(DiscreteStatsTable[GroupByKey]=DiscreteStatsTable[[#This Row],[GroupByKey]])*DiscreteStatsTable[Minimum]))</f>
        <v>85.085463017283502</v>
      </c>
      <c r="U212" s="5" cm="1">
        <f t="array" ref="U212">MAX(IF((DiscreteStatsTable[GroupByKey]=DiscreteStatsTable[[#This Row],[GroupByKey]]),(DiscreteStatsTable[GroupByKey]=DiscreteStatsTable[[#This Row],[GroupByKey]])*DiscreteStatsTable[Maximum]))</f>
        <v>845.65217638315505</v>
      </c>
      <c r="V212" s="5" cm="1">
        <f t="array" ref="V212">IFERROR(AVERAGE(IF((DiscreteStatsTable[GroupByKey]=DiscreteStatsTable[[#This Row],[GroupByKey]]),(DiscreteStatsTable[GroupByKey]=DiscreteStatsTable[[#This Row],[GroupByKey]])*DiscreteStatsTable[NumberObservations])),0)</f>
        <v>19616.7</v>
      </c>
      <c r="W212" s="5">
        <f>IF((DiscreteStatsTable[[#This Row],[RepsRequested]]&gt;1),DiscreteStatsTable[[#This Row],[HalfWidth]],DiscreteStatsTable[[#This Row],[BatchMeansHalfWidth]])</f>
        <v>2.4429412694846642</v>
      </c>
      <c r="X212" s="5" cm="1">
        <f t="array" ref="X212">COUNT(IF((DiscreteStatsTable[GroupByKey]=DiscreteStatsTable[[#This Row],[GroupByKey]]),(DiscreteStatsTable[GroupByKey]=DiscreteStatsTable[[#This Row],[GroupByKey]])*DiscreteStatsTable[Replication]))</f>
        <v>10</v>
      </c>
      <c r="Y212" s="5">
        <f>IF(DiscreteStatsTable[[#This Row],[RepsRequested]]=DiscreteStatsTable[[#This Row],[RepsWithStatObserved]],1,0)</f>
        <v>1</v>
      </c>
    </row>
    <row r="213" spans="1:25" x14ac:dyDescent="0.25">
      <c r="A213" t="s">
        <v>67</v>
      </c>
      <c r="B213" t="s">
        <v>69</v>
      </c>
      <c r="C213">
        <v>2</v>
      </c>
      <c r="D213" t="s">
        <v>92</v>
      </c>
      <c r="E213" t="s">
        <v>93</v>
      </c>
      <c r="F213" t="s">
        <v>90</v>
      </c>
      <c r="G213">
        <v>194.04090940191799</v>
      </c>
      <c r="H213">
        <v>6.4390083999106196</v>
      </c>
      <c r="I213">
        <v>85.827310976281296</v>
      </c>
      <c r="J213">
        <v>614.500025696085</v>
      </c>
      <c r="K213">
        <v>19619</v>
      </c>
      <c r="L213" s="5" t="str">
        <f>DiscreteStatsTable[[#This Row],[ProjectName]]&amp;DiscreteStatsTable[[#This Row],[Name]]&amp;DiscreteStatsTable[[#This Row],[Type]]&amp;DiscreteStatsTable[[#This Row],[Source]]</f>
        <v>Unnamed ProjectSystemTimeTallyIntervalUser Specified</v>
      </c>
      <c r="M213" s="5" cm="1">
        <f t="array" ref="M213">MAX(IF((ProjectInfoTable[ProjectName]=DiscreteStatsTable[[#This Row],[ProjectName]]),(ProjectInfoTable[ProjectName]=DiscreteStatsTable[[#This Row],[ProjectName]])*ProjectInfoTable[NumberOfReplications]))</f>
        <v>10</v>
      </c>
      <c r="N213" s="5" cm="1">
        <f t="array" ref="N213">IFERROR(AVERAGE(IF((DiscreteStatsTable[GroupByKey]=DiscreteStatsTable[[#This Row],[GroupByKey]]),(DiscreteStatsTable[GroupByKey]=DiscreteStatsTable[[#This Row],[GroupByKey]])*DiscreteStatsTable[Average])),0)</f>
        <v>194.65511627766719</v>
      </c>
      <c r="O213" s="5" cm="1">
        <f t="array" ref="O213">IFERROR(_xlfn.STDEV.S(IF((DiscreteStatsTable[GroupByKey]=DiscreteStatsTable[[#This Row],[GroupByKey]]),(DiscreteStatsTable[GroupByKey]=DiscreteStatsTable[[#This Row],[GroupByKey]])*DiscreteStatsTable[Average])),0)</f>
        <v>3.4149964152087802</v>
      </c>
      <c r="P213" s="5" cm="1">
        <f t="array" ref="P213">MAX(IF((ProjectInfoTable[ProjectName]=DiscreteStatsTable[[#This Row],[ProjectName]]),(ProjectInfoTable[ProjectName]=DiscreteStatsTable[[#This Row],[ProjectName]])*ProjectInfoTable[ConfidenceInterval]))</f>
        <v>0.95</v>
      </c>
      <c r="Q213" s="5">
        <f>IF(AND(DiscreteStatsTable[[#This Row],[RepsWithStatObserved]]=1,Y213=0),200000000000000000000,IFERROR(_xlfn.T.INV.2T(1 -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2.4429412694846642</v>
      </c>
      <c r="R213" s="5" cm="1">
        <f t="array" ref="R213">MIN(IF((DiscreteStatsTable[GroupByKey]=DiscreteStatsTable[[#This Row],[GroupByKey]]),(DiscreteStatsTable[GroupByKey]=DiscreteStatsTable[[#This Row],[GroupByKey]])*DiscreteStatsTable[Average]))</f>
        <v>189.36023155199101</v>
      </c>
      <c r="S213" s="5" cm="1">
        <f t="array" ref="S213">MAX(IF((DiscreteStatsTable[GroupByKey]=DiscreteStatsTable[[#This Row],[GroupByKey]]),(DiscreteStatsTable[GroupByKey]=DiscreteStatsTable[[#This Row],[GroupByKey]])*DiscreteStatsTable[Average]))</f>
        <v>200.195757212735</v>
      </c>
      <c r="T213" s="5" cm="1">
        <f t="array" ref="T213">MIN(IF((DiscreteStatsTable[GroupByKey]=DiscreteStatsTable[[#This Row],[GroupByKey]]),(DiscreteStatsTable[GroupByKey]=DiscreteStatsTable[[#This Row],[GroupByKey]])*DiscreteStatsTable[Minimum]))</f>
        <v>85.085463017283502</v>
      </c>
      <c r="U213" s="5" cm="1">
        <f t="array" ref="U213">MAX(IF((DiscreteStatsTable[GroupByKey]=DiscreteStatsTable[[#This Row],[GroupByKey]]),(DiscreteStatsTable[GroupByKey]=DiscreteStatsTable[[#This Row],[GroupByKey]])*DiscreteStatsTable[Maximum]))</f>
        <v>845.65217638315505</v>
      </c>
      <c r="V213" s="5" cm="1">
        <f t="array" ref="V213">IFERROR(AVERAGE(IF((DiscreteStatsTable[GroupByKey]=DiscreteStatsTable[[#This Row],[GroupByKey]]),(DiscreteStatsTable[GroupByKey]=DiscreteStatsTable[[#This Row],[GroupByKey]])*DiscreteStatsTable[NumberObservations])),0)</f>
        <v>19616.7</v>
      </c>
      <c r="W213" s="5">
        <f>IF((DiscreteStatsTable[[#This Row],[RepsRequested]]&gt;1),DiscreteStatsTable[[#This Row],[HalfWidth]],DiscreteStatsTable[[#This Row],[BatchMeansHalfWidth]])</f>
        <v>2.4429412694846642</v>
      </c>
      <c r="X213" s="5" cm="1">
        <f t="array" ref="X213">COUNT(IF((DiscreteStatsTable[GroupByKey]=DiscreteStatsTable[[#This Row],[GroupByKey]]),(DiscreteStatsTable[GroupByKey]=DiscreteStatsTable[[#This Row],[GroupByKey]])*DiscreteStatsTable[Replication]))</f>
        <v>10</v>
      </c>
      <c r="Y213" s="5">
        <f>IF(DiscreteStatsTable[[#This Row],[RepsRequested]]=DiscreteStatsTable[[#This Row],[RepsWithStatObserved]],1,0)</f>
        <v>1</v>
      </c>
    </row>
    <row r="214" spans="1:25" x14ac:dyDescent="0.25">
      <c r="A214" t="s">
        <v>67</v>
      </c>
      <c r="B214" t="s">
        <v>69</v>
      </c>
      <c r="C214">
        <v>3</v>
      </c>
      <c r="D214" t="s">
        <v>92</v>
      </c>
      <c r="E214" t="s">
        <v>93</v>
      </c>
      <c r="F214" t="s">
        <v>90</v>
      </c>
      <c r="G214">
        <v>189.36023155199101</v>
      </c>
      <c r="H214">
        <v>5.1322605281036298</v>
      </c>
      <c r="I214">
        <v>86.675513432215695</v>
      </c>
      <c r="J214">
        <v>660.65861487732002</v>
      </c>
      <c r="K214">
        <v>19410</v>
      </c>
      <c r="L214" s="5" t="str">
        <f>DiscreteStatsTable[[#This Row],[ProjectName]]&amp;DiscreteStatsTable[[#This Row],[Name]]&amp;DiscreteStatsTable[[#This Row],[Type]]&amp;DiscreteStatsTable[[#This Row],[Source]]</f>
        <v>Unnamed ProjectSystemTimeTallyIntervalUser Specified</v>
      </c>
      <c r="M214" s="5" cm="1">
        <f t="array" ref="M214">MAX(IF((ProjectInfoTable[ProjectName]=DiscreteStatsTable[[#This Row],[ProjectName]]),(ProjectInfoTable[ProjectName]=DiscreteStatsTable[[#This Row],[ProjectName]])*ProjectInfoTable[NumberOfReplications]))</f>
        <v>10</v>
      </c>
      <c r="N214" s="5" cm="1">
        <f t="array" ref="N214">IFERROR(AVERAGE(IF((DiscreteStatsTable[GroupByKey]=DiscreteStatsTable[[#This Row],[GroupByKey]]),(DiscreteStatsTable[GroupByKey]=DiscreteStatsTable[[#This Row],[GroupByKey]])*DiscreteStatsTable[Average])),0)</f>
        <v>194.65511627766719</v>
      </c>
      <c r="O214" s="5" cm="1">
        <f t="array" ref="O214">IFERROR(_xlfn.STDEV.S(IF((DiscreteStatsTable[GroupByKey]=DiscreteStatsTable[[#This Row],[GroupByKey]]),(DiscreteStatsTable[GroupByKey]=DiscreteStatsTable[[#This Row],[GroupByKey]])*DiscreteStatsTable[Average])),0)</f>
        <v>3.4149964152087802</v>
      </c>
      <c r="P214" s="5" cm="1">
        <f t="array" ref="P214">MAX(IF((ProjectInfoTable[ProjectName]=DiscreteStatsTable[[#This Row],[ProjectName]]),(ProjectInfoTable[ProjectName]=DiscreteStatsTable[[#This Row],[ProjectName]])*ProjectInfoTable[ConfidenceInterval]))</f>
        <v>0.95</v>
      </c>
      <c r="Q214" s="5">
        <f>IF(AND(DiscreteStatsTable[[#This Row],[RepsWithStatObserved]]=1,Y214=0),200000000000000000000,IFERROR(_xlfn.T.INV.2T(1 -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2.4429412694846642</v>
      </c>
      <c r="R214" s="5" cm="1">
        <f t="array" ref="R214">MIN(IF((DiscreteStatsTable[GroupByKey]=DiscreteStatsTable[[#This Row],[GroupByKey]]),(DiscreteStatsTable[GroupByKey]=DiscreteStatsTable[[#This Row],[GroupByKey]])*DiscreteStatsTable[Average]))</f>
        <v>189.36023155199101</v>
      </c>
      <c r="S214" s="5" cm="1">
        <f t="array" ref="S214">MAX(IF((DiscreteStatsTable[GroupByKey]=DiscreteStatsTable[[#This Row],[GroupByKey]]),(DiscreteStatsTable[GroupByKey]=DiscreteStatsTable[[#This Row],[GroupByKey]])*DiscreteStatsTable[Average]))</f>
        <v>200.195757212735</v>
      </c>
      <c r="T214" s="5" cm="1">
        <f t="array" ref="T214">MIN(IF((DiscreteStatsTable[GroupByKey]=DiscreteStatsTable[[#This Row],[GroupByKey]]),(DiscreteStatsTable[GroupByKey]=DiscreteStatsTable[[#This Row],[GroupByKey]])*DiscreteStatsTable[Minimum]))</f>
        <v>85.085463017283502</v>
      </c>
      <c r="U214" s="5" cm="1">
        <f t="array" ref="U214">MAX(IF((DiscreteStatsTable[GroupByKey]=DiscreteStatsTable[[#This Row],[GroupByKey]]),(DiscreteStatsTable[GroupByKey]=DiscreteStatsTable[[#This Row],[GroupByKey]])*DiscreteStatsTable[Maximum]))</f>
        <v>845.65217638315505</v>
      </c>
      <c r="V214" s="5" cm="1">
        <f t="array" ref="V214">IFERROR(AVERAGE(IF((DiscreteStatsTable[GroupByKey]=DiscreteStatsTable[[#This Row],[GroupByKey]]),(DiscreteStatsTable[GroupByKey]=DiscreteStatsTable[[#This Row],[GroupByKey]])*DiscreteStatsTable[NumberObservations])),0)</f>
        <v>19616.7</v>
      </c>
      <c r="W214" s="5">
        <f>IF((DiscreteStatsTable[[#This Row],[RepsRequested]]&gt;1),DiscreteStatsTable[[#This Row],[HalfWidth]],DiscreteStatsTable[[#This Row],[BatchMeansHalfWidth]])</f>
        <v>2.4429412694846642</v>
      </c>
      <c r="X214" s="5" cm="1">
        <f t="array" ref="X214">COUNT(IF((DiscreteStatsTable[GroupByKey]=DiscreteStatsTable[[#This Row],[GroupByKey]]),(DiscreteStatsTable[GroupByKey]=DiscreteStatsTable[[#This Row],[GroupByKey]])*DiscreteStatsTable[Replication]))</f>
        <v>10</v>
      </c>
      <c r="Y214" s="5">
        <f>IF(DiscreteStatsTable[[#This Row],[RepsRequested]]=DiscreteStatsTable[[#This Row],[RepsWithStatObserved]],1,0)</f>
        <v>1</v>
      </c>
    </row>
    <row r="215" spans="1:25" x14ac:dyDescent="0.25">
      <c r="A215" t="s">
        <v>67</v>
      </c>
      <c r="B215" t="s">
        <v>69</v>
      </c>
      <c r="C215">
        <v>4</v>
      </c>
      <c r="D215" t="s">
        <v>92</v>
      </c>
      <c r="E215" t="s">
        <v>93</v>
      </c>
      <c r="F215" t="s">
        <v>90</v>
      </c>
      <c r="G215">
        <v>199.74200193997501</v>
      </c>
      <c r="H215">
        <v>6.8907212020011004</v>
      </c>
      <c r="I215">
        <v>86.2837573857541</v>
      </c>
      <c r="J215">
        <v>622.06068711943203</v>
      </c>
      <c r="K215">
        <v>19913</v>
      </c>
      <c r="L215" s="5" t="str">
        <f>DiscreteStatsTable[[#This Row],[ProjectName]]&amp;DiscreteStatsTable[[#This Row],[Name]]&amp;DiscreteStatsTable[[#This Row],[Type]]&amp;DiscreteStatsTable[[#This Row],[Source]]</f>
        <v>Unnamed ProjectSystemTimeTallyIntervalUser Specified</v>
      </c>
      <c r="M215" s="5" cm="1">
        <f t="array" ref="M215">MAX(IF((ProjectInfoTable[ProjectName]=DiscreteStatsTable[[#This Row],[ProjectName]]),(ProjectInfoTable[ProjectName]=DiscreteStatsTable[[#This Row],[ProjectName]])*ProjectInfoTable[NumberOfReplications]))</f>
        <v>10</v>
      </c>
      <c r="N215" s="5" cm="1">
        <f t="array" ref="N215">IFERROR(AVERAGE(IF((DiscreteStatsTable[GroupByKey]=DiscreteStatsTable[[#This Row],[GroupByKey]]),(DiscreteStatsTable[GroupByKey]=DiscreteStatsTable[[#This Row],[GroupByKey]])*DiscreteStatsTable[Average])),0)</f>
        <v>194.65511627766719</v>
      </c>
      <c r="O215" s="5" cm="1">
        <f t="array" ref="O215">IFERROR(_xlfn.STDEV.S(IF((DiscreteStatsTable[GroupByKey]=DiscreteStatsTable[[#This Row],[GroupByKey]]),(DiscreteStatsTable[GroupByKey]=DiscreteStatsTable[[#This Row],[GroupByKey]])*DiscreteStatsTable[Average])),0)</f>
        <v>3.4149964152087802</v>
      </c>
      <c r="P215" s="5" cm="1">
        <f t="array" ref="P215">MAX(IF((ProjectInfoTable[ProjectName]=DiscreteStatsTable[[#This Row],[ProjectName]]),(ProjectInfoTable[ProjectName]=DiscreteStatsTable[[#This Row],[ProjectName]])*ProjectInfoTable[ConfidenceInterval]))</f>
        <v>0.95</v>
      </c>
      <c r="Q215" s="5">
        <f>IF(AND(DiscreteStatsTable[[#This Row],[RepsWithStatObserved]]=1,Y215=0),200000000000000000000,IFERROR(_xlfn.T.INV.2T(1 -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2.4429412694846642</v>
      </c>
      <c r="R215" s="5" cm="1">
        <f t="array" ref="R215">MIN(IF((DiscreteStatsTable[GroupByKey]=DiscreteStatsTable[[#This Row],[GroupByKey]]),(DiscreteStatsTable[GroupByKey]=DiscreteStatsTable[[#This Row],[GroupByKey]])*DiscreteStatsTable[Average]))</f>
        <v>189.36023155199101</v>
      </c>
      <c r="S215" s="5" cm="1">
        <f t="array" ref="S215">MAX(IF((DiscreteStatsTable[GroupByKey]=DiscreteStatsTable[[#This Row],[GroupByKey]]),(DiscreteStatsTable[GroupByKey]=DiscreteStatsTable[[#This Row],[GroupByKey]])*DiscreteStatsTable[Average]))</f>
        <v>200.195757212735</v>
      </c>
      <c r="T215" s="5" cm="1">
        <f t="array" ref="T215">MIN(IF((DiscreteStatsTable[GroupByKey]=DiscreteStatsTable[[#This Row],[GroupByKey]]),(DiscreteStatsTable[GroupByKey]=DiscreteStatsTable[[#This Row],[GroupByKey]])*DiscreteStatsTable[Minimum]))</f>
        <v>85.085463017283502</v>
      </c>
      <c r="U215" s="5" cm="1">
        <f t="array" ref="U215">MAX(IF((DiscreteStatsTable[GroupByKey]=DiscreteStatsTable[[#This Row],[GroupByKey]]),(DiscreteStatsTable[GroupByKey]=DiscreteStatsTable[[#This Row],[GroupByKey]])*DiscreteStatsTable[Maximum]))</f>
        <v>845.65217638315505</v>
      </c>
      <c r="V215" s="5" cm="1">
        <f t="array" ref="V215">IFERROR(AVERAGE(IF((DiscreteStatsTable[GroupByKey]=DiscreteStatsTable[[#This Row],[GroupByKey]]),(DiscreteStatsTable[GroupByKey]=DiscreteStatsTable[[#This Row],[GroupByKey]])*DiscreteStatsTable[NumberObservations])),0)</f>
        <v>19616.7</v>
      </c>
      <c r="W215" s="5">
        <f>IF((DiscreteStatsTable[[#This Row],[RepsRequested]]&gt;1),DiscreteStatsTable[[#This Row],[HalfWidth]],DiscreteStatsTable[[#This Row],[BatchMeansHalfWidth]])</f>
        <v>2.4429412694846642</v>
      </c>
      <c r="X215" s="5" cm="1">
        <f t="array" ref="X215">COUNT(IF((DiscreteStatsTable[GroupByKey]=DiscreteStatsTable[[#This Row],[GroupByKey]]),(DiscreteStatsTable[GroupByKey]=DiscreteStatsTable[[#This Row],[GroupByKey]])*DiscreteStatsTable[Replication]))</f>
        <v>10</v>
      </c>
      <c r="Y215" s="5">
        <f>IF(DiscreteStatsTable[[#This Row],[RepsRequested]]=DiscreteStatsTable[[#This Row],[RepsWithStatObserved]],1,0)</f>
        <v>1</v>
      </c>
    </row>
    <row r="216" spans="1:25" x14ac:dyDescent="0.25">
      <c r="A216" t="s">
        <v>67</v>
      </c>
      <c r="B216" t="s">
        <v>69</v>
      </c>
      <c r="C216">
        <v>5</v>
      </c>
      <c r="D216" t="s">
        <v>92</v>
      </c>
      <c r="E216" t="s">
        <v>93</v>
      </c>
      <c r="F216" t="s">
        <v>90</v>
      </c>
      <c r="G216">
        <v>196.48528410572399</v>
      </c>
      <c r="H216">
        <v>11.4162987163457</v>
      </c>
      <c r="I216">
        <v>87.040889793541297</v>
      </c>
      <c r="J216">
        <v>845.65217638315505</v>
      </c>
      <c r="K216">
        <v>19499</v>
      </c>
      <c r="L216" s="5" t="str">
        <f>DiscreteStatsTable[[#This Row],[ProjectName]]&amp;DiscreteStatsTable[[#This Row],[Name]]&amp;DiscreteStatsTable[[#This Row],[Type]]&amp;DiscreteStatsTable[[#This Row],[Source]]</f>
        <v>Unnamed ProjectSystemTimeTallyIntervalUser Specified</v>
      </c>
      <c r="M216" s="5" cm="1">
        <f t="array" ref="M216">MAX(IF((ProjectInfoTable[ProjectName]=DiscreteStatsTable[[#This Row],[ProjectName]]),(ProjectInfoTable[ProjectName]=DiscreteStatsTable[[#This Row],[ProjectName]])*ProjectInfoTable[NumberOfReplications]))</f>
        <v>10</v>
      </c>
      <c r="N216" s="5" cm="1">
        <f t="array" ref="N216">IFERROR(AVERAGE(IF((DiscreteStatsTable[GroupByKey]=DiscreteStatsTable[[#This Row],[GroupByKey]]),(DiscreteStatsTable[GroupByKey]=DiscreteStatsTable[[#This Row],[GroupByKey]])*DiscreteStatsTable[Average])),0)</f>
        <v>194.65511627766719</v>
      </c>
      <c r="O216" s="5" cm="1">
        <f t="array" ref="O216">IFERROR(_xlfn.STDEV.S(IF((DiscreteStatsTable[GroupByKey]=DiscreteStatsTable[[#This Row],[GroupByKey]]),(DiscreteStatsTable[GroupByKey]=DiscreteStatsTable[[#This Row],[GroupByKey]])*DiscreteStatsTable[Average])),0)</f>
        <v>3.4149964152087802</v>
      </c>
      <c r="P216" s="5" cm="1">
        <f t="array" ref="P216">MAX(IF((ProjectInfoTable[ProjectName]=DiscreteStatsTable[[#This Row],[ProjectName]]),(ProjectInfoTable[ProjectName]=DiscreteStatsTable[[#This Row],[ProjectName]])*ProjectInfoTable[ConfidenceInterval]))</f>
        <v>0.95</v>
      </c>
      <c r="Q216" s="5">
        <f>IF(AND(DiscreteStatsTable[[#This Row],[RepsWithStatObserved]]=1,Y216=0),200000000000000000000,IFERROR(_xlfn.T.INV.2T(1 -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2.4429412694846642</v>
      </c>
      <c r="R216" s="5" cm="1">
        <f t="array" ref="R216">MIN(IF((DiscreteStatsTable[GroupByKey]=DiscreteStatsTable[[#This Row],[GroupByKey]]),(DiscreteStatsTable[GroupByKey]=DiscreteStatsTable[[#This Row],[GroupByKey]])*DiscreteStatsTable[Average]))</f>
        <v>189.36023155199101</v>
      </c>
      <c r="S216" s="5" cm="1">
        <f t="array" ref="S216">MAX(IF((DiscreteStatsTable[GroupByKey]=DiscreteStatsTable[[#This Row],[GroupByKey]]),(DiscreteStatsTable[GroupByKey]=DiscreteStatsTable[[#This Row],[GroupByKey]])*DiscreteStatsTable[Average]))</f>
        <v>200.195757212735</v>
      </c>
      <c r="T216" s="5" cm="1">
        <f t="array" ref="T216">MIN(IF((DiscreteStatsTable[GroupByKey]=DiscreteStatsTable[[#This Row],[GroupByKey]]),(DiscreteStatsTable[GroupByKey]=DiscreteStatsTable[[#This Row],[GroupByKey]])*DiscreteStatsTable[Minimum]))</f>
        <v>85.085463017283502</v>
      </c>
      <c r="U216" s="5" cm="1">
        <f t="array" ref="U216">MAX(IF((DiscreteStatsTable[GroupByKey]=DiscreteStatsTable[[#This Row],[GroupByKey]]),(DiscreteStatsTable[GroupByKey]=DiscreteStatsTable[[#This Row],[GroupByKey]])*DiscreteStatsTable[Maximum]))</f>
        <v>845.65217638315505</v>
      </c>
      <c r="V216" s="5" cm="1">
        <f t="array" ref="V216">IFERROR(AVERAGE(IF((DiscreteStatsTable[GroupByKey]=DiscreteStatsTable[[#This Row],[GroupByKey]]),(DiscreteStatsTable[GroupByKey]=DiscreteStatsTable[[#This Row],[GroupByKey]])*DiscreteStatsTable[NumberObservations])),0)</f>
        <v>19616.7</v>
      </c>
      <c r="W216" s="5">
        <f>IF((DiscreteStatsTable[[#This Row],[RepsRequested]]&gt;1),DiscreteStatsTable[[#This Row],[HalfWidth]],DiscreteStatsTable[[#This Row],[BatchMeansHalfWidth]])</f>
        <v>2.4429412694846642</v>
      </c>
      <c r="X216" s="5" cm="1">
        <f t="array" ref="X216">COUNT(IF((DiscreteStatsTable[GroupByKey]=DiscreteStatsTable[[#This Row],[GroupByKey]]),(DiscreteStatsTable[GroupByKey]=DiscreteStatsTable[[#This Row],[GroupByKey]])*DiscreteStatsTable[Replication]))</f>
        <v>10</v>
      </c>
      <c r="Y216" s="5">
        <f>IF(DiscreteStatsTable[[#This Row],[RepsRequested]]=DiscreteStatsTable[[#This Row],[RepsWithStatObserved]],1,0)</f>
        <v>1</v>
      </c>
    </row>
    <row r="217" spans="1:25" x14ac:dyDescent="0.25">
      <c r="A217" t="s">
        <v>67</v>
      </c>
      <c r="B217" t="s">
        <v>69</v>
      </c>
      <c r="C217">
        <v>6</v>
      </c>
      <c r="D217" t="s">
        <v>92</v>
      </c>
      <c r="E217" t="s">
        <v>93</v>
      </c>
      <c r="F217" t="s">
        <v>90</v>
      </c>
      <c r="G217">
        <v>200.195757212735</v>
      </c>
      <c r="H217">
        <v>7.1019311629745996</v>
      </c>
      <c r="I217">
        <v>86.844246684282595</v>
      </c>
      <c r="J217">
        <v>724.16217129986001</v>
      </c>
      <c r="K217">
        <v>19857</v>
      </c>
      <c r="L217" s="5" t="str">
        <f>DiscreteStatsTable[[#This Row],[ProjectName]]&amp;DiscreteStatsTable[[#This Row],[Name]]&amp;DiscreteStatsTable[[#This Row],[Type]]&amp;DiscreteStatsTable[[#This Row],[Source]]</f>
        <v>Unnamed ProjectSystemTimeTallyIntervalUser Specified</v>
      </c>
      <c r="M217" s="5" cm="1">
        <f t="array" ref="M217">MAX(IF((ProjectInfoTable[ProjectName]=DiscreteStatsTable[[#This Row],[ProjectName]]),(ProjectInfoTable[ProjectName]=DiscreteStatsTable[[#This Row],[ProjectName]])*ProjectInfoTable[NumberOfReplications]))</f>
        <v>10</v>
      </c>
      <c r="N217" s="5" cm="1">
        <f t="array" ref="N217">IFERROR(AVERAGE(IF((DiscreteStatsTable[GroupByKey]=DiscreteStatsTable[[#This Row],[GroupByKey]]),(DiscreteStatsTable[GroupByKey]=DiscreteStatsTable[[#This Row],[GroupByKey]])*DiscreteStatsTable[Average])),0)</f>
        <v>194.65511627766719</v>
      </c>
      <c r="O217" s="5" cm="1">
        <f t="array" ref="O217">IFERROR(_xlfn.STDEV.S(IF((DiscreteStatsTable[GroupByKey]=DiscreteStatsTable[[#This Row],[GroupByKey]]),(DiscreteStatsTable[GroupByKey]=DiscreteStatsTable[[#This Row],[GroupByKey]])*DiscreteStatsTable[Average])),0)</f>
        <v>3.4149964152087802</v>
      </c>
      <c r="P217" s="5" cm="1">
        <f t="array" ref="P217">MAX(IF((ProjectInfoTable[ProjectName]=DiscreteStatsTable[[#This Row],[ProjectName]]),(ProjectInfoTable[ProjectName]=DiscreteStatsTable[[#This Row],[ProjectName]])*ProjectInfoTable[ConfidenceInterval]))</f>
        <v>0.95</v>
      </c>
      <c r="Q217" s="5">
        <f>IF(AND(DiscreteStatsTable[[#This Row],[RepsWithStatObserved]]=1,Y217=0),200000000000000000000,IFERROR(_xlfn.T.INV.2T(1 -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2.4429412694846642</v>
      </c>
      <c r="R217" s="5" cm="1">
        <f t="array" ref="R217">MIN(IF((DiscreteStatsTable[GroupByKey]=DiscreteStatsTable[[#This Row],[GroupByKey]]),(DiscreteStatsTable[GroupByKey]=DiscreteStatsTable[[#This Row],[GroupByKey]])*DiscreteStatsTable[Average]))</f>
        <v>189.36023155199101</v>
      </c>
      <c r="S217" s="5" cm="1">
        <f t="array" ref="S217">MAX(IF((DiscreteStatsTable[GroupByKey]=DiscreteStatsTable[[#This Row],[GroupByKey]]),(DiscreteStatsTable[GroupByKey]=DiscreteStatsTable[[#This Row],[GroupByKey]])*DiscreteStatsTable[Average]))</f>
        <v>200.195757212735</v>
      </c>
      <c r="T217" s="5" cm="1">
        <f t="array" ref="T217">MIN(IF((DiscreteStatsTable[GroupByKey]=DiscreteStatsTable[[#This Row],[GroupByKey]]),(DiscreteStatsTable[GroupByKey]=DiscreteStatsTable[[#This Row],[GroupByKey]])*DiscreteStatsTable[Minimum]))</f>
        <v>85.085463017283502</v>
      </c>
      <c r="U217" s="5" cm="1">
        <f t="array" ref="U217">MAX(IF((DiscreteStatsTable[GroupByKey]=DiscreteStatsTable[[#This Row],[GroupByKey]]),(DiscreteStatsTable[GroupByKey]=DiscreteStatsTable[[#This Row],[GroupByKey]])*DiscreteStatsTable[Maximum]))</f>
        <v>845.65217638315505</v>
      </c>
      <c r="V217" s="5" cm="1">
        <f t="array" ref="V217">IFERROR(AVERAGE(IF((DiscreteStatsTable[GroupByKey]=DiscreteStatsTable[[#This Row],[GroupByKey]]),(DiscreteStatsTable[GroupByKey]=DiscreteStatsTable[[#This Row],[GroupByKey]])*DiscreteStatsTable[NumberObservations])),0)</f>
        <v>19616.7</v>
      </c>
      <c r="W217" s="5">
        <f>IF((DiscreteStatsTable[[#This Row],[RepsRequested]]&gt;1),DiscreteStatsTable[[#This Row],[HalfWidth]],DiscreteStatsTable[[#This Row],[BatchMeansHalfWidth]])</f>
        <v>2.4429412694846642</v>
      </c>
      <c r="X217" s="5" cm="1">
        <f t="array" ref="X217">COUNT(IF((DiscreteStatsTable[GroupByKey]=DiscreteStatsTable[[#This Row],[GroupByKey]]),(DiscreteStatsTable[GroupByKey]=DiscreteStatsTable[[#This Row],[GroupByKey]])*DiscreteStatsTable[Replication]))</f>
        <v>10</v>
      </c>
      <c r="Y217" s="5">
        <f>IF(DiscreteStatsTable[[#This Row],[RepsRequested]]=DiscreteStatsTable[[#This Row],[RepsWithStatObserved]],1,0)</f>
        <v>1</v>
      </c>
    </row>
    <row r="218" spans="1:25" x14ac:dyDescent="0.25">
      <c r="A218" t="s">
        <v>67</v>
      </c>
      <c r="B218" t="s">
        <v>69</v>
      </c>
      <c r="C218">
        <v>7</v>
      </c>
      <c r="D218" t="s">
        <v>92</v>
      </c>
      <c r="E218" t="s">
        <v>93</v>
      </c>
      <c r="F218" t="s">
        <v>90</v>
      </c>
      <c r="G218">
        <v>192.451966109165</v>
      </c>
      <c r="H218">
        <v>6.8037689528260401</v>
      </c>
      <c r="I218">
        <v>86.583931983761403</v>
      </c>
      <c r="J218">
        <v>817.73990990815196</v>
      </c>
      <c r="K218">
        <v>19571</v>
      </c>
      <c r="L218" s="5" t="str">
        <f>DiscreteStatsTable[[#This Row],[ProjectName]]&amp;DiscreteStatsTable[[#This Row],[Name]]&amp;DiscreteStatsTable[[#This Row],[Type]]&amp;DiscreteStatsTable[[#This Row],[Source]]</f>
        <v>Unnamed ProjectSystemTimeTallyIntervalUser Specified</v>
      </c>
      <c r="M218" s="5" cm="1">
        <f t="array" ref="M218">MAX(IF((ProjectInfoTable[ProjectName]=DiscreteStatsTable[[#This Row],[ProjectName]]),(ProjectInfoTable[ProjectName]=DiscreteStatsTable[[#This Row],[ProjectName]])*ProjectInfoTable[NumberOfReplications]))</f>
        <v>10</v>
      </c>
      <c r="N218" s="5" cm="1">
        <f t="array" ref="N218">IFERROR(AVERAGE(IF((DiscreteStatsTable[GroupByKey]=DiscreteStatsTable[[#This Row],[GroupByKey]]),(DiscreteStatsTable[GroupByKey]=DiscreteStatsTable[[#This Row],[GroupByKey]])*DiscreteStatsTable[Average])),0)</f>
        <v>194.65511627766719</v>
      </c>
      <c r="O218" s="5" cm="1">
        <f t="array" ref="O218">IFERROR(_xlfn.STDEV.S(IF((DiscreteStatsTable[GroupByKey]=DiscreteStatsTable[[#This Row],[GroupByKey]]),(DiscreteStatsTable[GroupByKey]=DiscreteStatsTable[[#This Row],[GroupByKey]])*DiscreteStatsTable[Average])),0)</f>
        <v>3.4149964152087802</v>
      </c>
      <c r="P218" s="5" cm="1">
        <f t="array" ref="P218">MAX(IF((ProjectInfoTable[ProjectName]=DiscreteStatsTable[[#This Row],[ProjectName]]),(ProjectInfoTable[ProjectName]=DiscreteStatsTable[[#This Row],[ProjectName]])*ProjectInfoTable[ConfidenceInterval]))</f>
        <v>0.95</v>
      </c>
      <c r="Q218" s="5">
        <f>IF(AND(DiscreteStatsTable[[#This Row],[RepsWithStatObserved]]=1,Y218=0),200000000000000000000,IFERROR(_xlfn.T.INV.2T(1 -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2.4429412694846642</v>
      </c>
      <c r="R218" s="5" cm="1">
        <f t="array" ref="R218">MIN(IF((DiscreteStatsTable[GroupByKey]=DiscreteStatsTable[[#This Row],[GroupByKey]]),(DiscreteStatsTable[GroupByKey]=DiscreteStatsTable[[#This Row],[GroupByKey]])*DiscreteStatsTable[Average]))</f>
        <v>189.36023155199101</v>
      </c>
      <c r="S218" s="5" cm="1">
        <f t="array" ref="S218">MAX(IF((DiscreteStatsTable[GroupByKey]=DiscreteStatsTable[[#This Row],[GroupByKey]]),(DiscreteStatsTable[GroupByKey]=DiscreteStatsTable[[#This Row],[GroupByKey]])*DiscreteStatsTable[Average]))</f>
        <v>200.195757212735</v>
      </c>
      <c r="T218" s="5" cm="1">
        <f t="array" ref="T218">MIN(IF((DiscreteStatsTable[GroupByKey]=DiscreteStatsTable[[#This Row],[GroupByKey]]),(DiscreteStatsTable[GroupByKey]=DiscreteStatsTable[[#This Row],[GroupByKey]])*DiscreteStatsTable[Minimum]))</f>
        <v>85.085463017283502</v>
      </c>
      <c r="U218" s="5" cm="1">
        <f t="array" ref="U218">MAX(IF((DiscreteStatsTable[GroupByKey]=DiscreteStatsTable[[#This Row],[GroupByKey]]),(DiscreteStatsTable[GroupByKey]=DiscreteStatsTable[[#This Row],[GroupByKey]])*DiscreteStatsTable[Maximum]))</f>
        <v>845.65217638315505</v>
      </c>
      <c r="V218" s="5" cm="1">
        <f t="array" ref="V218">IFERROR(AVERAGE(IF((DiscreteStatsTable[GroupByKey]=DiscreteStatsTable[[#This Row],[GroupByKey]]),(DiscreteStatsTable[GroupByKey]=DiscreteStatsTable[[#This Row],[GroupByKey]])*DiscreteStatsTable[NumberObservations])),0)</f>
        <v>19616.7</v>
      </c>
      <c r="W218" s="5">
        <f>IF((DiscreteStatsTable[[#This Row],[RepsRequested]]&gt;1),DiscreteStatsTable[[#This Row],[HalfWidth]],DiscreteStatsTable[[#This Row],[BatchMeansHalfWidth]])</f>
        <v>2.4429412694846642</v>
      </c>
      <c r="X218" s="5" cm="1">
        <f t="array" ref="X218">COUNT(IF((DiscreteStatsTable[GroupByKey]=DiscreteStatsTable[[#This Row],[GroupByKey]]),(DiscreteStatsTable[GroupByKey]=DiscreteStatsTable[[#This Row],[GroupByKey]])*DiscreteStatsTable[Replication]))</f>
        <v>10</v>
      </c>
      <c r="Y218" s="5">
        <f>IF(DiscreteStatsTable[[#This Row],[RepsRequested]]=DiscreteStatsTable[[#This Row],[RepsWithStatObserved]],1,0)</f>
        <v>1</v>
      </c>
    </row>
    <row r="219" spans="1:25" x14ac:dyDescent="0.25">
      <c r="A219" t="s">
        <v>67</v>
      </c>
      <c r="B219" t="s">
        <v>69</v>
      </c>
      <c r="C219">
        <v>8</v>
      </c>
      <c r="D219" t="s">
        <v>92</v>
      </c>
      <c r="E219" t="s">
        <v>93</v>
      </c>
      <c r="F219" t="s">
        <v>90</v>
      </c>
      <c r="G219">
        <v>194.774085653621</v>
      </c>
      <c r="H219">
        <v>5.1932858186112902</v>
      </c>
      <c r="I219">
        <v>86.722952500858796</v>
      </c>
      <c r="J219">
        <v>639.12123771314498</v>
      </c>
      <c r="K219">
        <v>19696</v>
      </c>
      <c r="L219" s="5" t="str">
        <f>DiscreteStatsTable[[#This Row],[ProjectName]]&amp;DiscreteStatsTable[[#This Row],[Name]]&amp;DiscreteStatsTable[[#This Row],[Type]]&amp;DiscreteStatsTable[[#This Row],[Source]]</f>
        <v>Unnamed ProjectSystemTimeTallyIntervalUser Specified</v>
      </c>
      <c r="M219" s="5" cm="1">
        <f t="array" ref="M219">MAX(IF((ProjectInfoTable[ProjectName]=DiscreteStatsTable[[#This Row],[ProjectName]]),(ProjectInfoTable[ProjectName]=DiscreteStatsTable[[#This Row],[ProjectName]])*ProjectInfoTable[NumberOfReplications]))</f>
        <v>10</v>
      </c>
      <c r="N219" s="5" cm="1">
        <f t="array" ref="N219">IFERROR(AVERAGE(IF((DiscreteStatsTable[GroupByKey]=DiscreteStatsTable[[#This Row],[GroupByKey]]),(DiscreteStatsTable[GroupByKey]=DiscreteStatsTable[[#This Row],[GroupByKey]])*DiscreteStatsTable[Average])),0)</f>
        <v>194.65511627766719</v>
      </c>
      <c r="O219" s="5" cm="1">
        <f t="array" ref="O219">IFERROR(_xlfn.STDEV.S(IF((DiscreteStatsTable[GroupByKey]=DiscreteStatsTable[[#This Row],[GroupByKey]]),(DiscreteStatsTable[GroupByKey]=DiscreteStatsTable[[#This Row],[GroupByKey]])*DiscreteStatsTable[Average])),0)</f>
        <v>3.4149964152087802</v>
      </c>
      <c r="P219" s="5" cm="1">
        <f t="array" ref="P219">MAX(IF((ProjectInfoTable[ProjectName]=DiscreteStatsTable[[#This Row],[ProjectName]]),(ProjectInfoTable[ProjectName]=DiscreteStatsTable[[#This Row],[ProjectName]])*ProjectInfoTable[ConfidenceInterval]))</f>
        <v>0.95</v>
      </c>
      <c r="Q219" s="5">
        <f>IF(AND(DiscreteStatsTable[[#This Row],[RepsWithStatObserved]]=1,Y219=0),200000000000000000000,IFERROR(_xlfn.T.INV.2T(1 -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2.4429412694846642</v>
      </c>
      <c r="R219" s="5" cm="1">
        <f t="array" ref="R219">MIN(IF((DiscreteStatsTable[GroupByKey]=DiscreteStatsTable[[#This Row],[GroupByKey]]),(DiscreteStatsTable[GroupByKey]=DiscreteStatsTable[[#This Row],[GroupByKey]])*DiscreteStatsTable[Average]))</f>
        <v>189.36023155199101</v>
      </c>
      <c r="S219" s="5" cm="1">
        <f t="array" ref="S219">MAX(IF((DiscreteStatsTable[GroupByKey]=DiscreteStatsTable[[#This Row],[GroupByKey]]),(DiscreteStatsTable[GroupByKey]=DiscreteStatsTable[[#This Row],[GroupByKey]])*DiscreteStatsTable[Average]))</f>
        <v>200.195757212735</v>
      </c>
      <c r="T219" s="5" cm="1">
        <f t="array" ref="T219">MIN(IF((DiscreteStatsTable[GroupByKey]=DiscreteStatsTable[[#This Row],[GroupByKey]]),(DiscreteStatsTable[GroupByKey]=DiscreteStatsTable[[#This Row],[GroupByKey]])*DiscreteStatsTable[Minimum]))</f>
        <v>85.085463017283502</v>
      </c>
      <c r="U219" s="5" cm="1">
        <f t="array" ref="U219">MAX(IF((DiscreteStatsTable[GroupByKey]=DiscreteStatsTable[[#This Row],[GroupByKey]]),(DiscreteStatsTable[GroupByKey]=DiscreteStatsTable[[#This Row],[GroupByKey]])*DiscreteStatsTable[Maximum]))</f>
        <v>845.65217638315505</v>
      </c>
      <c r="V219" s="5" cm="1">
        <f t="array" ref="V219">IFERROR(AVERAGE(IF((DiscreteStatsTable[GroupByKey]=DiscreteStatsTable[[#This Row],[GroupByKey]]),(DiscreteStatsTable[GroupByKey]=DiscreteStatsTable[[#This Row],[GroupByKey]])*DiscreteStatsTable[NumberObservations])),0)</f>
        <v>19616.7</v>
      </c>
      <c r="W219" s="5">
        <f>IF((DiscreteStatsTable[[#This Row],[RepsRequested]]&gt;1),DiscreteStatsTable[[#This Row],[HalfWidth]],DiscreteStatsTable[[#This Row],[BatchMeansHalfWidth]])</f>
        <v>2.4429412694846642</v>
      </c>
      <c r="X219" s="5" cm="1">
        <f t="array" ref="X219">COUNT(IF((DiscreteStatsTable[GroupByKey]=DiscreteStatsTable[[#This Row],[GroupByKey]]),(DiscreteStatsTable[GroupByKey]=DiscreteStatsTable[[#This Row],[GroupByKey]])*DiscreteStatsTable[Replication]))</f>
        <v>10</v>
      </c>
      <c r="Y219" s="5">
        <f>IF(DiscreteStatsTable[[#This Row],[RepsRequested]]=DiscreteStatsTable[[#This Row],[RepsWithStatObserved]],1,0)</f>
        <v>1</v>
      </c>
    </row>
    <row r="220" spans="1:25" x14ac:dyDescent="0.25">
      <c r="A220" t="s">
        <v>67</v>
      </c>
      <c r="B220" t="s">
        <v>69</v>
      </c>
      <c r="C220">
        <v>9</v>
      </c>
      <c r="D220" t="s">
        <v>92</v>
      </c>
      <c r="E220" t="s">
        <v>93</v>
      </c>
      <c r="F220" t="s">
        <v>90</v>
      </c>
      <c r="G220">
        <v>192.329959853389</v>
      </c>
      <c r="H220">
        <v>6.4227055207002399</v>
      </c>
      <c r="I220">
        <v>85.085463017283502</v>
      </c>
      <c r="J220">
        <v>635.86683304997905</v>
      </c>
      <c r="K220">
        <v>19621</v>
      </c>
      <c r="L220" s="5" t="str">
        <f>DiscreteStatsTable[[#This Row],[ProjectName]]&amp;DiscreteStatsTable[[#This Row],[Name]]&amp;DiscreteStatsTable[[#This Row],[Type]]&amp;DiscreteStatsTable[[#This Row],[Source]]</f>
        <v>Unnamed ProjectSystemTimeTallyIntervalUser Specified</v>
      </c>
      <c r="M220" s="5" cm="1">
        <f t="array" ref="M220">MAX(IF((ProjectInfoTable[ProjectName]=DiscreteStatsTable[[#This Row],[ProjectName]]),(ProjectInfoTable[ProjectName]=DiscreteStatsTable[[#This Row],[ProjectName]])*ProjectInfoTable[NumberOfReplications]))</f>
        <v>10</v>
      </c>
      <c r="N220" s="5" cm="1">
        <f t="array" ref="N220">IFERROR(AVERAGE(IF((DiscreteStatsTable[GroupByKey]=DiscreteStatsTable[[#This Row],[GroupByKey]]),(DiscreteStatsTable[GroupByKey]=DiscreteStatsTable[[#This Row],[GroupByKey]])*DiscreteStatsTable[Average])),0)</f>
        <v>194.65511627766719</v>
      </c>
      <c r="O220" s="5" cm="1">
        <f t="array" ref="O220">IFERROR(_xlfn.STDEV.S(IF((DiscreteStatsTable[GroupByKey]=DiscreteStatsTable[[#This Row],[GroupByKey]]),(DiscreteStatsTable[GroupByKey]=DiscreteStatsTable[[#This Row],[GroupByKey]])*DiscreteStatsTable[Average])),0)</f>
        <v>3.4149964152087802</v>
      </c>
      <c r="P220" s="5" cm="1">
        <f t="array" ref="P220">MAX(IF((ProjectInfoTable[ProjectName]=DiscreteStatsTable[[#This Row],[ProjectName]]),(ProjectInfoTable[ProjectName]=DiscreteStatsTable[[#This Row],[ProjectName]])*ProjectInfoTable[ConfidenceInterval]))</f>
        <v>0.95</v>
      </c>
      <c r="Q220" s="5">
        <f>IF(AND(DiscreteStatsTable[[#This Row],[RepsWithStatObserved]]=1,Y220=0),200000000000000000000,IFERROR(_xlfn.T.INV.2T(1 -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2.4429412694846642</v>
      </c>
      <c r="R220" s="5" cm="1">
        <f t="array" ref="R220">MIN(IF((DiscreteStatsTable[GroupByKey]=DiscreteStatsTable[[#This Row],[GroupByKey]]),(DiscreteStatsTable[GroupByKey]=DiscreteStatsTable[[#This Row],[GroupByKey]])*DiscreteStatsTable[Average]))</f>
        <v>189.36023155199101</v>
      </c>
      <c r="S220" s="5" cm="1">
        <f t="array" ref="S220">MAX(IF((DiscreteStatsTable[GroupByKey]=DiscreteStatsTable[[#This Row],[GroupByKey]]),(DiscreteStatsTable[GroupByKey]=DiscreteStatsTable[[#This Row],[GroupByKey]])*DiscreteStatsTable[Average]))</f>
        <v>200.195757212735</v>
      </c>
      <c r="T220" s="5" cm="1">
        <f t="array" ref="T220">MIN(IF((DiscreteStatsTable[GroupByKey]=DiscreteStatsTable[[#This Row],[GroupByKey]]),(DiscreteStatsTable[GroupByKey]=DiscreteStatsTable[[#This Row],[GroupByKey]])*DiscreteStatsTable[Minimum]))</f>
        <v>85.085463017283502</v>
      </c>
      <c r="U220" s="5" cm="1">
        <f t="array" ref="U220">MAX(IF((DiscreteStatsTable[GroupByKey]=DiscreteStatsTable[[#This Row],[GroupByKey]]),(DiscreteStatsTable[GroupByKey]=DiscreteStatsTable[[#This Row],[GroupByKey]])*DiscreteStatsTable[Maximum]))</f>
        <v>845.65217638315505</v>
      </c>
      <c r="V220" s="5" cm="1">
        <f t="array" ref="V220">IFERROR(AVERAGE(IF((DiscreteStatsTable[GroupByKey]=DiscreteStatsTable[[#This Row],[GroupByKey]]),(DiscreteStatsTable[GroupByKey]=DiscreteStatsTable[[#This Row],[GroupByKey]])*DiscreteStatsTable[NumberObservations])),0)</f>
        <v>19616.7</v>
      </c>
      <c r="W220" s="5">
        <f>IF((DiscreteStatsTable[[#This Row],[RepsRequested]]&gt;1),DiscreteStatsTable[[#This Row],[HalfWidth]],DiscreteStatsTable[[#This Row],[BatchMeansHalfWidth]])</f>
        <v>2.4429412694846642</v>
      </c>
      <c r="X220" s="5" cm="1">
        <f t="array" ref="X220">COUNT(IF((DiscreteStatsTable[GroupByKey]=DiscreteStatsTable[[#This Row],[GroupByKey]]),(DiscreteStatsTable[GroupByKey]=DiscreteStatsTable[[#This Row],[GroupByKey]])*DiscreteStatsTable[Replication]))</f>
        <v>10</v>
      </c>
      <c r="Y220" s="5">
        <f>IF(DiscreteStatsTable[[#This Row],[RepsRequested]]=DiscreteStatsTable[[#This Row],[RepsWithStatObserved]],1,0)</f>
        <v>1</v>
      </c>
    </row>
    <row r="221" spans="1:25" x14ac:dyDescent="0.25">
      <c r="A221" t="s">
        <v>67</v>
      </c>
      <c r="B221" t="s">
        <v>69</v>
      </c>
      <c r="C221">
        <v>10</v>
      </c>
      <c r="D221" t="s">
        <v>92</v>
      </c>
      <c r="E221" t="s">
        <v>93</v>
      </c>
      <c r="F221" t="s">
        <v>90</v>
      </c>
      <c r="G221">
        <v>192.16078651275399</v>
      </c>
      <c r="H221">
        <v>6.4622555699169704</v>
      </c>
      <c r="I221">
        <v>88.979948193125907</v>
      </c>
      <c r="J221">
        <v>697.31718773476302</v>
      </c>
      <c r="K221">
        <v>19530</v>
      </c>
      <c r="L221" s="5" t="str">
        <f>DiscreteStatsTable[[#This Row],[ProjectName]]&amp;DiscreteStatsTable[[#This Row],[Name]]&amp;DiscreteStatsTable[[#This Row],[Type]]&amp;DiscreteStatsTable[[#This Row],[Source]]</f>
        <v>Unnamed ProjectSystemTimeTallyIntervalUser Specified</v>
      </c>
      <c r="M221" s="5" cm="1">
        <f t="array" ref="M221">MAX(IF((ProjectInfoTable[ProjectName]=DiscreteStatsTable[[#This Row],[ProjectName]]),(ProjectInfoTable[ProjectName]=DiscreteStatsTable[[#This Row],[ProjectName]])*ProjectInfoTable[NumberOfReplications]))</f>
        <v>10</v>
      </c>
      <c r="N221" s="5" cm="1">
        <f t="array" ref="N221">IFERROR(AVERAGE(IF((DiscreteStatsTable[GroupByKey]=DiscreteStatsTable[[#This Row],[GroupByKey]]),(DiscreteStatsTable[GroupByKey]=DiscreteStatsTable[[#This Row],[GroupByKey]])*DiscreteStatsTable[Average])),0)</f>
        <v>194.65511627766719</v>
      </c>
      <c r="O221" s="5" cm="1">
        <f t="array" ref="O221">IFERROR(_xlfn.STDEV.S(IF((DiscreteStatsTable[GroupByKey]=DiscreteStatsTable[[#This Row],[GroupByKey]]),(DiscreteStatsTable[GroupByKey]=DiscreteStatsTable[[#This Row],[GroupByKey]])*DiscreteStatsTable[Average])),0)</f>
        <v>3.4149964152087802</v>
      </c>
      <c r="P221" s="5" cm="1">
        <f t="array" ref="P221">MAX(IF((ProjectInfoTable[ProjectName]=DiscreteStatsTable[[#This Row],[ProjectName]]),(ProjectInfoTable[ProjectName]=DiscreteStatsTable[[#This Row],[ProjectName]])*ProjectInfoTable[ConfidenceInterval]))</f>
        <v>0.95</v>
      </c>
      <c r="Q221" s="5">
        <f>IF(AND(DiscreteStatsTable[[#This Row],[RepsWithStatObserved]]=1,Y221=0),200000000000000000000,IFERROR(_xlfn.T.INV.2T(1 -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2.4429412694846642</v>
      </c>
      <c r="R221" s="5" cm="1">
        <f t="array" ref="R221">MIN(IF((DiscreteStatsTable[GroupByKey]=DiscreteStatsTable[[#This Row],[GroupByKey]]),(DiscreteStatsTable[GroupByKey]=DiscreteStatsTable[[#This Row],[GroupByKey]])*DiscreteStatsTable[Average]))</f>
        <v>189.36023155199101</v>
      </c>
      <c r="S221" s="5" cm="1">
        <f t="array" ref="S221">MAX(IF((DiscreteStatsTable[GroupByKey]=DiscreteStatsTable[[#This Row],[GroupByKey]]),(DiscreteStatsTable[GroupByKey]=DiscreteStatsTable[[#This Row],[GroupByKey]])*DiscreteStatsTable[Average]))</f>
        <v>200.195757212735</v>
      </c>
      <c r="T221" s="5" cm="1">
        <f t="array" ref="T221">MIN(IF((DiscreteStatsTable[GroupByKey]=DiscreteStatsTable[[#This Row],[GroupByKey]]),(DiscreteStatsTable[GroupByKey]=DiscreteStatsTable[[#This Row],[GroupByKey]])*DiscreteStatsTable[Minimum]))</f>
        <v>85.085463017283502</v>
      </c>
      <c r="U221" s="5" cm="1">
        <f t="array" ref="U221">MAX(IF((DiscreteStatsTable[GroupByKey]=DiscreteStatsTable[[#This Row],[GroupByKey]]),(DiscreteStatsTable[GroupByKey]=DiscreteStatsTable[[#This Row],[GroupByKey]])*DiscreteStatsTable[Maximum]))</f>
        <v>845.65217638315505</v>
      </c>
      <c r="V221" s="5" cm="1">
        <f t="array" ref="V221">IFERROR(AVERAGE(IF((DiscreteStatsTable[GroupByKey]=DiscreteStatsTable[[#This Row],[GroupByKey]]),(DiscreteStatsTable[GroupByKey]=DiscreteStatsTable[[#This Row],[GroupByKey]])*DiscreteStatsTable[NumberObservations])),0)</f>
        <v>19616.7</v>
      </c>
      <c r="W221" s="5">
        <f>IF((DiscreteStatsTable[[#This Row],[RepsRequested]]&gt;1),DiscreteStatsTable[[#This Row],[HalfWidth]],DiscreteStatsTable[[#This Row],[BatchMeansHalfWidth]])</f>
        <v>2.4429412694846642</v>
      </c>
      <c r="X221" s="5" cm="1">
        <f t="array" ref="X221">COUNT(IF((DiscreteStatsTable[GroupByKey]=DiscreteStatsTable[[#This Row],[GroupByKey]]),(DiscreteStatsTable[GroupByKey]=DiscreteStatsTable[[#This Row],[GroupByKey]])*DiscreteStatsTable[Replication]))</f>
        <v>10</v>
      </c>
      <c r="Y221" s="5">
        <f>IF(DiscreteStatsTable[[#This Row],[RepsRequested]]=DiscreteStatsTable[[#This Row],[RepsWithStatObserved]],1,0)</f>
        <v>1</v>
      </c>
    </row>
    <row r="222" spans="1:25" x14ac:dyDescent="0.25">
      <c r="A222" t="s">
        <v>67</v>
      </c>
      <c r="B222" t="s">
        <v>69</v>
      </c>
      <c r="C222">
        <v>1</v>
      </c>
      <c r="D222" t="s">
        <v>94</v>
      </c>
      <c r="E222" t="s">
        <v>71</v>
      </c>
      <c r="F222" t="s">
        <v>72</v>
      </c>
      <c r="G222">
        <v>50.089911800742698</v>
      </c>
      <c r="H222">
        <v>5.9678184606745797</v>
      </c>
      <c r="I222">
        <v>0</v>
      </c>
      <c r="J222">
        <v>409.20468984512303</v>
      </c>
      <c r="K222">
        <v>19448</v>
      </c>
      <c r="L222" s="5" t="str">
        <f>DiscreteStatsTable[[#This Row],[ProjectName]]&amp;DiscreteStatsTable[[#This Row],[Name]]&amp;DiscreteStatsTable[[#This Row],[Type]]&amp;DiscreteStatsTable[[#This Row],[Source]]</f>
        <v>Unnamed ProjectWorkStationQWaiting TimeQueue</v>
      </c>
      <c r="M222" s="5" cm="1">
        <f t="array" ref="M222">MAX(IF((ProjectInfoTable[ProjectName]=DiscreteStatsTable[[#This Row],[ProjectName]]),(ProjectInfoTable[ProjectName]=DiscreteStatsTable[[#This Row],[ProjectName]])*ProjectInfoTable[NumberOfReplications]))</f>
        <v>10</v>
      </c>
      <c r="N222" s="5" cm="1">
        <f t="array" ref="N222">IFERROR(AVERAGE(IF((DiscreteStatsTable[GroupByKey]=DiscreteStatsTable[[#This Row],[GroupByKey]]),(DiscreteStatsTable[GroupByKey]=DiscreteStatsTable[[#This Row],[GroupByKey]])*DiscreteStatsTable[Average])),0)</f>
        <v>50.415166381141077</v>
      </c>
      <c r="O222" s="5" cm="1">
        <f t="array" ref="O222">IFERROR(_xlfn.STDEV.S(IF((DiscreteStatsTable[GroupByKey]=DiscreteStatsTable[[#This Row],[GroupByKey]]),(DiscreteStatsTable[GroupByKey]=DiscreteStatsTable[[#This Row],[GroupByKey]])*DiscreteStatsTable[Average])),0)</f>
        <v>2.3069744276489197</v>
      </c>
      <c r="P222" s="5" cm="1">
        <f t="array" ref="P222">MAX(IF((ProjectInfoTable[ProjectName]=DiscreteStatsTable[[#This Row],[ProjectName]]),(ProjectInfoTable[ProjectName]=DiscreteStatsTable[[#This Row],[ProjectName]])*ProjectInfoTable[ConfidenceInterval]))</f>
        <v>0.95</v>
      </c>
      <c r="Q222" s="5">
        <f>IF(AND(DiscreteStatsTable[[#This Row],[RepsWithStatObserved]]=1,Y222=0),200000000000000000000,IFERROR(_xlfn.T.INV.2T(1 -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1.6503100887163762</v>
      </c>
      <c r="R222" s="5" cm="1">
        <f t="array" ref="R222">MIN(IF((DiscreteStatsTable[GroupByKey]=DiscreteStatsTable[[#This Row],[GroupByKey]]),(DiscreteStatsTable[GroupByKey]=DiscreteStatsTable[[#This Row],[GroupByKey]])*DiscreteStatsTable[Average]))</f>
        <v>47.629236120241401</v>
      </c>
      <c r="S222" s="5" cm="1">
        <f t="array" ref="S222">MAX(IF((DiscreteStatsTable[GroupByKey]=DiscreteStatsTable[[#This Row],[GroupByKey]]),(DiscreteStatsTable[GroupByKey]=DiscreteStatsTable[[#This Row],[GroupByKey]])*DiscreteStatsTable[Average]))</f>
        <v>54.364186767872503</v>
      </c>
      <c r="T222" s="5" cm="1">
        <f t="array" ref="T222">MIN(IF((DiscreteStatsTable[GroupByKey]=DiscreteStatsTable[[#This Row],[GroupByKey]]),(DiscreteStatsTable[GroupByKey]=DiscreteStatsTable[[#This Row],[GroupByKey]])*DiscreteStatsTable[Minimum]))</f>
        <v>0</v>
      </c>
      <c r="U222" s="5" cm="1">
        <f t="array" ref="U222">MAX(IF((DiscreteStatsTable[GroupByKey]=DiscreteStatsTable[[#This Row],[GroupByKey]]),(DiscreteStatsTable[GroupByKey]=DiscreteStatsTable[[#This Row],[GroupByKey]])*DiscreteStatsTable[Maximum]))</f>
        <v>642.11042136000503</v>
      </c>
      <c r="V222" s="5" cm="1">
        <f t="array" ref="V222">IFERROR(AVERAGE(IF((DiscreteStatsTable[GroupByKey]=DiscreteStatsTable[[#This Row],[GroupByKey]]),(DiscreteStatsTable[GroupByKey]=DiscreteStatsTable[[#This Row],[GroupByKey]])*DiscreteStatsTable[NumberObservations])),0)</f>
        <v>19616</v>
      </c>
      <c r="W222" s="5">
        <f>IF((DiscreteStatsTable[[#This Row],[RepsRequested]]&gt;1),DiscreteStatsTable[[#This Row],[HalfWidth]],DiscreteStatsTable[[#This Row],[BatchMeansHalfWidth]])</f>
        <v>1.6503100887163762</v>
      </c>
      <c r="X222" s="5" cm="1">
        <f t="array" ref="X222">COUNT(IF((DiscreteStatsTable[GroupByKey]=DiscreteStatsTable[[#This Row],[GroupByKey]]),(DiscreteStatsTable[GroupByKey]=DiscreteStatsTable[[#This Row],[GroupByKey]])*DiscreteStatsTable[Replication]))</f>
        <v>10</v>
      </c>
      <c r="Y222" s="5">
        <f>IF(DiscreteStatsTable[[#This Row],[RepsRequested]]=DiscreteStatsTable[[#This Row],[RepsWithStatObserved]],1,0)</f>
        <v>1</v>
      </c>
    </row>
    <row r="223" spans="1:25" x14ac:dyDescent="0.25">
      <c r="A223" t="s">
        <v>67</v>
      </c>
      <c r="B223" t="s">
        <v>69</v>
      </c>
      <c r="C223">
        <v>2</v>
      </c>
      <c r="D223" t="s">
        <v>94</v>
      </c>
      <c r="E223" t="s">
        <v>71</v>
      </c>
      <c r="F223" t="s">
        <v>72</v>
      </c>
      <c r="G223">
        <v>50.342232602689499</v>
      </c>
      <c r="H223">
        <v>5.2778409888166298</v>
      </c>
      <c r="I223">
        <v>0</v>
      </c>
      <c r="J223">
        <v>381.78087840537802</v>
      </c>
      <c r="K223">
        <v>19621</v>
      </c>
      <c r="L223" s="5" t="str">
        <f>DiscreteStatsTable[[#This Row],[ProjectName]]&amp;DiscreteStatsTable[[#This Row],[Name]]&amp;DiscreteStatsTable[[#This Row],[Type]]&amp;DiscreteStatsTable[[#This Row],[Source]]</f>
        <v>Unnamed ProjectWorkStationQWaiting TimeQueue</v>
      </c>
      <c r="M223" s="5" cm="1">
        <f t="array" ref="M223">MAX(IF((ProjectInfoTable[ProjectName]=DiscreteStatsTable[[#This Row],[ProjectName]]),(ProjectInfoTable[ProjectName]=DiscreteStatsTable[[#This Row],[ProjectName]])*ProjectInfoTable[NumberOfReplications]))</f>
        <v>10</v>
      </c>
      <c r="N223" s="5" cm="1">
        <f t="array" ref="N223">IFERROR(AVERAGE(IF((DiscreteStatsTable[GroupByKey]=DiscreteStatsTable[[#This Row],[GroupByKey]]),(DiscreteStatsTable[GroupByKey]=DiscreteStatsTable[[#This Row],[GroupByKey]])*DiscreteStatsTable[Average])),0)</f>
        <v>50.415166381141077</v>
      </c>
      <c r="O223" s="5" cm="1">
        <f t="array" ref="O223">IFERROR(_xlfn.STDEV.S(IF((DiscreteStatsTable[GroupByKey]=DiscreteStatsTable[[#This Row],[GroupByKey]]),(DiscreteStatsTable[GroupByKey]=DiscreteStatsTable[[#This Row],[GroupByKey]])*DiscreteStatsTable[Average])),0)</f>
        <v>2.3069744276489197</v>
      </c>
      <c r="P223" s="5" cm="1">
        <f t="array" ref="P223">MAX(IF((ProjectInfoTable[ProjectName]=DiscreteStatsTable[[#This Row],[ProjectName]]),(ProjectInfoTable[ProjectName]=DiscreteStatsTable[[#This Row],[ProjectName]])*ProjectInfoTable[ConfidenceInterval]))</f>
        <v>0.95</v>
      </c>
      <c r="Q223" s="5">
        <f>IF(AND(DiscreteStatsTable[[#This Row],[RepsWithStatObserved]]=1,Y223=0),200000000000000000000,IFERROR(_xlfn.T.INV.2T(1 -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1.6503100887163762</v>
      </c>
      <c r="R223" s="5" cm="1">
        <f t="array" ref="R223">MIN(IF((DiscreteStatsTable[GroupByKey]=DiscreteStatsTable[[#This Row],[GroupByKey]]),(DiscreteStatsTable[GroupByKey]=DiscreteStatsTable[[#This Row],[GroupByKey]])*DiscreteStatsTable[Average]))</f>
        <v>47.629236120241401</v>
      </c>
      <c r="S223" s="5" cm="1">
        <f t="array" ref="S223">MAX(IF((DiscreteStatsTable[GroupByKey]=DiscreteStatsTable[[#This Row],[GroupByKey]]),(DiscreteStatsTable[GroupByKey]=DiscreteStatsTable[[#This Row],[GroupByKey]])*DiscreteStatsTable[Average]))</f>
        <v>54.364186767872503</v>
      </c>
      <c r="T223" s="5" cm="1">
        <f t="array" ref="T223">MIN(IF((DiscreteStatsTable[GroupByKey]=DiscreteStatsTable[[#This Row],[GroupByKey]]),(DiscreteStatsTable[GroupByKey]=DiscreteStatsTable[[#This Row],[GroupByKey]])*DiscreteStatsTable[Minimum]))</f>
        <v>0</v>
      </c>
      <c r="U223" s="5" cm="1">
        <f t="array" ref="U223">MAX(IF((DiscreteStatsTable[GroupByKey]=DiscreteStatsTable[[#This Row],[GroupByKey]]),(DiscreteStatsTable[GroupByKey]=DiscreteStatsTable[[#This Row],[GroupByKey]])*DiscreteStatsTable[Maximum]))</f>
        <v>642.11042136000503</v>
      </c>
      <c r="V223" s="5" cm="1">
        <f t="array" ref="V223">IFERROR(AVERAGE(IF((DiscreteStatsTable[GroupByKey]=DiscreteStatsTable[[#This Row],[GroupByKey]]),(DiscreteStatsTable[GroupByKey]=DiscreteStatsTable[[#This Row],[GroupByKey]])*DiscreteStatsTable[NumberObservations])),0)</f>
        <v>19616</v>
      </c>
      <c r="W223" s="5">
        <f>IF((DiscreteStatsTable[[#This Row],[RepsRequested]]&gt;1),DiscreteStatsTable[[#This Row],[HalfWidth]],DiscreteStatsTable[[#This Row],[BatchMeansHalfWidth]])</f>
        <v>1.6503100887163762</v>
      </c>
      <c r="X223" s="5" cm="1">
        <f t="array" ref="X223">COUNT(IF((DiscreteStatsTable[GroupByKey]=DiscreteStatsTable[[#This Row],[GroupByKey]]),(DiscreteStatsTable[GroupByKey]=DiscreteStatsTable[[#This Row],[GroupByKey]])*DiscreteStatsTable[Replication]))</f>
        <v>10</v>
      </c>
      <c r="Y223" s="5">
        <f>IF(DiscreteStatsTable[[#This Row],[RepsRequested]]=DiscreteStatsTable[[#This Row],[RepsWithStatObserved]],1,0)</f>
        <v>1</v>
      </c>
    </row>
    <row r="224" spans="1:25" x14ac:dyDescent="0.25">
      <c r="A224" t="s">
        <v>67</v>
      </c>
      <c r="B224" t="s">
        <v>69</v>
      </c>
      <c r="C224">
        <v>3</v>
      </c>
      <c r="D224" t="s">
        <v>94</v>
      </c>
      <c r="E224" t="s">
        <v>71</v>
      </c>
      <c r="F224" t="s">
        <v>72</v>
      </c>
      <c r="G224">
        <v>47.629236120241401</v>
      </c>
      <c r="H224">
        <v>4.4595868965669299</v>
      </c>
      <c r="I224">
        <v>0</v>
      </c>
      <c r="J224">
        <v>385.46320793649602</v>
      </c>
      <c r="K224">
        <v>19409</v>
      </c>
      <c r="L224" s="5" t="str">
        <f>DiscreteStatsTable[[#This Row],[ProjectName]]&amp;DiscreteStatsTable[[#This Row],[Name]]&amp;DiscreteStatsTable[[#This Row],[Type]]&amp;DiscreteStatsTable[[#This Row],[Source]]</f>
        <v>Unnamed ProjectWorkStationQWaiting TimeQueue</v>
      </c>
      <c r="M224" s="5" cm="1">
        <f t="array" ref="M224">MAX(IF((ProjectInfoTable[ProjectName]=DiscreteStatsTable[[#This Row],[ProjectName]]),(ProjectInfoTable[ProjectName]=DiscreteStatsTable[[#This Row],[ProjectName]])*ProjectInfoTable[NumberOfReplications]))</f>
        <v>10</v>
      </c>
      <c r="N224" s="5" cm="1">
        <f t="array" ref="N224">IFERROR(AVERAGE(IF((DiscreteStatsTable[GroupByKey]=DiscreteStatsTable[[#This Row],[GroupByKey]]),(DiscreteStatsTable[GroupByKey]=DiscreteStatsTable[[#This Row],[GroupByKey]])*DiscreteStatsTable[Average])),0)</f>
        <v>50.415166381141077</v>
      </c>
      <c r="O224" s="5" cm="1">
        <f t="array" ref="O224">IFERROR(_xlfn.STDEV.S(IF((DiscreteStatsTable[GroupByKey]=DiscreteStatsTable[[#This Row],[GroupByKey]]),(DiscreteStatsTable[GroupByKey]=DiscreteStatsTable[[#This Row],[GroupByKey]])*DiscreteStatsTable[Average])),0)</f>
        <v>2.3069744276489197</v>
      </c>
      <c r="P224" s="5" cm="1">
        <f t="array" ref="P224">MAX(IF((ProjectInfoTable[ProjectName]=DiscreteStatsTable[[#This Row],[ProjectName]]),(ProjectInfoTable[ProjectName]=DiscreteStatsTable[[#This Row],[ProjectName]])*ProjectInfoTable[ConfidenceInterval]))</f>
        <v>0.95</v>
      </c>
      <c r="Q224" s="5">
        <f>IF(AND(DiscreteStatsTable[[#This Row],[RepsWithStatObserved]]=1,Y224=0),200000000000000000000,IFERROR(_xlfn.T.INV.2T(1 -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1.6503100887163762</v>
      </c>
      <c r="R224" s="5" cm="1">
        <f t="array" ref="R224">MIN(IF((DiscreteStatsTable[GroupByKey]=DiscreteStatsTable[[#This Row],[GroupByKey]]),(DiscreteStatsTable[GroupByKey]=DiscreteStatsTable[[#This Row],[GroupByKey]])*DiscreteStatsTable[Average]))</f>
        <v>47.629236120241401</v>
      </c>
      <c r="S224" s="5" cm="1">
        <f t="array" ref="S224">MAX(IF((DiscreteStatsTable[GroupByKey]=DiscreteStatsTable[[#This Row],[GroupByKey]]),(DiscreteStatsTable[GroupByKey]=DiscreteStatsTable[[#This Row],[GroupByKey]])*DiscreteStatsTable[Average]))</f>
        <v>54.364186767872503</v>
      </c>
      <c r="T224" s="5" cm="1">
        <f t="array" ref="T224">MIN(IF((DiscreteStatsTable[GroupByKey]=DiscreteStatsTable[[#This Row],[GroupByKey]]),(DiscreteStatsTable[GroupByKey]=DiscreteStatsTable[[#This Row],[GroupByKey]])*DiscreteStatsTable[Minimum]))</f>
        <v>0</v>
      </c>
      <c r="U224" s="5" cm="1">
        <f t="array" ref="U224">MAX(IF((DiscreteStatsTable[GroupByKey]=DiscreteStatsTable[[#This Row],[GroupByKey]]),(DiscreteStatsTable[GroupByKey]=DiscreteStatsTable[[#This Row],[GroupByKey]])*DiscreteStatsTable[Maximum]))</f>
        <v>642.11042136000503</v>
      </c>
      <c r="V224" s="5" cm="1">
        <f t="array" ref="V224">IFERROR(AVERAGE(IF((DiscreteStatsTable[GroupByKey]=DiscreteStatsTable[[#This Row],[GroupByKey]]),(DiscreteStatsTable[GroupByKey]=DiscreteStatsTable[[#This Row],[GroupByKey]])*DiscreteStatsTable[NumberObservations])),0)</f>
        <v>19616</v>
      </c>
      <c r="W224" s="5">
        <f>IF((DiscreteStatsTable[[#This Row],[RepsRequested]]&gt;1),DiscreteStatsTable[[#This Row],[HalfWidth]],DiscreteStatsTable[[#This Row],[BatchMeansHalfWidth]])</f>
        <v>1.6503100887163762</v>
      </c>
      <c r="X224" s="5" cm="1">
        <f t="array" ref="X224">COUNT(IF((DiscreteStatsTable[GroupByKey]=DiscreteStatsTable[[#This Row],[GroupByKey]]),(DiscreteStatsTable[GroupByKey]=DiscreteStatsTable[[#This Row],[GroupByKey]])*DiscreteStatsTable[Replication]))</f>
        <v>10</v>
      </c>
      <c r="Y224" s="5">
        <f>IF(DiscreteStatsTable[[#This Row],[RepsRequested]]=DiscreteStatsTable[[#This Row],[RepsWithStatObserved]],1,0)</f>
        <v>1</v>
      </c>
    </row>
    <row r="225" spans="1:25" x14ac:dyDescent="0.25">
      <c r="A225" t="s">
        <v>67</v>
      </c>
      <c r="B225" t="s">
        <v>69</v>
      </c>
      <c r="C225">
        <v>4</v>
      </c>
      <c r="D225" t="s">
        <v>94</v>
      </c>
      <c r="E225" t="s">
        <v>71</v>
      </c>
      <c r="F225" t="s">
        <v>72</v>
      </c>
      <c r="G225">
        <v>53.452321716181302</v>
      </c>
      <c r="H225">
        <v>5.9363284396750799</v>
      </c>
      <c r="I225">
        <v>0</v>
      </c>
      <c r="J225">
        <v>434.92313303181402</v>
      </c>
      <c r="K225">
        <v>19915</v>
      </c>
      <c r="L225" s="5" t="str">
        <f>DiscreteStatsTable[[#This Row],[ProjectName]]&amp;DiscreteStatsTable[[#This Row],[Name]]&amp;DiscreteStatsTable[[#This Row],[Type]]&amp;DiscreteStatsTable[[#This Row],[Source]]</f>
        <v>Unnamed ProjectWorkStationQWaiting TimeQueue</v>
      </c>
      <c r="M225" s="5" cm="1">
        <f t="array" ref="M225">MAX(IF((ProjectInfoTable[ProjectName]=DiscreteStatsTable[[#This Row],[ProjectName]]),(ProjectInfoTable[ProjectName]=DiscreteStatsTable[[#This Row],[ProjectName]])*ProjectInfoTable[NumberOfReplications]))</f>
        <v>10</v>
      </c>
      <c r="N225" s="5" cm="1">
        <f t="array" ref="N225">IFERROR(AVERAGE(IF((DiscreteStatsTable[GroupByKey]=DiscreteStatsTable[[#This Row],[GroupByKey]]),(DiscreteStatsTable[GroupByKey]=DiscreteStatsTable[[#This Row],[GroupByKey]])*DiscreteStatsTable[Average])),0)</f>
        <v>50.415166381141077</v>
      </c>
      <c r="O225" s="5" cm="1">
        <f t="array" ref="O225">IFERROR(_xlfn.STDEV.S(IF((DiscreteStatsTable[GroupByKey]=DiscreteStatsTable[[#This Row],[GroupByKey]]),(DiscreteStatsTable[GroupByKey]=DiscreteStatsTable[[#This Row],[GroupByKey]])*DiscreteStatsTable[Average])),0)</f>
        <v>2.3069744276489197</v>
      </c>
      <c r="P225" s="5" cm="1">
        <f t="array" ref="P225">MAX(IF((ProjectInfoTable[ProjectName]=DiscreteStatsTable[[#This Row],[ProjectName]]),(ProjectInfoTable[ProjectName]=DiscreteStatsTable[[#This Row],[ProjectName]])*ProjectInfoTable[ConfidenceInterval]))</f>
        <v>0.95</v>
      </c>
      <c r="Q225" s="5">
        <f>IF(AND(DiscreteStatsTable[[#This Row],[RepsWithStatObserved]]=1,Y225=0),200000000000000000000,IFERROR(_xlfn.T.INV.2T(1 -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1.6503100887163762</v>
      </c>
      <c r="R225" s="5" cm="1">
        <f t="array" ref="R225">MIN(IF((DiscreteStatsTable[GroupByKey]=DiscreteStatsTable[[#This Row],[GroupByKey]]),(DiscreteStatsTable[GroupByKey]=DiscreteStatsTable[[#This Row],[GroupByKey]])*DiscreteStatsTable[Average]))</f>
        <v>47.629236120241401</v>
      </c>
      <c r="S225" s="5" cm="1">
        <f t="array" ref="S225">MAX(IF((DiscreteStatsTable[GroupByKey]=DiscreteStatsTable[[#This Row],[GroupByKey]]),(DiscreteStatsTable[GroupByKey]=DiscreteStatsTable[[#This Row],[GroupByKey]])*DiscreteStatsTable[Average]))</f>
        <v>54.364186767872503</v>
      </c>
      <c r="T225" s="5" cm="1">
        <f t="array" ref="T225">MIN(IF((DiscreteStatsTable[GroupByKey]=DiscreteStatsTable[[#This Row],[GroupByKey]]),(DiscreteStatsTable[GroupByKey]=DiscreteStatsTable[[#This Row],[GroupByKey]])*DiscreteStatsTable[Minimum]))</f>
        <v>0</v>
      </c>
      <c r="U225" s="5" cm="1">
        <f t="array" ref="U225">MAX(IF((DiscreteStatsTable[GroupByKey]=DiscreteStatsTable[[#This Row],[GroupByKey]]),(DiscreteStatsTable[GroupByKey]=DiscreteStatsTable[[#This Row],[GroupByKey]])*DiscreteStatsTable[Maximum]))</f>
        <v>642.11042136000503</v>
      </c>
      <c r="V225" s="5" cm="1">
        <f t="array" ref="V225">IFERROR(AVERAGE(IF((DiscreteStatsTable[GroupByKey]=DiscreteStatsTable[[#This Row],[GroupByKey]]),(DiscreteStatsTable[GroupByKey]=DiscreteStatsTable[[#This Row],[GroupByKey]])*DiscreteStatsTable[NumberObservations])),0)</f>
        <v>19616</v>
      </c>
      <c r="W225" s="5">
        <f>IF((DiscreteStatsTable[[#This Row],[RepsRequested]]&gt;1),DiscreteStatsTable[[#This Row],[HalfWidth]],DiscreteStatsTable[[#This Row],[BatchMeansHalfWidth]])</f>
        <v>1.6503100887163762</v>
      </c>
      <c r="X225" s="5" cm="1">
        <f t="array" ref="X225">COUNT(IF((DiscreteStatsTable[GroupByKey]=DiscreteStatsTable[[#This Row],[GroupByKey]]),(DiscreteStatsTable[GroupByKey]=DiscreteStatsTable[[#This Row],[GroupByKey]])*DiscreteStatsTable[Replication]))</f>
        <v>10</v>
      </c>
      <c r="Y225" s="5">
        <f>IF(DiscreteStatsTable[[#This Row],[RepsRequested]]=DiscreteStatsTable[[#This Row],[RepsWithStatObserved]],1,0)</f>
        <v>1</v>
      </c>
    </row>
    <row r="226" spans="1:25" x14ac:dyDescent="0.25">
      <c r="A226" t="s">
        <v>67</v>
      </c>
      <c r="B226" t="s">
        <v>69</v>
      </c>
      <c r="C226">
        <v>5</v>
      </c>
      <c r="D226" t="s">
        <v>94</v>
      </c>
      <c r="E226" t="s">
        <v>71</v>
      </c>
      <c r="F226" t="s">
        <v>72</v>
      </c>
      <c r="G226">
        <v>52.5928345163274</v>
      </c>
      <c r="H226">
        <v>10.287570578642599</v>
      </c>
      <c r="I226">
        <v>0</v>
      </c>
      <c r="J226">
        <v>642.11042136000503</v>
      </c>
      <c r="K226">
        <v>19495</v>
      </c>
      <c r="L226" s="5" t="str">
        <f>DiscreteStatsTable[[#This Row],[ProjectName]]&amp;DiscreteStatsTable[[#This Row],[Name]]&amp;DiscreteStatsTable[[#This Row],[Type]]&amp;DiscreteStatsTable[[#This Row],[Source]]</f>
        <v>Unnamed ProjectWorkStationQWaiting TimeQueue</v>
      </c>
      <c r="M226" s="5" cm="1">
        <f t="array" ref="M226">MAX(IF((ProjectInfoTable[ProjectName]=DiscreteStatsTable[[#This Row],[ProjectName]]),(ProjectInfoTable[ProjectName]=DiscreteStatsTable[[#This Row],[ProjectName]])*ProjectInfoTable[NumberOfReplications]))</f>
        <v>10</v>
      </c>
      <c r="N226" s="5" cm="1">
        <f t="array" ref="N226">IFERROR(AVERAGE(IF((DiscreteStatsTable[GroupByKey]=DiscreteStatsTable[[#This Row],[GroupByKey]]),(DiscreteStatsTable[GroupByKey]=DiscreteStatsTable[[#This Row],[GroupByKey]])*DiscreteStatsTable[Average])),0)</f>
        <v>50.415166381141077</v>
      </c>
      <c r="O226" s="5" cm="1">
        <f t="array" ref="O226">IFERROR(_xlfn.STDEV.S(IF((DiscreteStatsTable[GroupByKey]=DiscreteStatsTable[[#This Row],[GroupByKey]]),(DiscreteStatsTable[GroupByKey]=DiscreteStatsTable[[#This Row],[GroupByKey]])*DiscreteStatsTable[Average])),0)</f>
        <v>2.3069744276489197</v>
      </c>
      <c r="P226" s="5" cm="1">
        <f t="array" ref="P226">MAX(IF((ProjectInfoTable[ProjectName]=DiscreteStatsTable[[#This Row],[ProjectName]]),(ProjectInfoTable[ProjectName]=DiscreteStatsTable[[#This Row],[ProjectName]])*ProjectInfoTable[ConfidenceInterval]))</f>
        <v>0.95</v>
      </c>
      <c r="Q226" s="5">
        <f>IF(AND(DiscreteStatsTable[[#This Row],[RepsWithStatObserved]]=1,Y226=0),200000000000000000000,IFERROR(_xlfn.T.INV.2T(1 -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1.6503100887163762</v>
      </c>
      <c r="R226" s="5" cm="1">
        <f t="array" ref="R226">MIN(IF((DiscreteStatsTable[GroupByKey]=DiscreteStatsTable[[#This Row],[GroupByKey]]),(DiscreteStatsTable[GroupByKey]=DiscreteStatsTable[[#This Row],[GroupByKey]])*DiscreteStatsTable[Average]))</f>
        <v>47.629236120241401</v>
      </c>
      <c r="S226" s="5" cm="1">
        <f t="array" ref="S226">MAX(IF((DiscreteStatsTable[GroupByKey]=DiscreteStatsTable[[#This Row],[GroupByKey]]),(DiscreteStatsTable[GroupByKey]=DiscreteStatsTable[[#This Row],[GroupByKey]])*DiscreteStatsTable[Average]))</f>
        <v>54.364186767872503</v>
      </c>
      <c r="T226" s="5" cm="1">
        <f t="array" ref="T226">MIN(IF((DiscreteStatsTable[GroupByKey]=DiscreteStatsTable[[#This Row],[GroupByKey]]),(DiscreteStatsTable[GroupByKey]=DiscreteStatsTable[[#This Row],[GroupByKey]])*DiscreteStatsTable[Minimum]))</f>
        <v>0</v>
      </c>
      <c r="U226" s="5" cm="1">
        <f t="array" ref="U226">MAX(IF((DiscreteStatsTable[GroupByKey]=DiscreteStatsTable[[#This Row],[GroupByKey]]),(DiscreteStatsTable[GroupByKey]=DiscreteStatsTable[[#This Row],[GroupByKey]])*DiscreteStatsTable[Maximum]))</f>
        <v>642.11042136000503</v>
      </c>
      <c r="V226" s="5" cm="1">
        <f t="array" ref="V226">IFERROR(AVERAGE(IF((DiscreteStatsTable[GroupByKey]=DiscreteStatsTable[[#This Row],[GroupByKey]]),(DiscreteStatsTable[GroupByKey]=DiscreteStatsTable[[#This Row],[GroupByKey]])*DiscreteStatsTable[NumberObservations])),0)</f>
        <v>19616</v>
      </c>
      <c r="W226" s="5">
        <f>IF((DiscreteStatsTable[[#This Row],[RepsRequested]]&gt;1),DiscreteStatsTable[[#This Row],[HalfWidth]],DiscreteStatsTable[[#This Row],[BatchMeansHalfWidth]])</f>
        <v>1.6503100887163762</v>
      </c>
      <c r="X226" s="5" cm="1">
        <f t="array" ref="X226">COUNT(IF((DiscreteStatsTable[GroupByKey]=DiscreteStatsTable[[#This Row],[GroupByKey]]),(DiscreteStatsTable[GroupByKey]=DiscreteStatsTable[[#This Row],[GroupByKey]])*DiscreteStatsTable[Replication]))</f>
        <v>10</v>
      </c>
      <c r="Y226" s="5">
        <f>IF(DiscreteStatsTable[[#This Row],[RepsRequested]]=DiscreteStatsTable[[#This Row],[RepsWithStatObserved]],1,0)</f>
        <v>1</v>
      </c>
    </row>
    <row r="227" spans="1:25" x14ac:dyDescent="0.25">
      <c r="A227" t="s">
        <v>67</v>
      </c>
      <c r="B227" t="s">
        <v>69</v>
      </c>
      <c r="C227">
        <v>6</v>
      </c>
      <c r="D227" t="s">
        <v>94</v>
      </c>
      <c r="E227" t="s">
        <v>71</v>
      </c>
      <c r="F227" t="s">
        <v>72</v>
      </c>
      <c r="G227">
        <v>54.364186767872503</v>
      </c>
      <c r="H227">
        <v>5.8019511376707902</v>
      </c>
      <c r="I227">
        <v>0</v>
      </c>
      <c r="J227">
        <v>387.39112989033998</v>
      </c>
      <c r="K227">
        <v>19858</v>
      </c>
      <c r="L227" s="5" t="str">
        <f>DiscreteStatsTable[[#This Row],[ProjectName]]&amp;DiscreteStatsTable[[#This Row],[Name]]&amp;DiscreteStatsTable[[#This Row],[Type]]&amp;DiscreteStatsTable[[#This Row],[Source]]</f>
        <v>Unnamed ProjectWorkStationQWaiting TimeQueue</v>
      </c>
      <c r="M227" s="5" cm="1">
        <f t="array" ref="M227">MAX(IF((ProjectInfoTable[ProjectName]=DiscreteStatsTable[[#This Row],[ProjectName]]),(ProjectInfoTable[ProjectName]=DiscreteStatsTable[[#This Row],[ProjectName]])*ProjectInfoTable[NumberOfReplications]))</f>
        <v>10</v>
      </c>
      <c r="N227" s="5" cm="1">
        <f t="array" ref="N227">IFERROR(AVERAGE(IF((DiscreteStatsTable[GroupByKey]=DiscreteStatsTable[[#This Row],[GroupByKey]]),(DiscreteStatsTable[GroupByKey]=DiscreteStatsTable[[#This Row],[GroupByKey]])*DiscreteStatsTable[Average])),0)</f>
        <v>50.415166381141077</v>
      </c>
      <c r="O227" s="5" cm="1">
        <f t="array" ref="O227">IFERROR(_xlfn.STDEV.S(IF((DiscreteStatsTable[GroupByKey]=DiscreteStatsTable[[#This Row],[GroupByKey]]),(DiscreteStatsTable[GroupByKey]=DiscreteStatsTable[[#This Row],[GroupByKey]])*DiscreteStatsTable[Average])),0)</f>
        <v>2.3069744276489197</v>
      </c>
      <c r="P227" s="5" cm="1">
        <f t="array" ref="P227">MAX(IF((ProjectInfoTable[ProjectName]=DiscreteStatsTable[[#This Row],[ProjectName]]),(ProjectInfoTable[ProjectName]=DiscreteStatsTable[[#This Row],[ProjectName]])*ProjectInfoTable[ConfidenceInterval]))</f>
        <v>0.95</v>
      </c>
      <c r="Q227" s="5">
        <f>IF(AND(DiscreteStatsTable[[#This Row],[RepsWithStatObserved]]=1,Y227=0),200000000000000000000,IFERROR(_xlfn.T.INV.2T(1 -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1.6503100887163762</v>
      </c>
      <c r="R227" s="5" cm="1">
        <f t="array" ref="R227">MIN(IF((DiscreteStatsTable[GroupByKey]=DiscreteStatsTable[[#This Row],[GroupByKey]]),(DiscreteStatsTable[GroupByKey]=DiscreteStatsTable[[#This Row],[GroupByKey]])*DiscreteStatsTable[Average]))</f>
        <v>47.629236120241401</v>
      </c>
      <c r="S227" s="5" cm="1">
        <f t="array" ref="S227">MAX(IF((DiscreteStatsTable[GroupByKey]=DiscreteStatsTable[[#This Row],[GroupByKey]]),(DiscreteStatsTable[GroupByKey]=DiscreteStatsTable[[#This Row],[GroupByKey]])*DiscreteStatsTable[Average]))</f>
        <v>54.364186767872503</v>
      </c>
      <c r="T227" s="5" cm="1">
        <f t="array" ref="T227">MIN(IF((DiscreteStatsTable[GroupByKey]=DiscreteStatsTable[[#This Row],[GroupByKey]]),(DiscreteStatsTable[GroupByKey]=DiscreteStatsTable[[#This Row],[GroupByKey]])*DiscreteStatsTable[Minimum]))</f>
        <v>0</v>
      </c>
      <c r="U227" s="5" cm="1">
        <f t="array" ref="U227">MAX(IF((DiscreteStatsTable[GroupByKey]=DiscreteStatsTable[[#This Row],[GroupByKey]]),(DiscreteStatsTable[GroupByKey]=DiscreteStatsTable[[#This Row],[GroupByKey]])*DiscreteStatsTable[Maximum]))</f>
        <v>642.11042136000503</v>
      </c>
      <c r="V227" s="5" cm="1">
        <f t="array" ref="V227">IFERROR(AVERAGE(IF((DiscreteStatsTable[GroupByKey]=DiscreteStatsTable[[#This Row],[GroupByKey]]),(DiscreteStatsTable[GroupByKey]=DiscreteStatsTable[[#This Row],[GroupByKey]])*DiscreteStatsTable[NumberObservations])),0)</f>
        <v>19616</v>
      </c>
      <c r="W227" s="5">
        <f>IF((DiscreteStatsTable[[#This Row],[RepsRequested]]&gt;1),DiscreteStatsTable[[#This Row],[HalfWidth]],DiscreteStatsTable[[#This Row],[BatchMeansHalfWidth]])</f>
        <v>1.6503100887163762</v>
      </c>
      <c r="X227" s="5" cm="1">
        <f t="array" ref="X227">COUNT(IF((DiscreteStatsTable[GroupByKey]=DiscreteStatsTable[[#This Row],[GroupByKey]]),(DiscreteStatsTable[GroupByKey]=DiscreteStatsTable[[#This Row],[GroupByKey]])*DiscreteStatsTable[Replication]))</f>
        <v>10</v>
      </c>
      <c r="Y227" s="5">
        <f>IF(DiscreteStatsTable[[#This Row],[RepsRequested]]=DiscreteStatsTable[[#This Row],[RepsWithStatObserved]],1,0)</f>
        <v>1</v>
      </c>
    </row>
    <row r="228" spans="1:25" x14ac:dyDescent="0.25">
      <c r="A228" t="s">
        <v>67</v>
      </c>
      <c r="B228" t="s">
        <v>69</v>
      </c>
      <c r="C228">
        <v>7</v>
      </c>
      <c r="D228" t="s">
        <v>94</v>
      </c>
      <c r="E228" t="s">
        <v>71</v>
      </c>
      <c r="F228" t="s">
        <v>72</v>
      </c>
      <c r="G228">
        <v>48.380015253898598</v>
      </c>
      <c r="H228">
        <v>5.7663096989588798</v>
      </c>
      <c r="I228">
        <v>0</v>
      </c>
      <c r="J228">
        <v>526.57800537219703</v>
      </c>
      <c r="K228">
        <v>19570</v>
      </c>
      <c r="L228" s="5" t="str">
        <f>DiscreteStatsTable[[#This Row],[ProjectName]]&amp;DiscreteStatsTable[[#This Row],[Name]]&amp;DiscreteStatsTable[[#This Row],[Type]]&amp;DiscreteStatsTable[[#This Row],[Source]]</f>
        <v>Unnamed ProjectWorkStationQWaiting TimeQueue</v>
      </c>
      <c r="M228" s="5" cm="1">
        <f t="array" ref="M228">MAX(IF((ProjectInfoTable[ProjectName]=DiscreteStatsTable[[#This Row],[ProjectName]]),(ProjectInfoTable[ProjectName]=DiscreteStatsTable[[#This Row],[ProjectName]])*ProjectInfoTable[NumberOfReplications]))</f>
        <v>10</v>
      </c>
      <c r="N228" s="5" cm="1">
        <f t="array" ref="N228">IFERROR(AVERAGE(IF((DiscreteStatsTable[GroupByKey]=DiscreteStatsTable[[#This Row],[GroupByKey]]),(DiscreteStatsTable[GroupByKey]=DiscreteStatsTable[[#This Row],[GroupByKey]])*DiscreteStatsTable[Average])),0)</f>
        <v>50.415166381141077</v>
      </c>
      <c r="O228" s="5" cm="1">
        <f t="array" ref="O228">IFERROR(_xlfn.STDEV.S(IF((DiscreteStatsTable[GroupByKey]=DiscreteStatsTable[[#This Row],[GroupByKey]]),(DiscreteStatsTable[GroupByKey]=DiscreteStatsTable[[#This Row],[GroupByKey]])*DiscreteStatsTable[Average])),0)</f>
        <v>2.3069744276489197</v>
      </c>
      <c r="P228" s="5" cm="1">
        <f t="array" ref="P228">MAX(IF((ProjectInfoTable[ProjectName]=DiscreteStatsTable[[#This Row],[ProjectName]]),(ProjectInfoTable[ProjectName]=DiscreteStatsTable[[#This Row],[ProjectName]])*ProjectInfoTable[ConfidenceInterval]))</f>
        <v>0.95</v>
      </c>
      <c r="Q228" s="5">
        <f>IF(AND(DiscreteStatsTable[[#This Row],[RepsWithStatObserved]]=1,Y228=0),200000000000000000000,IFERROR(_xlfn.T.INV.2T(1 -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1.6503100887163762</v>
      </c>
      <c r="R228" s="5" cm="1">
        <f t="array" ref="R228">MIN(IF((DiscreteStatsTable[GroupByKey]=DiscreteStatsTable[[#This Row],[GroupByKey]]),(DiscreteStatsTable[GroupByKey]=DiscreteStatsTable[[#This Row],[GroupByKey]])*DiscreteStatsTable[Average]))</f>
        <v>47.629236120241401</v>
      </c>
      <c r="S228" s="5" cm="1">
        <f t="array" ref="S228">MAX(IF((DiscreteStatsTable[GroupByKey]=DiscreteStatsTable[[#This Row],[GroupByKey]]),(DiscreteStatsTable[GroupByKey]=DiscreteStatsTable[[#This Row],[GroupByKey]])*DiscreteStatsTable[Average]))</f>
        <v>54.364186767872503</v>
      </c>
      <c r="T228" s="5" cm="1">
        <f t="array" ref="T228">MIN(IF((DiscreteStatsTable[GroupByKey]=DiscreteStatsTable[[#This Row],[GroupByKey]]),(DiscreteStatsTable[GroupByKey]=DiscreteStatsTable[[#This Row],[GroupByKey]])*DiscreteStatsTable[Minimum]))</f>
        <v>0</v>
      </c>
      <c r="U228" s="5" cm="1">
        <f t="array" ref="U228">MAX(IF((DiscreteStatsTable[GroupByKey]=DiscreteStatsTable[[#This Row],[GroupByKey]]),(DiscreteStatsTable[GroupByKey]=DiscreteStatsTable[[#This Row],[GroupByKey]])*DiscreteStatsTable[Maximum]))</f>
        <v>642.11042136000503</v>
      </c>
      <c r="V228" s="5" cm="1">
        <f t="array" ref="V228">IFERROR(AVERAGE(IF((DiscreteStatsTable[GroupByKey]=DiscreteStatsTable[[#This Row],[GroupByKey]]),(DiscreteStatsTable[GroupByKey]=DiscreteStatsTable[[#This Row],[GroupByKey]])*DiscreteStatsTable[NumberObservations])),0)</f>
        <v>19616</v>
      </c>
      <c r="W228" s="5">
        <f>IF((DiscreteStatsTable[[#This Row],[RepsRequested]]&gt;1),DiscreteStatsTable[[#This Row],[HalfWidth]],DiscreteStatsTable[[#This Row],[BatchMeansHalfWidth]])</f>
        <v>1.6503100887163762</v>
      </c>
      <c r="X228" s="5" cm="1">
        <f t="array" ref="X228">COUNT(IF((DiscreteStatsTable[GroupByKey]=DiscreteStatsTable[[#This Row],[GroupByKey]]),(DiscreteStatsTable[GroupByKey]=DiscreteStatsTable[[#This Row],[GroupByKey]])*DiscreteStatsTable[Replication]))</f>
        <v>10</v>
      </c>
      <c r="Y228" s="5">
        <f>IF(DiscreteStatsTable[[#This Row],[RepsRequested]]=DiscreteStatsTable[[#This Row],[RepsWithStatObserved]],1,0)</f>
        <v>1</v>
      </c>
    </row>
    <row r="229" spans="1:25" x14ac:dyDescent="0.25">
      <c r="A229" t="s">
        <v>67</v>
      </c>
      <c r="B229" t="s">
        <v>69</v>
      </c>
      <c r="C229">
        <v>8</v>
      </c>
      <c r="D229" t="s">
        <v>94</v>
      </c>
      <c r="E229" t="s">
        <v>71</v>
      </c>
      <c r="F229" t="s">
        <v>72</v>
      </c>
      <c r="G229">
        <v>49.9368587978474</v>
      </c>
      <c r="H229">
        <v>4.1138181429501497</v>
      </c>
      <c r="I229">
        <v>0</v>
      </c>
      <c r="J229">
        <v>445.46358669071901</v>
      </c>
      <c r="K229">
        <v>19695</v>
      </c>
      <c r="L229" s="5" t="str">
        <f>DiscreteStatsTable[[#This Row],[ProjectName]]&amp;DiscreteStatsTable[[#This Row],[Name]]&amp;DiscreteStatsTable[[#This Row],[Type]]&amp;DiscreteStatsTable[[#This Row],[Source]]</f>
        <v>Unnamed ProjectWorkStationQWaiting TimeQueue</v>
      </c>
      <c r="M229" s="5" cm="1">
        <f t="array" ref="M229">MAX(IF((ProjectInfoTable[ProjectName]=DiscreteStatsTable[[#This Row],[ProjectName]]),(ProjectInfoTable[ProjectName]=DiscreteStatsTable[[#This Row],[ProjectName]])*ProjectInfoTable[NumberOfReplications]))</f>
        <v>10</v>
      </c>
      <c r="N229" s="5" cm="1">
        <f t="array" ref="N229">IFERROR(AVERAGE(IF((DiscreteStatsTable[GroupByKey]=DiscreteStatsTable[[#This Row],[GroupByKey]]),(DiscreteStatsTable[GroupByKey]=DiscreteStatsTable[[#This Row],[GroupByKey]])*DiscreteStatsTable[Average])),0)</f>
        <v>50.415166381141077</v>
      </c>
      <c r="O229" s="5" cm="1">
        <f t="array" ref="O229">IFERROR(_xlfn.STDEV.S(IF((DiscreteStatsTable[GroupByKey]=DiscreteStatsTable[[#This Row],[GroupByKey]]),(DiscreteStatsTable[GroupByKey]=DiscreteStatsTable[[#This Row],[GroupByKey]])*DiscreteStatsTable[Average])),0)</f>
        <v>2.3069744276489197</v>
      </c>
      <c r="P229" s="5" cm="1">
        <f t="array" ref="P229">MAX(IF((ProjectInfoTable[ProjectName]=DiscreteStatsTable[[#This Row],[ProjectName]]),(ProjectInfoTable[ProjectName]=DiscreteStatsTable[[#This Row],[ProjectName]])*ProjectInfoTable[ConfidenceInterval]))</f>
        <v>0.95</v>
      </c>
      <c r="Q229" s="5">
        <f>IF(AND(DiscreteStatsTable[[#This Row],[RepsWithStatObserved]]=1,Y229=0),200000000000000000000,IFERROR(_xlfn.T.INV.2T(1 -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1.6503100887163762</v>
      </c>
      <c r="R229" s="5" cm="1">
        <f t="array" ref="R229">MIN(IF((DiscreteStatsTable[GroupByKey]=DiscreteStatsTable[[#This Row],[GroupByKey]]),(DiscreteStatsTable[GroupByKey]=DiscreteStatsTable[[#This Row],[GroupByKey]])*DiscreteStatsTable[Average]))</f>
        <v>47.629236120241401</v>
      </c>
      <c r="S229" s="5" cm="1">
        <f t="array" ref="S229">MAX(IF((DiscreteStatsTable[GroupByKey]=DiscreteStatsTable[[#This Row],[GroupByKey]]),(DiscreteStatsTable[GroupByKey]=DiscreteStatsTable[[#This Row],[GroupByKey]])*DiscreteStatsTable[Average]))</f>
        <v>54.364186767872503</v>
      </c>
      <c r="T229" s="5" cm="1">
        <f t="array" ref="T229">MIN(IF((DiscreteStatsTable[GroupByKey]=DiscreteStatsTable[[#This Row],[GroupByKey]]),(DiscreteStatsTable[GroupByKey]=DiscreteStatsTable[[#This Row],[GroupByKey]])*DiscreteStatsTable[Minimum]))</f>
        <v>0</v>
      </c>
      <c r="U229" s="5" cm="1">
        <f t="array" ref="U229">MAX(IF((DiscreteStatsTable[GroupByKey]=DiscreteStatsTable[[#This Row],[GroupByKey]]),(DiscreteStatsTable[GroupByKey]=DiscreteStatsTable[[#This Row],[GroupByKey]])*DiscreteStatsTable[Maximum]))</f>
        <v>642.11042136000503</v>
      </c>
      <c r="V229" s="5" cm="1">
        <f t="array" ref="V229">IFERROR(AVERAGE(IF((DiscreteStatsTable[GroupByKey]=DiscreteStatsTable[[#This Row],[GroupByKey]]),(DiscreteStatsTable[GroupByKey]=DiscreteStatsTable[[#This Row],[GroupByKey]])*DiscreteStatsTable[NumberObservations])),0)</f>
        <v>19616</v>
      </c>
      <c r="W229" s="5">
        <f>IF((DiscreteStatsTable[[#This Row],[RepsRequested]]&gt;1),DiscreteStatsTable[[#This Row],[HalfWidth]],DiscreteStatsTable[[#This Row],[BatchMeansHalfWidth]])</f>
        <v>1.6503100887163762</v>
      </c>
      <c r="X229" s="5" cm="1">
        <f t="array" ref="X229">COUNT(IF((DiscreteStatsTable[GroupByKey]=DiscreteStatsTable[[#This Row],[GroupByKey]]),(DiscreteStatsTable[GroupByKey]=DiscreteStatsTable[[#This Row],[GroupByKey]])*DiscreteStatsTable[Replication]))</f>
        <v>10</v>
      </c>
      <c r="Y229" s="5">
        <f>IF(DiscreteStatsTable[[#This Row],[RepsRequested]]=DiscreteStatsTable[[#This Row],[RepsWithStatObserved]],1,0)</f>
        <v>1</v>
      </c>
    </row>
    <row r="230" spans="1:25" x14ac:dyDescent="0.25">
      <c r="A230" t="s">
        <v>67</v>
      </c>
      <c r="B230" t="s">
        <v>69</v>
      </c>
      <c r="C230">
        <v>9</v>
      </c>
      <c r="D230" t="s">
        <v>94</v>
      </c>
      <c r="E230" t="s">
        <v>71</v>
      </c>
      <c r="F230" t="s">
        <v>72</v>
      </c>
      <c r="G230">
        <v>48.890873569852197</v>
      </c>
      <c r="H230">
        <v>5.3179835995174098</v>
      </c>
      <c r="I230">
        <v>0</v>
      </c>
      <c r="J230">
        <v>473.17029942909699</v>
      </c>
      <c r="K230">
        <v>19616</v>
      </c>
      <c r="L230" s="5" t="str">
        <f>DiscreteStatsTable[[#This Row],[ProjectName]]&amp;DiscreteStatsTable[[#This Row],[Name]]&amp;DiscreteStatsTable[[#This Row],[Type]]&amp;DiscreteStatsTable[[#This Row],[Source]]</f>
        <v>Unnamed ProjectWorkStationQWaiting TimeQueue</v>
      </c>
      <c r="M230" s="5" cm="1">
        <f t="array" ref="M230">MAX(IF((ProjectInfoTable[ProjectName]=DiscreteStatsTable[[#This Row],[ProjectName]]),(ProjectInfoTable[ProjectName]=DiscreteStatsTable[[#This Row],[ProjectName]])*ProjectInfoTable[NumberOfReplications]))</f>
        <v>10</v>
      </c>
      <c r="N230" s="5" cm="1">
        <f t="array" ref="N230">IFERROR(AVERAGE(IF((DiscreteStatsTable[GroupByKey]=DiscreteStatsTable[[#This Row],[GroupByKey]]),(DiscreteStatsTable[GroupByKey]=DiscreteStatsTable[[#This Row],[GroupByKey]])*DiscreteStatsTable[Average])),0)</f>
        <v>50.415166381141077</v>
      </c>
      <c r="O230" s="5" cm="1">
        <f t="array" ref="O230">IFERROR(_xlfn.STDEV.S(IF((DiscreteStatsTable[GroupByKey]=DiscreteStatsTable[[#This Row],[GroupByKey]]),(DiscreteStatsTable[GroupByKey]=DiscreteStatsTable[[#This Row],[GroupByKey]])*DiscreteStatsTable[Average])),0)</f>
        <v>2.3069744276489197</v>
      </c>
      <c r="P230" s="5" cm="1">
        <f t="array" ref="P230">MAX(IF((ProjectInfoTable[ProjectName]=DiscreteStatsTable[[#This Row],[ProjectName]]),(ProjectInfoTable[ProjectName]=DiscreteStatsTable[[#This Row],[ProjectName]])*ProjectInfoTable[ConfidenceInterval]))</f>
        <v>0.95</v>
      </c>
      <c r="Q230" s="5">
        <f>IF(AND(DiscreteStatsTable[[#This Row],[RepsWithStatObserved]]=1,Y230=0),200000000000000000000,IFERROR(_xlfn.T.INV.2T(1 -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1.6503100887163762</v>
      </c>
      <c r="R230" s="5" cm="1">
        <f t="array" ref="R230">MIN(IF((DiscreteStatsTable[GroupByKey]=DiscreteStatsTable[[#This Row],[GroupByKey]]),(DiscreteStatsTable[GroupByKey]=DiscreteStatsTable[[#This Row],[GroupByKey]])*DiscreteStatsTable[Average]))</f>
        <v>47.629236120241401</v>
      </c>
      <c r="S230" s="5" cm="1">
        <f t="array" ref="S230">MAX(IF((DiscreteStatsTable[GroupByKey]=DiscreteStatsTable[[#This Row],[GroupByKey]]),(DiscreteStatsTable[GroupByKey]=DiscreteStatsTable[[#This Row],[GroupByKey]])*DiscreteStatsTable[Average]))</f>
        <v>54.364186767872503</v>
      </c>
      <c r="T230" s="5" cm="1">
        <f t="array" ref="T230">MIN(IF((DiscreteStatsTable[GroupByKey]=DiscreteStatsTable[[#This Row],[GroupByKey]]),(DiscreteStatsTable[GroupByKey]=DiscreteStatsTable[[#This Row],[GroupByKey]])*DiscreteStatsTable[Minimum]))</f>
        <v>0</v>
      </c>
      <c r="U230" s="5" cm="1">
        <f t="array" ref="U230">MAX(IF((DiscreteStatsTable[GroupByKey]=DiscreteStatsTable[[#This Row],[GroupByKey]]),(DiscreteStatsTable[GroupByKey]=DiscreteStatsTable[[#This Row],[GroupByKey]])*DiscreteStatsTable[Maximum]))</f>
        <v>642.11042136000503</v>
      </c>
      <c r="V230" s="5" cm="1">
        <f t="array" ref="V230">IFERROR(AVERAGE(IF((DiscreteStatsTable[GroupByKey]=DiscreteStatsTable[[#This Row],[GroupByKey]]),(DiscreteStatsTable[GroupByKey]=DiscreteStatsTable[[#This Row],[GroupByKey]])*DiscreteStatsTable[NumberObservations])),0)</f>
        <v>19616</v>
      </c>
      <c r="W230" s="5">
        <f>IF((DiscreteStatsTable[[#This Row],[RepsRequested]]&gt;1),DiscreteStatsTable[[#This Row],[HalfWidth]],DiscreteStatsTable[[#This Row],[BatchMeansHalfWidth]])</f>
        <v>1.6503100887163762</v>
      </c>
      <c r="X230" s="5" cm="1">
        <f t="array" ref="X230">COUNT(IF((DiscreteStatsTable[GroupByKey]=DiscreteStatsTable[[#This Row],[GroupByKey]]),(DiscreteStatsTable[GroupByKey]=DiscreteStatsTable[[#This Row],[GroupByKey]])*DiscreteStatsTable[Replication]))</f>
        <v>10</v>
      </c>
      <c r="Y230" s="5">
        <f>IF(DiscreteStatsTable[[#This Row],[RepsRequested]]=DiscreteStatsTable[[#This Row],[RepsWithStatObserved]],1,0)</f>
        <v>1</v>
      </c>
    </row>
    <row r="231" spans="1:25" x14ac:dyDescent="0.25">
      <c r="A231" t="s">
        <v>67</v>
      </c>
      <c r="B231" t="s">
        <v>69</v>
      </c>
      <c r="C231">
        <v>10</v>
      </c>
      <c r="D231" t="s">
        <v>94</v>
      </c>
      <c r="E231" t="s">
        <v>71</v>
      </c>
      <c r="F231" t="s">
        <v>72</v>
      </c>
      <c r="G231">
        <v>48.4731926657578</v>
      </c>
      <c r="H231">
        <v>5.2284148413076998</v>
      </c>
      <c r="I231">
        <v>0</v>
      </c>
      <c r="J231">
        <v>449.85679526341801</v>
      </c>
      <c r="K231">
        <v>19533</v>
      </c>
      <c r="L231" s="5" t="str">
        <f>DiscreteStatsTable[[#This Row],[ProjectName]]&amp;DiscreteStatsTable[[#This Row],[Name]]&amp;DiscreteStatsTable[[#This Row],[Type]]&amp;DiscreteStatsTable[[#This Row],[Source]]</f>
        <v>Unnamed ProjectWorkStationQWaiting TimeQueue</v>
      </c>
      <c r="M231" s="5" cm="1">
        <f t="array" ref="M231">MAX(IF((ProjectInfoTable[ProjectName]=DiscreteStatsTable[[#This Row],[ProjectName]]),(ProjectInfoTable[ProjectName]=DiscreteStatsTable[[#This Row],[ProjectName]])*ProjectInfoTable[NumberOfReplications]))</f>
        <v>10</v>
      </c>
      <c r="N231" s="5" cm="1">
        <f t="array" ref="N231">IFERROR(AVERAGE(IF((DiscreteStatsTable[GroupByKey]=DiscreteStatsTable[[#This Row],[GroupByKey]]),(DiscreteStatsTable[GroupByKey]=DiscreteStatsTable[[#This Row],[GroupByKey]])*DiscreteStatsTable[Average])),0)</f>
        <v>50.415166381141077</v>
      </c>
      <c r="O231" s="5" cm="1">
        <f t="array" ref="O231">IFERROR(_xlfn.STDEV.S(IF((DiscreteStatsTable[GroupByKey]=DiscreteStatsTable[[#This Row],[GroupByKey]]),(DiscreteStatsTable[GroupByKey]=DiscreteStatsTable[[#This Row],[GroupByKey]])*DiscreteStatsTable[Average])),0)</f>
        <v>2.3069744276489197</v>
      </c>
      <c r="P231" s="5" cm="1">
        <f t="array" ref="P231">MAX(IF((ProjectInfoTable[ProjectName]=DiscreteStatsTable[[#This Row],[ProjectName]]),(ProjectInfoTable[ProjectName]=DiscreteStatsTable[[#This Row],[ProjectName]])*ProjectInfoTable[ConfidenceInterval]))</f>
        <v>0.95</v>
      </c>
      <c r="Q231" s="5">
        <f>IF(AND(DiscreteStatsTable[[#This Row],[RepsWithStatObserved]]=1,Y231=0),200000000000000000000,IFERROR(_xlfn.T.INV.2T(1 -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1.6503100887163762</v>
      </c>
      <c r="R231" s="5" cm="1">
        <f t="array" ref="R231">MIN(IF((DiscreteStatsTable[GroupByKey]=DiscreteStatsTable[[#This Row],[GroupByKey]]),(DiscreteStatsTable[GroupByKey]=DiscreteStatsTable[[#This Row],[GroupByKey]])*DiscreteStatsTable[Average]))</f>
        <v>47.629236120241401</v>
      </c>
      <c r="S231" s="5" cm="1">
        <f t="array" ref="S231">MAX(IF((DiscreteStatsTable[GroupByKey]=DiscreteStatsTable[[#This Row],[GroupByKey]]),(DiscreteStatsTable[GroupByKey]=DiscreteStatsTable[[#This Row],[GroupByKey]])*DiscreteStatsTable[Average]))</f>
        <v>54.364186767872503</v>
      </c>
      <c r="T231" s="5" cm="1">
        <f t="array" ref="T231">MIN(IF((DiscreteStatsTable[GroupByKey]=DiscreteStatsTable[[#This Row],[GroupByKey]]),(DiscreteStatsTable[GroupByKey]=DiscreteStatsTable[[#This Row],[GroupByKey]])*DiscreteStatsTable[Minimum]))</f>
        <v>0</v>
      </c>
      <c r="U231" s="5" cm="1">
        <f t="array" ref="U231">MAX(IF((DiscreteStatsTable[GroupByKey]=DiscreteStatsTable[[#This Row],[GroupByKey]]),(DiscreteStatsTable[GroupByKey]=DiscreteStatsTable[[#This Row],[GroupByKey]])*DiscreteStatsTable[Maximum]))</f>
        <v>642.11042136000503</v>
      </c>
      <c r="V231" s="5" cm="1">
        <f t="array" ref="V231">IFERROR(AVERAGE(IF((DiscreteStatsTable[GroupByKey]=DiscreteStatsTable[[#This Row],[GroupByKey]]),(DiscreteStatsTable[GroupByKey]=DiscreteStatsTable[[#This Row],[GroupByKey]])*DiscreteStatsTable[NumberObservations])),0)</f>
        <v>19616</v>
      </c>
      <c r="W231" s="5">
        <f>IF((DiscreteStatsTable[[#This Row],[RepsRequested]]&gt;1),DiscreteStatsTable[[#This Row],[HalfWidth]],DiscreteStatsTable[[#This Row],[BatchMeansHalfWidth]])</f>
        <v>1.6503100887163762</v>
      </c>
      <c r="X231" s="5" cm="1">
        <f t="array" ref="X231">COUNT(IF((DiscreteStatsTable[GroupByKey]=DiscreteStatsTable[[#This Row],[GroupByKey]]),(DiscreteStatsTable[GroupByKey]=DiscreteStatsTable[[#This Row],[GroupByKey]])*DiscreteStatsTable[Replication]))</f>
        <v>10</v>
      </c>
      <c r="Y231" s="5">
        <f>IF(DiscreteStatsTable[[#This Row],[RepsRequested]]=DiscreteStatsTable[[#This Row],[RepsWithStatObserved]],1,0)</f>
        <v>1</v>
      </c>
    </row>
    <row r="232" spans="1:25" x14ac:dyDescent="0.25">
      <c r="A232" t="s">
        <v>67</v>
      </c>
      <c r="B232" t="s">
        <v>69</v>
      </c>
      <c r="C232">
        <v>1</v>
      </c>
      <c r="D232" t="s">
        <v>95</v>
      </c>
      <c r="E232" t="s">
        <v>71</v>
      </c>
      <c r="F232" t="s">
        <v>72</v>
      </c>
      <c r="G232">
        <v>0.35685805388064901</v>
      </c>
      <c r="H232">
        <v>2.4193931936433499E-2</v>
      </c>
      <c r="I232">
        <v>0</v>
      </c>
      <c r="J232">
        <v>12.6437908349326</v>
      </c>
      <c r="K232">
        <v>19448</v>
      </c>
      <c r="L232" s="5" t="str">
        <f>DiscreteStatsTable[[#This Row],[ProjectName]]&amp;DiscreteStatsTable[[#This Row],[Name]]&amp;DiscreteStatsTable[[#This Row],[Type]]&amp;DiscreteStatsTable[[#This Row],[Source]]</f>
        <v>Unnamed ProjectWorkStationReqQWaiting TimeQueue</v>
      </c>
      <c r="M232" s="5" cm="1">
        <f t="array" ref="M232">MAX(IF((ProjectInfoTable[ProjectName]=DiscreteStatsTable[[#This Row],[ProjectName]]),(ProjectInfoTable[ProjectName]=DiscreteStatsTable[[#This Row],[ProjectName]])*ProjectInfoTable[NumberOfReplications]))</f>
        <v>10</v>
      </c>
      <c r="N232" s="5" cm="1">
        <f t="array" ref="N232">IFERROR(AVERAGE(IF((DiscreteStatsTable[GroupByKey]=DiscreteStatsTable[[#This Row],[GroupByKey]]),(DiscreteStatsTable[GroupByKey]=DiscreteStatsTable[[#This Row],[GroupByKey]])*DiscreteStatsTable[Average])),0)</f>
        <v>0.36156930220060063</v>
      </c>
      <c r="O232" s="5" cm="1">
        <f t="array" ref="O232">IFERROR(_xlfn.STDEV.S(IF((DiscreteStatsTable[GroupByKey]=DiscreteStatsTable[[#This Row],[GroupByKey]]),(DiscreteStatsTable[GroupByKey]=DiscreteStatsTable[[#This Row],[GroupByKey]])*DiscreteStatsTable[Average])),0)</f>
        <v>9.4755038987401723E-3</v>
      </c>
      <c r="P232" s="5" cm="1">
        <f t="array" ref="P232">MAX(IF((ProjectInfoTable[ProjectName]=DiscreteStatsTable[[#This Row],[ProjectName]]),(ProjectInfoTable[ProjectName]=DiscreteStatsTable[[#This Row],[ProjectName]])*ProjectInfoTable[ConfidenceInterval]))</f>
        <v>0.95</v>
      </c>
      <c r="Q232" s="5">
        <f>IF(AND(DiscreteStatsTable[[#This Row],[RepsWithStatObserved]]=1,Y232=0),200000000000000000000,IFERROR(_xlfn.T.INV.2T(1 -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6.7783671515157405E-3</v>
      </c>
      <c r="R232" s="5" cm="1">
        <f t="array" ref="R232">MIN(IF((DiscreteStatsTable[GroupByKey]=DiscreteStatsTable[[#This Row],[GroupByKey]]),(DiscreteStatsTable[GroupByKey]=DiscreteStatsTable[[#This Row],[GroupByKey]])*DiscreteStatsTable[Average]))</f>
        <v>0.34664092936881102</v>
      </c>
      <c r="S232" s="5" cm="1">
        <f t="array" ref="S232">MAX(IF((DiscreteStatsTable[GroupByKey]=DiscreteStatsTable[[#This Row],[GroupByKey]]),(DiscreteStatsTable[GroupByKey]=DiscreteStatsTable[[#This Row],[GroupByKey]])*DiscreteStatsTable[Average]))</f>
        <v>0.37565687863570202</v>
      </c>
      <c r="T232" s="5" cm="1">
        <f t="array" ref="T232">MIN(IF((DiscreteStatsTable[GroupByKey]=DiscreteStatsTable[[#This Row],[GroupByKey]]),(DiscreteStatsTable[GroupByKey]=DiscreteStatsTable[[#This Row],[GroupByKey]])*DiscreteStatsTable[Minimum]))</f>
        <v>0</v>
      </c>
      <c r="U232" s="5" cm="1">
        <f t="array" ref="U232">MAX(IF((DiscreteStatsTable[GroupByKey]=DiscreteStatsTable[[#This Row],[GroupByKey]]),(DiscreteStatsTable[GroupByKey]=DiscreteStatsTable[[#This Row],[GroupByKey]])*DiscreteStatsTable[Maximum]))</f>
        <v>15.013901928876299</v>
      </c>
      <c r="V232" s="5" cm="1">
        <f t="array" ref="V232">IFERROR(AVERAGE(IF((DiscreteStatsTable[GroupByKey]=DiscreteStatsTable[[#This Row],[GroupByKey]]),(DiscreteStatsTable[GroupByKey]=DiscreteStatsTable[[#This Row],[GroupByKey]])*DiscreteStatsTable[NumberObservations])),0)</f>
        <v>19616</v>
      </c>
      <c r="W232" s="5">
        <f>IF((DiscreteStatsTable[[#This Row],[RepsRequested]]&gt;1),DiscreteStatsTable[[#This Row],[HalfWidth]],DiscreteStatsTable[[#This Row],[BatchMeansHalfWidth]])</f>
        <v>6.7783671515157405E-3</v>
      </c>
      <c r="X232" s="5" cm="1">
        <f t="array" ref="X232">COUNT(IF((DiscreteStatsTable[GroupByKey]=DiscreteStatsTable[[#This Row],[GroupByKey]]),(DiscreteStatsTable[GroupByKey]=DiscreteStatsTable[[#This Row],[GroupByKey]])*DiscreteStatsTable[Replication]))</f>
        <v>10</v>
      </c>
      <c r="Y232" s="5">
        <f>IF(DiscreteStatsTable[[#This Row],[RepsRequested]]=DiscreteStatsTable[[#This Row],[RepsWithStatObserved]],1,0)</f>
        <v>1</v>
      </c>
    </row>
    <row r="233" spans="1:25" x14ac:dyDescent="0.25">
      <c r="A233" t="s">
        <v>67</v>
      </c>
      <c r="B233" t="s">
        <v>69</v>
      </c>
      <c r="C233">
        <v>2</v>
      </c>
      <c r="D233" t="s">
        <v>95</v>
      </c>
      <c r="E233" t="s">
        <v>71</v>
      </c>
      <c r="F233" t="s">
        <v>72</v>
      </c>
      <c r="G233">
        <v>0.37565687863570202</v>
      </c>
      <c r="H233">
        <v>2.1920396438857601E-2</v>
      </c>
      <c r="I233">
        <v>0</v>
      </c>
      <c r="J233">
        <v>12.4624909589766</v>
      </c>
      <c r="K233">
        <v>19621</v>
      </c>
      <c r="L233" s="5" t="str">
        <f>DiscreteStatsTable[[#This Row],[ProjectName]]&amp;DiscreteStatsTable[[#This Row],[Name]]&amp;DiscreteStatsTable[[#This Row],[Type]]&amp;DiscreteStatsTable[[#This Row],[Source]]</f>
        <v>Unnamed ProjectWorkStationReqQWaiting TimeQueue</v>
      </c>
      <c r="M233" s="5" cm="1">
        <f t="array" ref="M233">MAX(IF((ProjectInfoTable[ProjectName]=DiscreteStatsTable[[#This Row],[ProjectName]]),(ProjectInfoTable[ProjectName]=DiscreteStatsTable[[#This Row],[ProjectName]])*ProjectInfoTable[NumberOfReplications]))</f>
        <v>10</v>
      </c>
      <c r="N233" s="5" cm="1">
        <f t="array" ref="N233">IFERROR(AVERAGE(IF((DiscreteStatsTable[GroupByKey]=DiscreteStatsTable[[#This Row],[GroupByKey]]),(DiscreteStatsTable[GroupByKey]=DiscreteStatsTable[[#This Row],[GroupByKey]])*DiscreteStatsTable[Average])),0)</f>
        <v>0.36156930220060063</v>
      </c>
      <c r="O233" s="5" cm="1">
        <f t="array" ref="O233">IFERROR(_xlfn.STDEV.S(IF((DiscreteStatsTable[GroupByKey]=DiscreteStatsTable[[#This Row],[GroupByKey]]),(DiscreteStatsTable[GroupByKey]=DiscreteStatsTable[[#This Row],[GroupByKey]])*DiscreteStatsTable[Average])),0)</f>
        <v>9.4755038987401723E-3</v>
      </c>
      <c r="P233" s="5" cm="1">
        <f t="array" ref="P233">MAX(IF((ProjectInfoTable[ProjectName]=DiscreteStatsTable[[#This Row],[ProjectName]]),(ProjectInfoTable[ProjectName]=DiscreteStatsTable[[#This Row],[ProjectName]])*ProjectInfoTable[ConfidenceInterval]))</f>
        <v>0.95</v>
      </c>
      <c r="Q233" s="5">
        <f>IF(AND(DiscreteStatsTable[[#This Row],[RepsWithStatObserved]]=1,Y233=0),200000000000000000000,IFERROR(_xlfn.T.INV.2T(1 -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6.7783671515157405E-3</v>
      </c>
      <c r="R233" s="5" cm="1">
        <f t="array" ref="R233">MIN(IF((DiscreteStatsTable[GroupByKey]=DiscreteStatsTable[[#This Row],[GroupByKey]]),(DiscreteStatsTable[GroupByKey]=DiscreteStatsTable[[#This Row],[GroupByKey]])*DiscreteStatsTable[Average]))</f>
        <v>0.34664092936881102</v>
      </c>
      <c r="S233" s="5" cm="1">
        <f t="array" ref="S233">MAX(IF((DiscreteStatsTable[GroupByKey]=DiscreteStatsTable[[#This Row],[GroupByKey]]),(DiscreteStatsTable[GroupByKey]=DiscreteStatsTable[[#This Row],[GroupByKey]])*DiscreteStatsTable[Average]))</f>
        <v>0.37565687863570202</v>
      </c>
      <c r="T233" s="5" cm="1">
        <f t="array" ref="T233">MIN(IF((DiscreteStatsTable[GroupByKey]=DiscreteStatsTable[[#This Row],[GroupByKey]]),(DiscreteStatsTable[GroupByKey]=DiscreteStatsTable[[#This Row],[GroupByKey]])*DiscreteStatsTable[Minimum]))</f>
        <v>0</v>
      </c>
      <c r="U233" s="5" cm="1">
        <f t="array" ref="U233">MAX(IF((DiscreteStatsTable[GroupByKey]=DiscreteStatsTable[[#This Row],[GroupByKey]]),(DiscreteStatsTable[GroupByKey]=DiscreteStatsTable[[#This Row],[GroupByKey]])*DiscreteStatsTable[Maximum]))</f>
        <v>15.013901928876299</v>
      </c>
      <c r="V233" s="5" cm="1">
        <f t="array" ref="V233">IFERROR(AVERAGE(IF((DiscreteStatsTable[GroupByKey]=DiscreteStatsTable[[#This Row],[GroupByKey]]),(DiscreteStatsTable[GroupByKey]=DiscreteStatsTable[[#This Row],[GroupByKey]])*DiscreteStatsTable[NumberObservations])),0)</f>
        <v>19616</v>
      </c>
      <c r="W233" s="5">
        <f>IF((DiscreteStatsTable[[#This Row],[RepsRequested]]&gt;1),DiscreteStatsTable[[#This Row],[HalfWidth]],DiscreteStatsTable[[#This Row],[BatchMeansHalfWidth]])</f>
        <v>6.7783671515157405E-3</v>
      </c>
      <c r="X233" s="5" cm="1">
        <f t="array" ref="X233">COUNT(IF((DiscreteStatsTable[GroupByKey]=DiscreteStatsTable[[#This Row],[GroupByKey]]),(DiscreteStatsTable[GroupByKey]=DiscreteStatsTable[[#This Row],[GroupByKey]])*DiscreteStatsTable[Replication]))</f>
        <v>10</v>
      </c>
      <c r="Y233" s="5">
        <f>IF(DiscreteStatsTable[[#This Row],[RepsRequested]]=DiscreteStatsTable[[#This Row],[RepsWithStatObserved]],1,0)</f>
        <v>1</v>
      </c>
    </row>
    <row r="234" spans="1:25" x14ac:dyDescent="0.25">
      <c r="A234" t="s">
        <v>67</v>
      </c>
      <c r="B234" t="s">
        <v>69</v>
      </c>
      <c r="C234">
        <v>3</v>
      </c>
      <c r="D234" t="s">
        <v>95</v>
      </c>
      <c r="E234" t="s">
        <v>71</v>
      </c>
      <c r="F234" t="s">
        <v>72</v>
      </c>
      <c r="G234">
        <v>0.34664092936881102</v>
      </c>
      <c r="H234">
        <v>1.8443687737100999E-2</v>
      </c>
      <c r="I234">
        <v>0</v>
      </c>
      <c r="J234">
        <v>12.2877680429956</v>
      </c>
      <c r="K234">
        <v>19409</v>
      </c>
      <c r="L234" s="5" t="str">
        <f>DiscreteStatsTable[[#This Row],[ProjectName]]&amp;DiscreteStatsTable[[#This Row],[Name]]&amp;DiscreteStatsTable[[#This Row],[Type]]&amp;DiscreteStatsTable[[#This Row],[Source]]</f>
        <v>Unnamed ProjectWorkStationReqQWaiting TimeQueue</v>
      </c>
      <c r="M234" s="5" cm="1">
        <f t="array" ref="M234">MAX(IF((ProjectInfoTable[ProjectName]=DiscreteStatsTable[[#This Row],[ProjectName]]),(ProjectInfoTable[ProjectName]=DiscreteStatsTable[[#This Row],[ProjectName]])*ProjectInfoTable[NumberOfReplications]))</f>
        <v>10</v>
      </c>
      <c r="N234" s="5" cm="1">
        <f t="array" ref="N234">IFERROR(AVERAGE(IF((DiscreteStatsTable[GroupByKey]=DiscreteStatsTable[[#This Row],[GroupByKey]]),(DiscreteStatsTable[GroupByKey]=DiscreteStatsTable[[#This Row],[GroupByKey]])*DiscreteStatsTable[Average])),0)</f>
        <v>0.36156930220060063</v>
      </c>
      <c r="O234" s="5" cm="1">
        <f t="array" ref="O234">IFERROR(_xlfn.STDEV.S(IF((DiscreteStatsTable[GroupByKey]=DiscreteStatsTable[[#This Row],[GroupByKey]]),(DiscreteStatsTable[GroupByKey]=DiscreteStatsTable[[#This Row],[GroupByKey]])*DiscreteStatsTable[Average])),0)</f>
        <v>9.4755038987401723E-3</v>
      </c>
      <c r="P234" s="5" cm="1">
        <f t="array" ref="P234">MAX(IF((ProjectInfoTable[ProjectName]=DiscreteStatsTable[[#This Row],[ProjectName]]),(ProjectInfoTable[ProjectName]=DiscreteStatsTable[[#This Row],[ProjectName]])*ProjectInfoTable[ConfidenceInterval]))</f>
        <v>0.95</v>
      </c>
      <c r="Q234" s="5">
        <f>IF(AND(DiscreteStatsTable[[#This Row],[RepsWithStatObserved]]=1,Y234=0),200000000000000000000,IFERROR(_xlfn.T.INV.2T(1 -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6.7783671515157405E-3</v>
      </c>
      <c r="R234" s="5" cm="1">
        <f t="array" ref="R234">MIN(IF((DiscreteStatsTable[GroupByKey]=DiscreteStatsTable[[#This Row],[GroupByKey]]),(DiscreteStatsTable[GroupByKey]=DiscreteStatsTable[[#This Row],[GroupByKey]])*DiscreteStatsTable[Average]))</f>
        <v>0.34664092936881102</v>
      </c>
      <c r="S234" s="5" cm="1">
        <f t="array" ref="S234">MAX(IF((DiscreteStatsTable[GroupByKey]=DiscreteStatsTable[[#This Row],[GroupByKey]]),(DiscreteStatsTable[GroupByKey]=DiscreteStatsTable[[#This Row],[GroupByKey]])*DiscreteStatsTable[Average]))</f>
        <v>0.37565687863570202</v>
      </c>
      <c r="T234" s="5" cm="1">
        <f t="array" ref="T234">MIN(IF((DiscreteStatsTable[GroupByKey]=DiscreteStatsTable[[#This Row],[GroupByKey]]),(DiscreteStatsTable[GroupByKey]=DiscreteStatsTable[[#This Row],[GroupByKey]])*DiscreteStatsTable[Minimum]))</f>
        <v>0</v>
      </c>
      <c r="U234" s="5" cm="1">
        <f t="array" ref="U234">MAX(IF((DiscreteStatsTable[GroupByKey]=DiscreteStatsTable[[#This Row],[GroupByKey]]),(DiscreteStatsTable[GroupByKey]=DiscreteStatsTable[[#This Row],[GroupByKey]])*DiscreteStatsTable[Maximum]))</f>
        <v>15.013901928876299</v>
      </c>
      <c r="V234" s="5" cm="1">
        <f t="array" ref="V234">IFERROR(AVERAGE(IF((DiscreteStatsTable[GroupByKey]=DiscreteStatsTable[[#This Row],[GroupByKey]]),(DiscreteStatsTable[GroupByKey]=DiscreteStatsTable[[#This Row],[GroupByKey]])*DiscreteStatsTable[NumberObservations])),0)</f>
        <v>19616</v>
      </c>
      <c r="W234" s="5">
        <f>IF((DiscreteStatsTable[[#This Row],[RepsRequested]]&gt;1),DiscreteStatsTable[[#This Row],[HalfWidth]],DiscreteStatsTable[[#This Row],[BatchMeansHalfWidth]])</f>
        <v>6.7783671515157405E-3</v>
      </c>
      <c r="X234" s="5" cm="1">
        <f t="array" ref="X234">COUNT(IF((DiscreteStatsTable[GroupByKey]=DiscreteStatsTable[[#This Row],[GroupByKey]]),(DiscreteStatsTable[GroupByKey]=DiscreteStatsTable[[#This Row],[GroupByKey]])*DiscreteStatsTable[Replication]))</f>
        <v>10</v>
      </c>
      <c r="Y234" s="5">
        <f>IF(DiscreteStatsTable[[#This Row],[RepsRequested]]=DiscreteStatsTable[[#This Row],[RepsWithStatObserved]],1,0)</f>
        <v>1</v>
      </c>
    </row>
    <row r="235" spans="1:25" x14ac:dyDescent="0.25">
      <c r="A235" t="s">
        <v>67</v>
      </c>
      <c r="B235" t="s">
        <v>69</v>
      </c>
      <c r="C235">
        <v>4</v>
      </c>
      <c r="D235" t="s">
        <v>95</v>
      </c>
      <c r="E235" t="s">
        <v>71</v>
      </c>
      <c r="F235" t="s">
        <v>72</v>
      </c>
      <c r="G235">
        <v>0.370282634263979</v>
      </c>
      <c r="H235">
        <v>1.7819674705212299E-2</v>
      </c>
      <c r="I235">
        <v>0</v>
      </c>
      <c r="J235">
        <v>12.410545984312201</v>
      </c>
      <c r="K235">
        <v>19914</v>
      </c>
      <c r="L235" s="5" t="str">
        <f>DiscreteStatsTable[[#This Row],[ProjectName]]&amp;DiscreteStatsTable[[#This Row],[Name]]&amp;DiscreteStatsTable[[#This Row],[Type]]&amp;DiscreteStatsTable[[#This Row],[Source]]</f>
        <v>Unnamed ProjectWorkStationReqQWaiting TimeQueue</v>
      </c>
      <c r="M235" s="5" cm="1">
        <f t="array" ref="M235">MAX(IF((ProjectInfoTable[ProjectName]=DiscreteStatsTable[[#This Row],[ProjectName]]),(ProjectInfoTable[ProjectName]=DiscreteStatsTable[[#This Row],[ProjectName]])*ProjectInfoTable[NumberOfReplications]))</f>
        <v>10</v>
      </c>
      <c r="N235" s="5" cm="1">
        <f t="array" ref="N235">IFERROR(AVERAGE(IF((DiscreteStatsTable[GroupByKey]=DiscreteStatsTable[[#This Row],[GroupByKey]]),(DiscreteStatsTable[GroupByKey]=DiscreteStatsTable[[#This Row],[GroupByKey]])*DiscreteStatsTable[Average])),0)</f>
        <v>0.36156930220060063</v>
      </c>
      <c r="O235" s="5" cm="1">
        <f t="array" ref="O235">IFERROR(_xlfn.STDEV.S(IF((DiscreteStatsTable[GroupByKey]=DiscreteStatsTable[[#This Row],[GroupByKey]]),(DiscreteStatsTable[GroupByKey]=DiscreteStatsTable[[#This Row],[GroupByKey]])*DiscreteStatsTable[Average])),0)</f>
        <v>9.4755038987401723E-3</v>
      </c>
      <c r="P235" s="5" cm="1">
        <f t="array" ref="P235">MAX(IF((ProjectInfoTable[ProjectName]=DiscreteStatsTable[[#This Row],[ProjectName]]),(ProjectInfoTable[ProjectName]=DiscreteStatsTable[[#This Row],[ProjectName]])*ProjectInfoTable[ConfidenceInterval]))</f>
        <v>0.95</v>
      </c>
      <c r="Q235" s="5">
        <f>IF(AND(DiscreteStatsTable[[#This Row],[RepsWithStatObserved]]=1,Y235=0),200000000000000000000,IFERROR(_xlfn.T.INV.2T(1 -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6.7783671515157405E-3</v>
      </c>
      <c r="R235" s="5" cm="1">
        <f t="array" ref="R235">MIN(IF((DiscreteStatsTable[GroupByKey]=DiscreteStatsTable[[#This Row],[GroupByKey]]),(DiscreteStatsTable[GroupByKey]=DiscreteStatsTable[[#This Row],[GroupByKey]])*DiscreteStatsTable[Average]))</f>
        <v>0.34664092936881102</v>
      </c>
      <c r="S235" s="5" cm="1">
        <f t="array" ref="S235">MAX(IF((DiscreteStatsTable[GroupByKey]=DiscreteStatsTable[[#This Row],[GroupByKey]]),(DiscreteStatsTable[GroupByKey]=DiscreteStatsTable[[#This Row],[GroupByKey]])*DiscreteStatsTable[Average]))</f>
        <v>0.37565687863570202</v>
      </c>
      <c r="T235" s="5" cm="1">
        <f t="array" ref="T235">MIN(IF((DiscreteStatsTable[GroupByKey]=DiscreteStatsTable[[#This Row],[GroupByKey]]),(DiscreteStatsTable[GroupByKey]=DiscreteStatsTable[[#This Row],[GroupByKey]])*DiscreteStatsTable[Minimum]))</f>
        <v>0</v>
      </c>
      <c r="U235" s="5" cm="1">
        <f t="array" ref="U235">MAX(IF((DiscreteStatsTable[GroupByKey]=DiscreteStatsTable[[#This Row],[GroupByKey]]),(DiscreteStatsTable[GroupByKey]=DiscreteStatsTable[[#This Row],[GroupByKey]])*DiscreteStatsTable[Maximum]))</f>
        <v>15.013901928876299</v>
      </c>
      <c r="V235" s="5" cm="1">
        <f t="array" ref="V235">IFERROR(AVERAGE(IF((DiscreteStatsTable[GroupByKey]=DiscreteStatsTable[[#This Row],[GroupByKey]]),(DiscreteStatsTable[GroupByKey]=DiscreteStatsTable[[#This Row],[GroupByKey]])*DiscreteStatsTable[NumberObservations])),0)</f>
        <v>19616</v>
      </c>
      <c r="W235" s="5">
        <f>IF((DiscreteStatsTable[[#This Row],[RepsRequested]]&gt;1),DiscreteStatsTable[[#This Row],[HalfWidth]],DiscreteStatsTable[[#This Row],[BatchMeansHalfWidth]])</f>
        <v>6.7783671515157405E-3</v>
      </c>
      <c r="X235" s="5" cm="1">
        <f t="array" ref="X235">COUNT(IF((DiscreteStatsTable[GroupByKey]=DiscreteStatsTable[[#This Row],[GroupByKey]]),(DiscreteStatsTable[GroupByKey]=DiscreteStatsTable[[#This Row],[GroupByKey]])*DiscreteStatsTable[Replication]))</f>
        <v>10</v>
      </c>
      <c r="Y235" s="5">
        <f>IF(DiscreteStatsTable[[#This Row],[RepsRequested]]=DiscreteStatsTable[[#This Row],[RepsWithStatObserved]],1,0)</f>
        <v>1</v>
      </c>
    </row>
    <row r="236" spans="1:25" x14ac:dyDescent="0.25">
      <c r="A236" t="s">
        <v>67</v>
      </c>
      <c r="B236" t="s">
        <v>69</v>
      </c>
      <c r="C236">
        <v>5</v>
      </c>
      <c r="D236" t="s">
        <v>95</v>
      </c>
      <c r="E236" t="s">
        <v>71</v>
      </c>
      <c r="F236" t="s">
        <v>72</v>
      </c>
      <c r="G236">
        <v>0.358795130969015</v>
      </c>
      <c r="H236">
        <v>2.0458196811350599E-2</v>
      </c>
      <c r="I236">
        <v>0</v>
      </c>
      <c r="J236">
        <v>15.013901928876299</v>
      </c>
      <c r="K236">
        <v>19496</v>
      </c>
      <c r="L236" s="5" t="str">
        <f>DiscreteStatsTable[[#This Row],[ProjectName]]&amp;DiscreteStatsTable[[#This Row],[Name]]&amp;DiscreteStatsTable[[#This Row],[Type]]&amp;DiscreteStatsTable[[#This Row],[Source]]</f>
        <v>Unnamed ProjectWorkStationReqQWaiting TimeQueue</v>
      </c>
      <c r="M236" s="5" cm="1">
        <f t="array" ref="M236">MAX(IF((ProjectInfoTable[ProjectName]=DiscreteStatsTable[[#This Row],[ProjectName]]),(ProjectInfoTable[ProjectName]=DiscreteStatsTable[[#This Row],[ProjectName]])*ProjectInfoTable[NumberOfReplications]))</f>
        <v>10</v>
      </c>
      <c r="N236" s="5" cm="1">
        <f t="array" ref="N236">IFERROR(AVERAGE(IF((DiscreteStatsTable[GroupByKey]=DiscreteStatsTable[[#This Row],[GroupByKey]]),(DiscreteStatsTable[GroupByKey]=DiscreteStatsTable[[#This Row],[GroupByKey]])*DiscreteStatsTable[Average])),0)</f>
        <v>0.36156930220060063</v>
      </c>
      <c r="O236" s="5" cm="1">
        <f t="array" ref="O236">IFERROR(_xlfn.STDEV.S(IF((DiscreteStatsTable[GroupByKey]=DiscreteStatsTable[[#This Row],[GroupByKey]]),(DiscreteStatsTable[GroupByKey]=DiscreteStatsTable[[#This Row],[GroupByKey]])*DiscreteStatsTable[Average])),0)</f>
        <v>9.4755038987401723E-3</v>
      </c>
      <c r="P236" s="5" cm="1">
        <f t="array" ref="P236">MAX(IF((ProjectInfoTable[ProjectName]=DiscreteStatsTable[[#This Row],[ProjectName]]),(ProjectInfoTable[ProjectName]=DiscreteStatsTable[[#This Row],[ProjectName]])*ProjectInfoTable[ConfidenceInterval]))</f>
        <v>0.95</v>
      </c>
      <c r="Q236" s="5">
        <f>IF(AND(DiscreteStatsTable[[#This Row],[RepsWithStatObserved]]=1,Y236=0),200000000000000000000,IFERROR(_xlfn.T.INV.2T(1 -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6.7783671515157405E-3</v>
      </c>
      <c r="R236" s="5" cm="1">
        <f t="array" ref="R236">MIN(IF((DiscreteStatsTable[GroupByKey]=DiscreteStatsTable[[#This Row],[GroupByKey]]),(DiscreteStatsTable[GroupByKey]=DiscreteStatsTable[[#This Row],[GroupByKey]])*DiscreteStatsTable[Average]))</f>
        <v>0.34664092936881102</v>
      </c>
      <c r="S236" s="5" cm="1">
        <f t="array" ref="S236">MAX(IF((DiscreteStatsTable[GroupByKey]=DiscreteStatsTable[[#This Row],[GroupByKey]]),(DiscreteStatsTable[GroupByKey]=DiscreteStatsTable[[#This Row],[GroupByKey]])*DiscreteStatsTable[Average]))</f>
        <v>0.37565687863570202</v>
      </c>
      <c r="T236" s="5" cm="1">
        <f t="array" ref="T236">MIN(IF((DiscreteStatsTable[GroupByKey]=DiscreteStatsTable[[#This Row],[GroupByKey]]),(DiscreteStatsTable[GroupByKey]=DiscreteStatsTable[[#This Row],[GroupByKey]])*DiscreteStatsTable[Minimum]))</f>
        <v>0</v>
      </c>
      <c r="U236" s="5" cm="1">
        <f t="array" ref="U236">MAX(IF((DiscreteStatsTable[GroupByKey]=DiscreteStatsTable[[#This Row],[GroupByKey]]),(DiscreteStatsTable[GroupByKey]=DiscreteStatsTable[[#This Row],[GroupByKey]])*DiscreteStatsTable[Maximum]))</f>
        <v>15.013901928876299</v>
      </c>
      <c r="V236" s="5" cm="1">
        <f t="array" ref="V236">IFERROR(AVERAGE(IF((DiscreteStatsTable[GroupByKey]=DiscreteStatsTable[[#This Row],[GroupByKey]]),(DiscreteStatsTable[GroupByKey]=DiscreteStatsTable[[#This Row],[GroupByKey]])*DiscreteStatsTable[NumberObservations])),0)</f>
        <v>19616</v>
      </c>
      <c r="W236" s="5">
        <f>IF((DiscreteStatsTable[[#This Row],[RepsRequested]]&gt;1),DiscreteStatsTable[[#This Row],[HalfWidth]],DiscreteStatsTable[[#This Row],[BatchMeansHalfWidth]])</f>
        <v>6.7783671515157405E-3</v>
      </c>
      <c r="X236" s="5" cm="1">
        <f t="array" ref="X236">COUNT(IF((DiscreteStatsTable[GroupByKey]=DiscreteStatsTable[[#This Row],[GroupByKey]]),(DiscreteStatsTable[GroupByKey]=DiscreteStatsTable[[#This Row],[GroupByKey]])*DiscreteStatsTable[Replication]))</f>
        <v>10</v>
      </c>
      <c r="Y236" s="5">
        <f>IF(DiscreteStatsTable[[#This Row],[RepsRequested]]=DiscreteStatsTable[[#This Row],[RepsWithStatObserved]],1,0)</f>
        <v>1</v>
      </c>
    </row>
    <row r="237" spans="1:25" x14ac:dyDescent="0.25">
      <c r="A237" t="s">
        <v>67</v>
      </c>
      <c r="B237" t="s">
        <v>69</v>
      </c>
      <c r="C237">
        <v>6</v>
      </c>
      <c r="D237" t="s">
        <v>95</v>
      </c>
      <c r="E237" t="s">
        <v>71</v>
      </c>
      <c r="F237" t="s">
        <v>72</v>
      </c>
      <c r="G237">
        <v>0.36967416293929201</v>
      </c>
      <c r="H237">
        <v>2.22721840888346E-2</v>
      </c>
      <c r="I237">
        <v>0</v>
      </c>
      <c r="J237">
        <v>12.3539442755282</v>
      </c>
      <c r="K237">
        <v>19858</v>
      </c>
      <c r="L237" s="5" t="str">
        <f>DiscreteStatsTable[[#This Row],[ProjectName]]&amp;DiscreteStatsTable[[#This Row],[Name]]&amp;DiscreteStatsTable[[#This Row],[Type]]&amp;DiscreteStatsTable[[#This Row],[Source]]</f>
        <v>Unnamed ProjectWorkStationReqQWaiting TimeQueue</v>
      </c>
      <c r="M237" s="5" cm="1">
        <f t="array" ref="M237">MAX(IF((ProjectInfoTable[ProjectName]=DiscreteStatsTable[[#This Row],[ProjectName]]),(ProjectInfoTable[ProjectName]=DiscreteStatsTable[[#This Row],[ProjectName]])*ProjectInfoTable[NumberOfReplications]))</f>
        <v>10</v>
      </c>
      <c r="N237" s="5" cm="1">
        <f t="array" ref="N237">IFERROR(AVERAGE(IF((DiscreteStatsTable[GroupByKey]=DiscreteStatsTable[[#This Row],[GroupByKey]]),(DiscreteStatsTable[GroupByKey]=DiscreteStatsTable[[#This Row],[GroupByKey]])*DiscreteStatsTable[Average])),0)</f>
        <v>0.36156930220060063</v>
      </c>
      <c r="O237" s="5" cm="1">
        <f t="array" ref="O237">IFERROR(_xlfn.STDEV.S(IF((DiscreteStatsTable[GroupByKey]=DiscreteStatsTable[[#This Row],[GroupByKey]]),(DiscreteStatsTable[GroupByKey]=DiscreteStatsTable[[#This Row],[GroupByKey]])*DiscreteStatsTable[Average])),0)</f>
        <v>9.4755038987401723E-3</v>
      </c>
      <c r="P237" s="5" cm="1">
        <f t="array" ref="P237">MAX(IF((ProjectInfoTable[ProjectName]=DiscreteStatsTable[[#This Row],[ProjectName]]),(ProjectInfoTable[ProjectName]=DiscreteStatsTable[[#This Row],[ProjectName]])*ProjectInfoTable[ConfidenceInterval]))</f>
        <v>0.95</v>
      </c>
      <c r="Q237" s="5">
        <f>IF(AND(DiscreteStatsTable[[#This Row],[RepsWithStatObserved]]=1,Y237=0),200000000000000000000,IFERROR(_xlfn.T.INV.2T(1 -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6.7783671515157405E-3</v>
      </c>
      <c r="R237" s="5" cm="1">
        <f t="array" ref="R237">MIN(IF((DiscreteStatsTable[GroupByKey]=DiscreteStatsTable[[#This Row],[GroupByKey]]),(DiscreteStatsTable[GroupByKey]=DiscreteStatsTable[[#This Row],[GroupByKey]])*DiscreteStatsTable[Average]))</f>
        <v>0.34664092936881102</v>
      </c>
      <c r="S237" s="5" cm="1">
        <f t="array" ref="S237">MAX(IF((DiscreteStatsTable[GroupByKey]=DiscreteStatsTable[[#This Row],[GroupByKey]]),(DiscreteStatsTable[GroupByKey]=DiscreteStatsTable[[#This Row],[GroupByKey]])*DiscreteStatsTable[Average]))</f>
        <v>0.37565687863570202</v>
      </c>
      <c r="T237" s="5" cm="1">
        <f t="array" ref="T237">MIN(IF((DiscreteStatsTable[GroupByKey]=DiscreteStatsTable[[#This Row],[GroupByKey]]),(DiscreteStatsTable[GroupByKey]=DiscreteStatsTable[[#This Row],[GroupByKey]])*DiscreteStatsTable[Minimum]))</f>
        <v>0</v>
      </c>
      <c r="U237" s="5" cm="1">
        <f t="array" ref="U237">MAX(IF((DiscreteStatsTable[GroupByKey]=DiscreteStatsTable[[#This Row],[GroupByKey]]),(DiscreteStatsTable[GroupByKey]=DiscreteStatsTable[[#This Row],[GroupByKey]])*DiscreteStatsTable[Maximum]))</f>
        <v>15.013901928876299</v>
      </c>
      <c r="V237" s="5" cm="1">
        <f t="array" ref="V237">IFERROR(AVERAGE(IF((DiscreteStatsTable[GroupByKey]=DiscreteStatsTable[[#This Row],[GroupByKey]]),(DiscreteStatsTable[GroupByKey]=DiscreteStatsTable[[#This Row],[GroupByKey]])*DiscreteStatsTable[NumberObservations])),0)</f>
        <v>19616</v>
      </c>
      <c r="W237" s="5">
        <f>IF((DiscreteStatsTable[[#This Row],[RepsRequested]]&gt;1),DiscreteStatsTable[[#This Row],[HalfWidth]],DiscreteStatsTable[[#This Row],[BatchMeansHalfWidth]])</f>
        <v>6.7783671515157405E-3</v>
      </c>
      <c r="X237" s="5" cm="1">
        <f t="array" ref="X237">COUNT(IF((DiscreteStatsTable[GroupByKey]=DiscreteStatsTable[[#This Row],[GroupByKey]]),(DiscreteStatsTable[GroupByKey]=DiscreteStatsTable[[#This Row],[GroupByKey]])*DiscreteStatsTable[Replication]))</f>
        <v>10</v>
      </c>
      <c r="Y237" s="5">
        <f>IF(DiscreteStatsTable[[#This Row],[RepsRequested]]=DiscreteStatsTable[[#This Row],[RepsWithStatObserved]],1,0)</f>
        <v>1</v>
      </c>
    </row>
    <row r="238" spans="1:25" x14ac:dyDescent="0.25">
      <c r="A238" t="s">
        <v>67</v>
      </c>
      <c r="B238" t="s">
        <v>69</v>
      </c>
      <c r="C238">
        <v>7</v>
      </c>
      <c r="D238" t="s">
        <v>95</v>
      </c>
      <c r="E238" t="s">
        <v>71</v>
      </c>
      <c r="F238" t="s">
        <v>72</v>
      </c>
      <c r="G238">
        <v>0.356597960204457</v>
      </c>
      <c r="H238">
        <v>1.8316596791154601E-2</v>
      </c>
      <c r="I238">
        <v>0</v>
      </c>
      <c r="J238">
        <v>12.3610667198082</v>
      </c>
      <c r="K238">
        <v>19570</v>
      </c>
      <c r="L238" s="5" t="str">
        <f>DiscreteStatsTable[[#This Row],[ProjectName]]&amp;DiscreteStatsTable[[#This Row],[Name]]&amp;DiscreteStatsTable[[#This Row],[Type]]&amp;DiscreteStatsTable[[#This Row],[Source]]</f>
        <v>Unnamed ProjectWorkStationReqQWaiting TimeQueue</v>
      </c>
      <c r="M238" s="5" cm="1">
        <f t="array" ref="M238">MAX(IF((ProjectInfoTable[ProjectName]=DiscreteStatsTable[[#This Row],[ProjectName]]),(ProjectInfoTable[ProjectName]=DiscreteStatsTable[[#This Row],[ProjectName]])*ProjectInfoTable[NumberOfReplications]))</f>
        <v>10</v>
      </c>
      <c r="N238" s="5" cm="1">
        <f t="array" ref="N238">IFERROR(AVERAGE(IF((DiscreteStatsTable[GroupByKey]=DiscreteStatsTable[[#This Row],[GroupByKey]]),(DiscreteStatsTable[GroupByKey]=DiscreteStatsTable[[#This Row],[GroupByKey]])*DiscreteStatsTable[Average])),0)</f>
        <v>0.36156930220060063</v>
      </c>
      <c r="O238" s="5" cm="1">
        <f t="array" ref="O238">IFERROR(_xlfn.STDEV.S(IF((DiscreteStatsTable[GroupByKey]=DiscreteStatsTable[[#This Row],[GroupByKey]]),(DiscreteStatsTable[GroupByKey]=DiscreteStatsTable[[#This Row],[GroupByKey]])*DiscreteStatsTable[Average])),0)</f>
        <v>9.4755038987401723E-3</v>
      </c>
      <c r="P238" s="5" cm="1">
        <f t="array" ref="P238">MAX(IF((ProjectInfoTable[ProjectName]=DiscreteStatsTable[[#This Row],[ProjectName]]),(ProjectInfoTable[ProjectName]=DiscreteStatsTable[[#This Row],[ProjectName]])*ProjectInfoTable[ConfidenceInterval]))</f>
        <v>0.95</v>
      </c>
      <c r="Q238" s="5">
        <f>IF(AND(DiscreteStatsTable[[#This Row],[RepsWithStatObserved]]=1,Y238=0),200000000000000000000,IFERROR(_xlfn.T.INV.2T(1 -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6.7783671515157405E-3</v>
      </c>
      <c r="R238" s="5" cm="1">
        <f t="array" ref="R238">MIN(IF((DiscreteStatsTable[GroupByKey]=DiscreteStatsTable[[#This Row],[GroupByKey]]),(DiscreteStatsTable[GroupByKey]=DiscreteStatsTable[[#This Row],[GroupByKey]])*DiscreteStatsTable[Average]))</f>
        <v>0.34664092936881102</v>
      </c>
      <c r="S238" s="5" cm="1">
        <f t="array" ref="S238">MAX(IF((DiscreteStatsTable[GroupByKey]=DiscreteStatsTable[[#This Row],[GroupByKey]]),(DiscreteStatsTable[GroupByKey]=DiscreteStatsTable[[#This Row],[GroupByKey]])*DiscreteStatsTable[Average]))</f>
        <v>0.37565687863570202</v>
      </c>
      <c r="T238" s="5" cm="1">
        <f t="array" ref="T238">MIN(IF((DiscreteStatsTable[GroupByKey]=DiscreteStatsTable[[#This Row],[GroupByKey]]),(DiscreteStatsTable[GroupByKey]=DiscreteStatsTable[[#This Row],[GroupByKey]])*DiscreteStatsTable[Minimum]))</f>
        <v>0</v>
      </c>
      <c r="U238" s="5" cm="1">
        <f t="array" ref="U238">MAX(IF((DiscreteStatsTable[GroupByKey]=DiscreteStatsTable[[#This Row],[GroupByKey]]),(DiscreteStatsTable[GroupByKey]=DiscreteStatsTable[[#This Row],[GroupByKey]])*DiscreteStatsTable[Maximum]))</f>
        <v>15.013901928876299</v>
      </c>
      <c r="V238" s="5" cm="1">
        <f t="array" ref="V238">IFERROR(AVERAGE(IF((DiscreteStatsTable[GroupByKey]=DiscreteStatsTable[[#This Row],[GroupByKey]]),(DiscreteStatsTable[GroupByKey]=DiscreteStatsTable[[#This Row],[GroupByKey]])*DiscreteStatsTable[NumberObservations])),0)</f>
        <v>19616</v>
      </c>
      <c r="W238" s="5">
        <f>IF((DiscreteStatsTable[[#This Row],[RepsRequested]]&gt;1),DiscreteStatsTable[[#This Row],[HalfWidth]],DiscreteStatsTable[[#This Row],[BatchMeansHalfWidth]])</f>
        <v>6.7783671515157405E-3</v>
      </c>
      <c r="X238" s="5" cm="1">
        <f t="array" ref="X238">COUNT(IF((DiscreteStatsTable[GroupByKey]=DiscreteStatsTable[[#This Row],[GroupByKey]]),(DiscreteStatsTable[GroupByKey]=DiscreteStatsTable[[#This Row],[GroupByKey]])*DiscreteStatsTable[Replication]))</f>
        <v>10</v>
      </c>
      <c r="Y238" s="5">
        <f>IF(DiscreteStatsTable[[#This Row],[RepsRequested]]=DiscreteStatsTable[[#This Row],[RepsWithStatObserved]],1,0)</f>
        <v>1</v>
      </c>
    </row>
    <row r="239" spans="1:25" x14ac:dyDescent="0.25">
      <c r="A239" t="s">
        <v>67</v>
      </c>
      <c r="B239" t="s">
        <v>69</v>
      </c>
      <c r="C239">
        <v>8</v>
      </c>
      <c r="D239" t="s">
        <v>95</v>
      </c>
      <c r="E239" t="s">
        <v>71</v>
      </c>
      <c r="F239" t="s">
        <v>72</v>
      </c>
      <c r="G239">
        <v>0.36425464286590498</v>
      </c>
      <c r="H239">
        <v>2.02482358001949E-2</v>
      </c>
      <c r="I239">
        <v>0</v>
      </c>
      <c r="J239">
        <v>12.8663771236315</v>
      </c>
      <c r="K239">
        <v>19695</v>
      </c>
      <c r="L239" s="5" t="str">
        <f>DiscreteStatsTable[[#This Row],[ProjectName]]&amp;DiscreteStatsTable[[#This Row],[Name]]&amp;DiscreteStatsTable[[#This Row],[Type]]&amp;DiscreteStatsTable[[#This Row],[Source]]</f>
        <v>Unnamed ProjectWorkStationReqQWaiting TimeQueue</v>
      </c>
      <c r="M239" s="5" cm="1">
        <f t="array" ref="M239">MAX(IF((ProjectInfoTable[ProjectName]=DiscreteStatsTable[[#This Row],[ProjectName]]),(ProjectInfoTable[ProjectName]=DiscreteStatsTable[[#This Row],[ProjectName]])*ProjectInfoTable[NumberOfReplications]))</f>
        <v>10</v>
      </c>
      <c r="N239" s="5" cm="1">
        <f t="array" ref="N239">IFERROR(AVERAGE(IF((DiscreteStatsTable[GroupByKey]=DiscreteStatsTable[[#This Row],[GroupByKey]]),(DiscreteStatsTable[GroupByKey]=DiscreteStatsTable[[#This Row],[GroupByKey]])*DiscreteStatsTable[Average])),0)</f>
        <v>0.36156930220060063</v>
      </c>
      <c r="O239" s="5" cm="1">
        <f t="array" ref="O239">IFERROR(_xlfn.STDEV.S(IF((DiscreteStatsTable[GroupByKey]=DiscreteStatsTable[[#This Row],[GroupByKey]]),(DiscreteStatsTable[GroupByKey]=DiscreteStatsTable[[#This Row],[GroupByKey]])*DiscreteStatsTable[Average])),0)</f>
        <v>9.4755038987401723E-3</v>
      </c>
      <c r="P239" s="5" cm="1">
        <f t="array" ref="P239">MAX(IF((ProjectInfoTable[ProjectName]=DiscreteStatsTable[[#This Row],[ProjectName]]),(ProjectInfoTable[ProjectName]=DiscreteStatsTable[[#This Row],[ProjectName]])*ProjectInfoTable[ConfidenceInterval]))</f>
        <v>0.95</v>
      </c>
      <c r="Q239" s="5">
        <f>IF(AND(DiscreteStatsTable[[#This Row],[RepsWithStatObserved]]=1,Y239=0),200000000000000000000,IFERROR(_xlfn.T.INV.2T(1 -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6.7783671515157405E-3</v>
      </c>
      <c r="R239" s="5" cm="1">
        <f t="array" ref="R239">MIN(IF((DiscreteStatsTable[GroupByKey]=DiscreteStatsTable[[#This Row],[GroupByKey]]),(DiscreteStatsTable[GroupByKey]=DiscreteStatsTable[[#This Row],[GroupByKey]])*DiscreteStatsTable[Average]))</f>
        <v>0.34664092936881102</v>
      </c>
      <c r="S239" s="5" cm="1">
        <f t="array" ref="S239">MAX(IF((DiscreteStatsTable[GroupByKey]=DiscreteStatsTable[[#This Row],[GroupByKey]]),(DiscreteStatsTable[GroupByKey]=DiscreteStatsTable[[#This Row],[GroupByKey]])*DiscreteStatsTable[Average]))</f>
        <v>0.37565687863570202</v>
      </c>
      <c r="T239" s="5" cm="1">
        <f t="array" ref="T239">MIN(IF((DiscreteStatsTable[GroupByKey]=DiscreteStatsTable[[#This Row],[GroupByKey]]),(DiscreteStatsTable[GroupByKey]=DiscreteStatsTable[[#This Row],[GroupByKey]])*DiscreteStatsTable[Minimum]))</f>
        <v>0</v>
      </c>
      <c r="U239" s="5" cm="1">
        <f t="array" ref="U239">MAX(IF((DiscreteStatsTable[GroupByKey]=DiscreteStatsTable[[#This Row],[GroupByKey]]),(DiscreteStatsTable[GroupByKey]=DiscreteStatsTable[[#This Row],[GroupByKey]])*DiscreteStatsTable[Maximum]))</f>
        <v>15.013901928876299</v>
      </c>
      <c r="V239" s="5" cm="1">
        <f t="array" ref="V239">IFERROR(AVERAGE(IF((DiscreteStatsTable[GroupByKey]=DiscreteStatsTable[[#This Row],[GroupByKey]]),(DiscreteStatsTable[GroupByKey]=DiscreteStatsTable[[#This Row],[GroupByKey]])*DiscreteStatsTable[NumberObservations])),0)</f>
        <v>19616</v>
      </c>
      <c r="W239" s="5">
        <f>IF((DiscreteStatsTable[[#This Row],[RepsRequested]]&gt;1),DiscreteStatsTable[[#This Row],[HalfWidth]],DiscreteStatsTable[[#This Row],[BatchMeansHalfWidth]])</f>
        <v>6.7783671515157405E-3</v>
      </c>
      <c r="X239" s="5" cm="1">
        <f t="array" ref="X239">COUNT(IF((DiscreteStatsTable[GroupByKey]=DiscreteStatsTable[[#This Row],[GroupByKey]]),(DiscreteStatsTable[GroupByKey]=DiscreteStatsTable[[#This Row],[GroupByKey]])*DiscreteStatsTable[Replication]))</f>
        <v>10</v>
      </c>
      <c r="Y239" s="5">
        <f>IF(DiscreteStatsTable[[#This Row],[RepsRequested]]=DiscreteStatsTable[[#This Row],[RepsWithStatObserved]],1,0)</f>
        <v>1</v>
      </c>
    </row>
    <row r="240" spans="1:25" x14ac:dyDescent="0.25">
      <c r="A240" t="s">
        <v>67</v>
      </c>
      <c r="B240" t="s">
        <v>69</v>
      </c>
      <c r="C240">
        <v>9</v>
      </c>
      <c r="D240" t="s">
        <v>95</v>
      </c>
      <c r="E240" t="s">
        <v>71</v>
      </c>
      <c r="F240" t="s">
        <v>72</v>
      </c>
      <c r="G240">
        <v>0.36752350136919698</v>
      </c>
      <c r="H240">
        <v>2.1059980137006499E-2</v>
      </c>
      <c r="I240">
        <v>0</v>
      </c>
      <c r="J240">
        <v>12.467886462341999</v>
      </c>
      <c r="K240">
        <v>19616</v>
      </c>
      <c r="L240" s="5" t="str">
        <f>DiscreteStatsTable[[#This Row],[ProjectName]]&amp;DiscreteStatsTable[[#This Row],[Name]]&amp;DiscreteStatsTable[[#This Row],[Type]]&amp;DiscreteStatsTable[[#This Row],[Source]]</f>
        <v>Unnamed ProjectWorkStationReqQWaiting TimeQueue</v>
      </c>
      <c r="M240" s="5" cm="1">
        <f t="array" ref="M240">MAX(IF((ProjectInfoTable[ProjectName]=DiscreteStatsTable[[#This Row],[ProjectName]]),(ProjectInfoTable[ProjectName]=DiscreteStatsTable[[#This Row],[ProjectName]])*ProjectInfoTable[NumberOfReplications]))</f>
        <v>10</v>
      </c>
      <c r="N240" s="5" cm="1">
        <f t="array" ref="N240">IFERROR(AVERAGE(IF((DiscreteStatsTable[GroupByKey]=DiscreteStatsTable[[#This Row],[GroupByKey]]),(DiscreteStatsTable[GroupByKey]=DiscreteStatsTable[[#This Row],[GroupByKey]])*DiscreteStatsTable[Average])),0)</f>
        <v>0.36156930220060063</v>
      </c>
      <c r="O240" s="5" cm="1">
        <f t="array" ref="O240">IFERROR(_xlfn.STDEV.S(IF((DiscreteStatsTable[GroupByKey]=DiscreteStatsTable[[#This Row],[GroupByKey]]),(DiscreteStatsTable[GroupByKey]=DiscreteStatsTable[[#This Row],[GroupByKey]])*DiscreteStatsTable[Average])),0)</f>
        <v>9.4755038987401723E-3</v>
      </c>
      <c r="P240" s="5" cm="1">
        <f t="array" ref="P240">MAX(IF((ProjectInfoTable[ProjectName]=DiscreteStatsTable[[#This Row],[ProjectName]]),(ProjectInfoTable[ProjectName]=DiscreteStatsTable[[#This Row],[ProjectName]])*ProjectInfoTable[ConfidenceInterval]))</f>
        <v>0.95</v>
      </c>
      <c r="Q240" s="5">
        <f>IF(AND(DiscreteStatsTable[[#This Row],[RepsWithStatObserved]]=1,Y240=0),200000000000000000000,IFERROR(_xlfn.T.INV.2T(1 -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6.7783671515157405E-3</v>
      </c>
      <c r="R240" s="5" cm="1">
        <f t="array" ref="R240">MIN(IF((DiscreteStatsTable[GroupByKey]=DiscreteStatsTable[[#This Row],[GroupByKey]]),(DiscreteStatsTable[GroupByKey]=DiscreteStatsTable[[#This Row],[GroupByKey]])*DiscreteStatsTable[Average]))</f>
        <v>0.34664092936881102</v>
      </c>
      <c r="S240" s="5" cm="1">
        <f t="array" ref="S240">MAX(IF((DiscreteStatsTable[GroupByKey]=DiscreteStatsTable[[#This Row],[GroupByKey]]),(DiscreteStatsTable[GroupByKey]=DiscreteStatsTable[[#This Row],[GroupByKey]])*DiscreteStatsTable[Average]))</f>
        <v>0.37565687863570202</v>
      </c>
      <c r="T240" s="5" cm="1">
        <f t="array" ref="T240">MIN(IF((DiscreteStatsTable[GroupByKey]=DiscreteStatsTable[[#This Row],[GroupByKey]]),(DiscreteStatsTable[GroupByKey]=DiscreteStatsTable[[#This Row],[GroupByKey]])*DiscreteStatsTable[Minimum]))</f>
        <v>0</v>
      </c>
      <c r="U240" s="5" cm="1">
        <f t="array" ref="U240">MAX(IF((DiscreteStatsTable[GroupByKey]=DiscreteStatsTable[[#This Row],[GroupByKey]]),(DiscreteStatsTable[GroupByKey]=DiscreteStatsTable[[#This Row],[GroupByKey]])*DiscreteStatsTable[Maximum]))</f>
        <v>15.013901928876299</v>
      </c>
      <c r="V240" s="5" cm="1">
        <f t="array" ref="V240">IFERROR(AVERAGE(IF((DiscreteStatsTable[GroupByKey]=DiscreteStatsTable[[#This Row],[GroupByKey]]),(DiscreteStatsTable[GroupByKey]=DiscreteStatsTable[[#This Row],[GroupByKey]])*DiscreteStatsTable[NumberObservations])),0)</f>
        <v>19616</v>
      </c>
      <c r="W240" s="5">
        <f>IF((DiscreteStatsTable[[#This Row],[RepsRequested]]&gt;1),DiscreteStatsTable[[#This Row],[HalfWidth]],DiscreteStatsTable[[#This Row],[BatchMeansHalfWidth]])</f>
        <v>6.7783671515157405E-3</v>
      </c>
      <c r="X240" s="5" cm="1">
        <f t="array" ref="X240">COUNT(IF((DiscreteStatsTable[GroupByKey]=DiscreteStatsTable[[#This Row],[GroupByKey]]),(DiscreteStatsTable[GroupByKey]=DiscreteStatsTable[[#This Row],[GroupByKey]])*DiscreteStatsTable[Replication]))</f>
        <v>10</v>
      </c>
      <c r="Y240" s="5">
        <f>IF(DiscreteStatsTable[[#This Row],[RepsRequested]]=DiscreteStatsTable[[#This Row],[RepsWithStatObserved]],1,0)</f>
        <v>1</v>
      </c>
    </row>
    <row r="241" spans="1:25" x14ac:dyDescent="0.25">
      <c r="A241" t="s">
        <v>67</v>
      </c>
      <c r="B241" t="s">
        <v>69</v>
      </c>
      <c r="C241">
        <v>10</v>
      </c>
      <c r="D241" t="s">
        <v>95</v>
      </c>
      <c r="E241" t="s">
        <v>71</v>
      </c>
      <c r="F241" t="s">
        <v>72</v>
      </c>
      <c r="G241">
        <v>0.349409127508999</v>
      </c>
      <c r="H241">
        <v>1.8284314164963799E-2</v>
      </c>
      <c r="I241">
        <v>0</v>
      </c>
      <c r="J241">
        <v>12.2448180960491</v>
      </c>
      <c r="K241">
        <v>19533</v>
      </c>
      <c r="L241" s="5" t="str">
        <f>DiscreteStatsTable[[#This Row],[ProjectName]]&amp;DiscreteStatsTable[[#This Row],[Name]]&amp;DiscreteStatsTable[[#This Row],[Type]]&amp;DiscreteStatsTable[[#This Row],[Source]]</f>
        <v>Unnamed ProjectWorkStationReqQWaiting TimeQueue</v>
      </c>
      <c r="M241" s="5" cm="1">
        <f t="array" ref="M241">MAX(IF((ProjectInfoTable[ProjectName]=DiscreteStatsTable[[#This Row],[ProjectName]]),(ProjectInfoTable[ProjectName]=DiscreteStatsTable[[#This Row],[ProjectName]])*ProjectInfoTable[NumberOfReplications]))</f>
        <v>10</v>
      </c>
      <c r="N241" s="5" cm="1">
        <f t="array" ref="N241">IFERROR(AVERAGE(IF((DiscreteStatsTable[GroupByKey]=DiscreteStatsTable[[#This Row],[GroupByKey]]),(DiscreteStatsTable[GroupByKey]=DiscreteStatsTable[[#This Row],[GroupByKey]])*DiscreteStatsTable[Average])),0)</f>
        <v>0.36156930220060063</v>
      </c>
      <c r="O241" s="5" cm="1">
        <f t="array" ref="O241">IFERROR(_xlfn.STDEV.S(IF((DiscreteStatsTable[GroupByKey]=DiscreteStatsTable[[#This Row],[GroupByKey]]),(DiscreteStatsTable[GroupByKey]=DiscreteStatsTable[[#This Row],[GroupByKey]])*DiscreteStatsTable[Average])),0)</f>
        <v>9.4755038987401723E-3</v>
      </c>
      <c r="P241" s="5" cm="1">
        <f t="array" ref="P241">MAX(IF((ProjectInfoTable[ProjectName]=DiscreteStatsTable[[#This Row],[ProjectName]]),(ProjectInfoTable[ProjectName]=DiscreteStatsTable[[#This Row],[ProjectName]])*ProjectInfoTable[ConfidenceInterval]))</f>
        <v>0.95</v>
      </c>
      <c r="Q241" s="5">
        <f>IF(AND(DiscreteStatsTable[[#This Row],[RepsWithStatObserved]]=1,Y241=0),200000000000000000000,IFERROR(_xlfn.T.INV.2T(1 -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6.7783671515157405E-3</v>
      </c>
      <c r="R241" s="5" cm="1">
        <f t="array" ref="R241">MIN(IF((DiscreteStatsTable[GroupByKey]=DiscreteStatsTable[[#This Row],[GroupByKey]]),(DiscreteStatsTable[GroupByKey]=DiscreteStatsTable[[#This Row],[GroupByKey]])*DiscreteStatsTable[Average]))</f>
        <v>0.34664092936881102</v>
      </c>
      <c r="S241" s="5" cm="1">
        <f t="array" ref="S241">MAX(IF((DiscreteStatsTable[GroupByKey]=DiscreteStatsTable[[#This Row],[GroupByKey]]),(DiscreteStatsTable[GroupByKey]=DiscreteStatsTable[[#This Row],[GroupByKey]])*DiscreteStatsTable[Average]))</f>
        <v>0.37565687863570202</v>
      </c>
      <c r="T241" s="5" cm="1">
        <f t="array" ref="T241">MIN(IF((DiscreteStatsTable[GroupByKey]=DiscreteStatsTable[[#This Row],[GroupByKey]]),(DiscreteStatsTable[GroupByKey]=DiscreteStatsTable[[#This Row],[GroupByKey]])*DiscreteStatsTable[Minimum]))</f>
        <v>0</v>
      </c>
      <c r="U241" s="5" cm="1">
        <f t="array" ref="U241">MAX(IF((DiscreteStatsTable[GroupByKey]=DiscreteStatsTable[[#This Row],[GroupByKey]]),(DiscreteStatsTable[GroupByKey]=DiscreteStatsTable[[#This Row],[GroupByKey]])*DiscreteStatsTable[Maximum]))</f>
        <v>15.013901928876299</v>
      </c>
      <c r="V241" s="5" cm="1">
        <f t="array" ref="V241">IFERROR(AVERAGE(IF((DiscreteStatsTable[GroupByKey]=DiscreteStatsTable[[#This Row],[GroupByKey]]),(DiscreteStatsTable[GroupByKey]=DiscreteStatsTable[[#This Row],[GroupByKey]])*DiscreteStatsTable[NumberObservations])),0)</f>
        <v>19616</v>
      </c>
      <c r="W241" s="5">
        <f>IF((DiscreteStatsTable[[#This Row],[RepsRequested]]&gt;1),DiscreteStatsTable[[#This Row],[HalfWidth]],DiscreteStatsTable[[#This Row],[BatchMeansHalfWidth]])</f>
        <v>6.7783671515157405E-3</v>
      </c>
      <c r="X241" s="5" cm="1">
        <f t="array" ref="X241">COUNT(IF((DiscreteStatsTable[GroupByKey]=DiscreteStatsTable[[#This Row],[GroupByKey]]),(DiscreteStatsTable[GroupByKey]=DiscreteStatsTable[[#This Row],[GroupByKey]])*DiscreteStatsTable[Replication]))</f>
        <v>10</v>
      </c>
      <c r="Y241" s="5">
        <f>IF(DiscreteStatsTable[[#This Row],[RepsRequested]]=DiscreteStatsTable[[#This Row],[RepsWithStatObserved]],1,0)</f>
        <v>1</v>
      </c>
    </row>
  </sheetData>
  <phoneticPr fontId="2" type="noConversion"/>
  <conditionalFormatting sqref="H2:H241 Q2:Q241">
    <cfRule type="expression" dxfId="27" priority="23">
      <formula>H2=200000000000000000000</formula>
    </cfRule>
  </conditionalFormatting>
  <conditionalFormatting sqref="H2:H241">
    <cfRule type="expression" dxfId="26" priority="21">
      <formula>H2=300000000000000000000</formula>
    </cfRule>
  </conditionalFormatting>
  <conditionalFormatting sqref="L2:Y241">
    <cfRule type="expression" dxfId="25" priority="19">
      <formula>MOD(ROW(),2)=0</formula>
    </cfRule>
  </conditionalFormatting>
  <conditionalFormatting sqref="Y2:Y241">
    <cfRule type="expression" dxfId="24" priority="14">
      <formula>Y2=0</formula>
    </cfRule>
    <cfRule type="expression" dxfId="23" priority="16">
      <formula>Y2=1</formula>
    </cfRule>
  </conditionalFormatting>
  <conditionalFormatting sqref="Y3:Y241">
    <cfRule type="expression" dxfId="22" priority="15">
      <formula>Y3=1</formula>
    </cfRule>
  </conditionalFormatting>
  <conditionalFormatting sqref="W2:W241">
    <cfRule type="expression" dxfId="21" priority="6">
      <formula>W2=300000000000000000000</formula>
    </cfRule>
    <cfRule type="expression" dxfId="20" priority="7">
      <formula>W2=200000000000000000000</formula>
    </cfRule>
  </conditionalFormatting>
  <conditionalFormatting sqref="Q2:Q241 W2:W241">
    <cfRule type="expression" dxfId="19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281"/>
  <sheetViews>
    <sheetView workbookViewId="0">
      <selection activeCell="D2" sqref="D2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24.7109375" bestFit="1" customWidth="1"/>
    <col min="5" max="5" width="23.5703125" bestFit="1" customWidth="1"/>
    <col min="6" max="6" width="13.8554687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61.8554687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67</v>
      </c>
      <c r="B2" t="s">
        <v>69</v>
      </c>
      <c r="C2">
        <v>1</v>
      </c>
      <c r="D2" t="s">
        <v>96</v>
      </c>
      <c r="E2" t="s">
        <v>97</v>
      </c>
      <c r="F2" t="s">
        <v>98</v>
      </c>
      <c r="G2">
        <v>2.0725683710067599</v>
      </c>
      <c r="H2">
        <v>8.1799714470377396E-3</v>
      </c>
      <c r="I2">
        <v>0</v>
      </c>
      <c r="J2">
        <v>3</v>
      </c>
      <c r="K2">
        <v>2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ProjectAGVNumber BusyTransporter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2.078872627125893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5.2787009755182E-3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3.7761551973910287E-3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2.07228794584704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2.08892452747873</v>
      </c>
      <c r="U2">
        <f>IF((ContinuousStatsTable[[#This Row],[RepsRequested]]&gt;1),ContinuousStatsTable[[#This Row],[HalfWidth]],ContinuousStatsTable[[#This Row],[BatchMeansHalfWidth]])</f>
        <v>3.7761551973910287E-3</v>
      </c>
    </row>
    <row r="3" spans="1:21" x14ac:dyDescent="0.25">
      <c r="A3" t="s">
        <v>67</v>
      </c>
      <c r="B3" t="s">
        <v>69</v>
      </c>
      <c r="C3">
        <v>1</v>
      </c>
      <c r="D3" t="s">
        <v>96</v>
      </c>
      <c r="E3" t="s">
        <v>99</v>
      </c>
      <c r="F3" t="s">
        <v>98</v>
      </c>
      <c r="G3">
        <v>3</v>
      </c>
      <c r="H3">
        <v>2E+20</v>
      </c>
      <c r="I3">
        <v>3</v>
      </c>
      <c r="J3">
        <v>3</v>
      </c>
      <c r="K3">
        <v>3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ProjectAGVNumber ScheduledTransporter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3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3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3</v>
      </c>
      <c r="U3">
        <f>IF((ContinuousStatsTable[[#This Row],[RepsRequested]]&gt;1),ContinuousStatsTable[[#This Row],[HalfWidth]],ContinuousStatsTable[[#This Row],[BatchMeansHalfWidth]])</f>
        <v>0</v>
      </c>
    </row>
    <row r="4" spans="1:21" x14ac:dyDescent="0.25">
      <c r="A4" t="s">
        <v>67</v>
      </c>
      <c r="B4" t="s">
        <v>69</v>
      </c>
      <c r="C4">
        <v>1</v>
      </c>
      <c r="D4" t="s">
        <v>96</v>
      </c>
      <c r="E4" t="s">
        <v>100</v>
      </c>
      <c r="F4" t="s">
        <v>98</v>
      </c>
      <c r="G4">
        <v>0.69085612366892102</v>
      </c>
      <c r="H4">
        <v>2.7266571490126902E-3</v>
      </c>
      <c r="I4">
        <v>0</v>
      </c>
      <c r="J4">
        <v>1</v>
      </c>
      <c r="K4">
        <v>0.66666666666666696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ProjectAGVUtilizationTransporter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0.69295754237529772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1.759566991837834E-3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1.2587183991292225E-3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0.69076264861567704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0.69630817582623705</v>
      </c>
      <c r="U4">
        <f>IF((ContinuousStatsTable[[#This Row],[RepsRequested]]&gt;1),ContinuousStatsTable[[#This Row],[HalfWidth]],ContinuousStatsTable[[#This Row],[BatchMeansHalfWidth]])</f>
        <v>1.2587183991292225E-3</v>
      </c>
    </row>
    <row r="5" spans="1:21" x14ac:dyDescent="0.25">
      <c r="A5" t="s">
        <v>67</v>
      </c>
      <c r="B5" t="s">
        <v>69</v>
      </c>
      <c r="C5">
        <v>1</v>
      </c>
      <c r="D5" t="s">
        <v>70</v>
      </c>
      <c r="E5" t="s">
        <v>101</v>
      </c>
      <c r="F5" t="s">
        <v>72</v>
      </c>
      <c r="G5">
        <v>3.0069080543661999E-2</v>
      </c>
      <c r="H5">
        <v>2.5027579242656302E-3</v>
      </c>
      <c r="I5">
        <v>0</v>
      </c>
      <c r="J5">
        <v>4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ProjectEnter Request AGV.QueueNumber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3.1035047783347335E-2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1.214427597616889E-3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8.6874916875660508E-4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2.9772007867277201E-2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3.3809532279706102E-2</v>
      </c>
      <c r="U5">
        <f>IF((ContinuousStatsTable[[#This Row],[RepsRequested]]&gt;1),ContinuousStatsTable[[#This Row],[HalfWidth]],ContinuousStatsTable[[#This Row],[BatchMeansHalfWidth]])</f>
        <v>8.6874916875660508E-4</v>
      </c>
    </row>
    <row r="6" spans="1:21" x14ac:dyDescent="0.25">
      <c r="A6" t="s">
        <v>67</v>
      </c>
      <c r="B6" t="s">
        <v>69</v>
      </c>
      <c r="C6">
        <v>1</v>
      </c>
      <c r="D6" t="s">
        <v>102</v>
      </c>
      <c r="E6" t="s">
        <v>103</v>
      </c>
      <c r="F6" t="s">
        <v>77</v>
      </c>
      <c r="G6">
        <v>0</v>
      </c>
      <c r="H6">
        <v>2E+20</v>
      </c>
      <c r="I6">
        <v>0</v>
      </c>
      <c r="J6">
        <v>1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</v>
      </c>
      <c r="U6">
        <f>IF((ContinuousStatsTable[[#This Row],[RepsRequested]]&gt;1),ContinuousStatsTable[[#This Row],[HalfWidth]],ContinuousStatsTable[[#This Row],[BatchMeansHalfWidth]])</f>
        <v>0</v>
      </c>
    </row>
    <row r="7" spans="1:21" x14ac:dyDescent="0.25">
      <c r="A7" t="s">
        <v>67</v>
      </c>
      <c r="B7" t="s">
        <v>69</v>
      </c>
      <c r="C7">
        <v>1</v>
      </c>
      <c r="D7" t="s">
        <v>104</v>
      </c>
      <c r="E7" t="s">
        <v>105</v>
      </c>
      <c r="F7" t="s">
        <v>106</v>
      </c>
      <c r="G7">
        <v>0.53205452108434903</v>
      </c>
      <c r="H7">
        <v>1.5759674165700101E-2</v>
      </c>
      <c r="I7">
        <v>0</v>
      </c>
      <c r="J7">
        <v>1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ProjectNEWPAINTERInstantaneous UtilizationResource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0.52518723279433455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8.4087502405714581E-3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6.0152575551752803E-3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0.51150896826018899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0.54003281556404203</v>
      </c>
      <c r="U7">
        <f>IF((ContinuousStatsTable[[#This Row],[RepsRequested]]&gt;1),ContinuousStatsTable[[#This Row],[HalfWidth]],ContinuousStatsTable[[#This Row],[BatchMeansHalfWidth]])</f>
        <v>6.0152575551752803E-3</v>
      </c>
    </row>
    <row r="8" spans="1:21" x14ac:dyDescent="0.25">
      <c r="A8" t="s">
        <v>67</v>
      </c>
      <c r="B8" t="s">
        <v>69</v>
      </c>
      <c r="C8">
        <v>1</v>
      </c>
      <c r="D8" t="s">
        <v>104</v>
      </c>
      <c r="E8" t="s">
        <v>97</v>
      </c>
      <c r="F8" t="s">
        <v>106</v>
      </c>
      <c r="G8">
        <v>0.53205452108434903</v>
      </c>
      <c r="H8">
        <v>1.5759674165700101E-2</v>
      </c>
      <c r="I8">
        <v>0</v>
      </c>
      <c r="J8">
        <v>1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ProjectNEWPAINTERNumber BusyResource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0.52518723279433455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8.4087502405714581E-3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6.0152575551752803E-3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0.51150896826018899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0.54003281556404203</v>
      </c>
      <c r="U8">
        <f>IF((ContinuousStatsTable[[#This Row],[RepsRequested]]&gt;1),ContinuousStatsTable[[#This Row],[HalfWidth]],ContinuousStatsTable[[#This Row],[BatchMeansHalfWidth]])</f>
        <v>6.0152575551752803E-3</v>
      </c>
    </row>
    <row r="9" spans="1:21" x14ac:dyDescent="0.25">
      <c r="A9" t="s">
        <v>67</v>
      </c>
      <c r="B9" t="s">
        <v>69</v>
      </c>
      <c r="C9">
        <v>1</v>
      </c>
      <c r="D9" t="s">
        <v>104</v>
      </c>
      <c r="E9" t="s">
        <v>99</v>
      </c>
      <c r="F9" t="s">
        <v>106</v>
      </c>
      <c r="G9">
        <v>1</v>
      </c>
      <c r="H9">
        <v>2E+20</v>
      </c>
      <c r="I9">
        <v>1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ProjectNEWPAINTERNumber ScheduledResource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1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1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1</v>
      </c>
      <c r="U9">
        <f>IF((ContinuousStatsTable[[#This Row],[RepsRequested]]&gt;1),ContinuousStatsTable[[#This Row],[HalfWidth]],ContinuousStatsTable[[#This Row],[BatchMeansHalfWidth]])</f>
        <v>0</v>
      </c>
    </row>
    <row r="10" spans="1:21" x14ac:dyDescent="0.25">
      <c r="A10" t="s">
        <v>67</v>
      </c>
      <c r="B10" t="s">
        <v>69</v>
      </c>
      <c r="C10">
        <v>1</v>
      </c>
      <c r="D10" t="s">
        <v>73</v>
      </c>
      <c r="E10" t="s">
        <v>101</v>
      </c>
      <c r="F10" t="s">
        <v>72</v>
      </c>
      <c r="G10">
        <v>0.21133026885741399</v>
      </c>
      <c r="H10">
        <v>2.9794064363799701E-2</v>
      </c>
      <c r="I10">
        <v>0</v>
      </c>
      <c r="J10">
        <v>6</v>
      </c>
      <c r="K10">
        <v>0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ProjectNewPaintQNumber WaitingQueue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0.19175082727765341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1.5966644693782381E-2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1.1421849546877095E-2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0.17015628683515099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0.217869952503708</v>
      </c>
      <c r="U10">
        <f>IF((ContinuousStatsTable[[#This Row],[RepsRequested]]&gt;1),ContinuousStatsTable[[#This Row],[HalfWidth]],ContinuousStatsTable[[#This Row],[BatchMeansHalfWidth]])</f>
        <v>1.1421849546877095E-2</v>
      </c>
    </row>
    <row r="11" spans="1:21" x14ac:dyDescent="0.25">
      <c r="A11" t="s">
        <v>67</v>
      </c>
      <c r="B11" t="s">
        <v>69</v>
      </c>
      <c r="C11">
        <v>1</v>
      </c>
      <c r="D11" t="s">
        <v>74</v>
      </c>
      <c r="E11" t="s">
        <v>101</v>
      </c>
      <c r="F11" t="s">
        <v>72</v>
      </c>
      <c r="G11">
        <v>5.0878342070728201E-3</v>
      </c>
      <c r="H11">
        <v>3.7763241281279798E-4</v>
      </c>
      <c r="I11">
        <v>0</v>
      </c>
      <c r="J11">
        <v>1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ProjectNewPaintReqQNumber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4.7461022101932173E-3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2.0643575159293872E-4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1.4767524054125336E-4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4.3438456155572196E-3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5.0878342070728201E-3</v>
      </c>
      <c r="U11">
        <f>IF((ContinuousStatsTable[[#This Row],[RepsRequested]]&gt;1),ContinuousStatsTable[[#This Row],[HalfWidth]],ContinuousStatsTable[[#This Row],[BatchMeansHalfWidth]])</f>
        <v>1.4767524054125336E-4</v>
      </c>
    </row>
    <row r="12" spans="1:21" x14ac:dyDescent="0.25">
      <c r="A12" t="s">
        <v>67</v>
      </c>
      <c r="B12" t="s">
        <v>69</v>
      </c>
      <c r="C12">
        <v>1</v>
      </c>
      <c r="D12" t="s">
        <v>75</v>
      </c>
      <c r="E12" t="s">
        <v>103</v>
      </c>
      <c r="F12" t="s">
        <v>77</v>
      </c>
      <c r="G12">
        <v>2.5955101754668202</v>
      </c>
      <c r="H12">
        <v>0.122409400767113</v>
      </c>
      <c r="I12">
        <v>0</v>
      </c>
      <c r="J12">
        <v>13</v>
      </c>
      <c r="K12">
        <v>2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ProjectNewPartWIPEntity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10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2.5498900061729541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7.472159430415927E-2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5.3452608510618609E-2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2.4192292508998099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2.6620431560013098</v>
      </c>
      <c r="U12">
        <f>IF((ContinuousStatsTable[[#This Row],[RepsRequested]]&gt;1),ContinuousStatsTable[[#This Row],[HalfWidth]],ContinuousStatsTable[[#This Row],[BatchMeansHalfWidth]])</f>
        <v>5.3452608510618609E-2</v>
      </c>
    </row>
    <row r="13" spans="1:21" x14ac:dyDescent="0.25">
      <c r="A13" t="s">
        <v>67</v>
      </c>
      <c r="B13" t="s">
        <v>69</v>
      </c>
      <c r="C13">
        <v>1</v>
      </c>
      <c r="D13" t="s">
        <v>83</v>
      </c>
      <c r="E13" t="s">
        <v>103</v>
      </c>
      <c r="F13" t="s">
        <v>77</v>
      </c>
      <c r="G13">
        <v>4.8605240260060798</v>
      </c>
      <c r="H13">
        <v>0.20316366023111199</v>
      </c>
      <c r="I13">
        <v>0</v>
      </c>
      <c r="J13">
        <v>21</v>
      </c>
      <c r="K13">
        <v>2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ProjectOldPartWIPEntity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10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4.9513834264802963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0.10244397191297382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7.3284002783010616E-2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4.82855853416822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5.1212851674768203</v>
      </c>
      <c r="U13">
        <f>IF((ContinuousStatsTable[[#This Row],[RepsRequested]]&gt;1),ContinuousStatsTable[[#This Row],[HalfWidth]],ContinuousStatsTable[[#This Row],[BatchMeansHalfWidth]])</f>
        <v>7.3284002783010616E-2</v>
      </c>
    </row>
    <row r="14" spans="1:21" x14ac:dyDescent="0.25">
      <c r="A14" t="s">
        <v>67</v>
      </c>
      <c r="B14" t="s">
        <v>69</v>
      </c>
      <c r="C14">
        <v>1</v>
      </c>
      <c r="D14" t="s">
        <v>107</v>
      </c>
      <c r="E14" t="s">
        <v>105</v>
      </c>
      <c r="F14" t="s">
        <v>106</v>
      </c>
      <c r="G14">
        <v>0.80873375252706603</v>
      </c>
      <c r="H14">
        <v>9.6080621882753698E-3</v>
      </c>
      <c r="I14">
        <v>0</v>
      </c>
      <c r="J14">
        <v>1</v>
      </c>
      <c r="K14">
        <v>0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ProjectPACKERInstantaneous UtilizationResource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10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0.81557194281027567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6.9416851287817331E-3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4.9657823959478754E-3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0.80675605099888203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0.82818429749007605</v>
      </c>
      <c r="U14">
        <f>IF((ContinuousStatsTable[[#This Row],[RepsRequested]]&gt;1),ContinuousStatsTable[[#This Row],[HalfWidth]],ContinuousStatsTable[[#This Row],[BatchMeansHalfWidth]])</f>
        <v>4.9657823959478754E-3</v>
      </c>
    </row>
    <row r="15" spans="1:21" x14ac:dyDescent="0.25">
      <c r="A15" t="s">
        <v>67</v>
      </c>
      <c r="B15" t="s">
        <v>69</v>
      </c>
      <c r="C15">
        <v>1</v>
      </c>
      <c r="D15" t="s">
        <v>107</v>
      </c>
      <c r="E15" t="s">
        <v>97</v>
      </c>
      <c r="F15" t="s">
        <v>106</v>
      </c>
      <c r="G15">
        <v>0.80873375252706603</v>
      </c>
      <c r="H15">
        <v>9.6080621882753698E-3</v>
      </c>
      <c r="I15">
        <v>0</v>
      </c>
      <c r="J15">
        <v>1</v>
      </c>
      <c r="K15">
        <v>0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ProjectPACKERNumber BusyResource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10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0.81557194281027567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6.9416851287817331E-3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4.9657823959478754E-3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0.80675605099888203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0.82818429749007605</v>
      </c>
      <c r="U15">
        <f>IF((ContinuousStatsTable[[#This Row],[RepsRequested]]&gt;1),ContinuousStatsTable[[#This Row],[HalfWidth]],ContinuousStatsTable[[#This Row],[BatchMeansHalfWidth]])</f>
        <v>4.9657823959478754E-3</v>
      </c>
    </row>
    <row r="16" spans="1:21" x14ac:dyDescent="0.25">
      <c r="A16" t="s">
        <v>67</v>
      </c>
      <c r="B16" t="s">
        <v>69</v>
      </c>
      <c r="C16">
        <v>1</v>
      </c>
      <c r="D16" t="s">
        <v>107</v>
      </c>
      <c r="E16" t="s">
        <v>99</v>
      </c>
      <c r="F16" t="s">
        <v>106</v>
      </c>
      <c r="G16">
        <v>1</v>
      </c>
      <c r="H16">
        <v>2E+20</v>
      </c>
      <c r="I16">
        <v>1</v>
      </c>
      <c r="J16">
        <v>1</v>
      </c>
      <c r="K16">
        <v>1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ProjectPACKERNumber ScheduledResource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10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1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1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1</v>
      </c>
      <c r="U16">
        <f>IF((ContinuousStatsTable[[#This Row],[RepsRequested]]&gt;1),ContinuousStatsTable[[#This Row],[HalfWidth]],ContinuousStatsTable[[#This Row],[BatchMeansHalfWidth]])</f>
        <v>0</v>
      </c>
    </row>
    <row r="17" spans="1:21" x14ac:dyDescent="0.25">
      <c r="A17" t="s">
        <v>67</v>
      </c>
      <c r="B17" t="s">
        <v>69</v>
      </c>
      <c r="C17">
        <v>1</v>
      </c>
      <c r="D17" t="s">
        <v>108</v>
      </c>
      <c r="E17" t="s">
        <v>105</v>
      </c>
      <c r="F17" t="s">
        <v>106</v>
      </c>
      <c r="G17">
        <v>0.54030874063430001</v>
      </c>
      <c r="H17">
        <v>6.6691131181322904E-3</v>
      </c>
      <c r="I17">
        <v>0</v>
      </c>
      <c r="J17">
        <v>1</v>
      </c>
      <c r="K17">
        <v>0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ProjectPAINTERInstantaneous UtilizationResource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10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0.54938142053560801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4.5196387022068685E-3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3.2331547581159752E-3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0.54030874063430001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0.55566835138728998</v>
      </c>
      <c r="U17">
        <f>IF((ContinuousStatsTable[[#This Row],[RepsRequested]]&gt;1),ContinuousStatsTable[[#This Row],[HalfWidth]],ContinuousStatsTable[[#This Row],[BatchMeansHalfWidth]])</f>
        <v>3.2331547581159752E-3</v>
      </c>
    </row>
    <row r="18" spans="1:21" x14ac:dyDescent="0.25">
      <c r="A18" t="s">
        <v>67</v>
      </c>
      <c r="B18" t="s">
        <v>69</v>
      </c>
      <c r="C18">
        <v>1</v>
      </c>
      <c r="D18" t="s">
        <v>108</v>
      </c>
      <c r="E18" t="s">
        <v>97</v>
      </c>
      <c r="F18" t="s">
        <v>106</v>
      </c>
      <c r="G18">
        <v>0.54030874063430001</v>
      </c>
      <c r="H18">
        <v>6.6691131181322904E-3</v>
      </c>
      <c r="I18">
        <v>0</v>
      </c>
      <c r="J18">
        <v>1</v>
      </c>
      <c r="K18">
        <v>0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ProjectPAINTERNumber BusyResource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10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0.54938142053560801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4.5196387022068685E-3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3.2331547581159752E-3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0.54030874063430001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0.55566835138728998</v>
      </c>
      <c r="U18">
        <f>IF((ContinuousStatsTable[[#This Row],[RepsRequested]]&gt;1),ContinuousStatsTable[[#This Row],[HalfWidth]],ContinuousStatsTable[[#This Row],[BatchMeansHalfWidth]])</f>
        <v>3.2331547581159752E-3</v>
      </c>
    </row>
    <row r="19" spans="1:21" x14ac:dyDescent="0.25">
      <c r="A19" t="s">
        <v>67</v>
      </c>
      <c r="B19" t="s">
        <v>69</v>
      </c>
      <c r="C19">
        <v>1</v>
      </c>
      <c r="D19" t="s">
        <v>108</v>
      </c>
      <c r="E19" t="s">
        <v>99</v>
      </c>
      <c r="F19" t="s">
        <v>106</v>
      </c>
      <c r="G19">
        <v>1</v>
      </c>
      <c r="H19">
        <v>2E+20</v>
      </c>
      <c r="I19">
        <v>1</v>
      </c>
      <c r="J19">
        <v>1</v>
      </c>
      <c r="K19">
        <v>1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ProjectPAINTERNumber ScheduledResource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10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1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1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1</v>
      </c>
      <c r="U19">
        <f>IF((ContinuousStatsTable[[#This Row],[RepsRequested]]&gt;1),ContinuousStatsTable[[#This Row],[HalfWidth]],ContinuousStatsTable[[#This Row],[BatchMeansHalfWidth]])</f>
        <v>0</v>
      </c>
    </row>
    <row r="20" spans="1:21" x14ac:dyDescent="0.25">
      <c r="A20" t="s">
        <v>67</v>
      </c>
      <c r="B20" t="s">
        <v>69</v>
      </c>
      <c r="C20">
        <v>1</v>
      </c>
      <c r="D20" t="s">
        <v>84</v>
      </c>
      <c r="E20" t="s">
        <v>101</v>
      </c>
      <c r="F20" t="s">
        <v>72</v>
      </c>
      <c r="G20">
        <v>0.57130879276409996</v>
      </c>
      <c r="H20">
        <v>4.7255334919193002E-2</v>
      </c>
      <c r="I20">
        <v>0</v>
      </c>
      <c r="J20">
        <v>6</v>
      </c>
      <c r="K20">
        <v>0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ProjectPackQNumber WaitingQueue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10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0.5830563488318371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3.7349781067397253E-2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2.6718423823055008E-2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0.51031500523829298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0.63800950130876</v>
      </c>
      <c r="U20">
        <f>IF((ContinuousStatsTable[[#This Row],[RepsRequested]]&gt;1),ContinuousStatsTable[[#This Row],[HalfWidth]],ContinuousStatsTable[[#This Row],[BatchMeansHalfWidth]])</f>
        <v>2.6718423823055008E-2</v>
      </c>
    </row>
    <row r="21" spans="1:21" x14ac:dyDescent="0.25">
      <c r="A21" t="s">
        <v>67</v>
      </c>
      <c r="B21" t="s">
        <v>69</v>
      </c>
      <c r="C21">
        <v>1</v>
      </c>
      <c r="D21" t="s">
        <v>85</v>
      </c>
      <c r="E21" t="s">
        <v>101</v>
      </c>
      <c r="F21" t="s">
        <v>72</v>
      </c>
      <c r="G21">
        <v>1.45212185366097E-2</v>
      </c>
      <c r="H21">
        <v>9.1523927534176998E-4</v>
      </c>
      <c r="I21">
        <v>0</v>
      </c>
      <c r="J21">
        <v>1</v>
      </c>
      <c r="K21">
        <v>0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ProjectPackReqQNumber WaitingQueue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10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1.5083245089254998E-2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5.836712228493759E-4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4.1753324008164384E-4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1.41054163109371E-2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1.6052913612351699E-2</v>
      </c>
      <c r="U21">
        <f>IF((ContinuousStatsTable[[#This Row],[RepsRequested]]&gt;1),ContinuousStatsTable[[#This Row],[HalfWidth]],ContinuousStatsTable[[#This Row],[BatchMeansHalfWidth]])</f>
        <v>4.1753324008164384E-4</v>
      </c>
    </row>
    <row r="22" spans="1:21" x14ac:dyDescent="0.25">
      <c r="A22" t="s">
        <v>67</v>
      </c>
      <c r="B22" t="s">
        <v>69</v>
      </c>
      <c r="C22">
        <v>1</v>
      </c>
      <c r="D22" t="s">
        <v>86</v>
      </c>
      <c r="E22" t="s">
        <v>101</v>
      </c>
      <c r="F22" t="s">
        <v>72</v>
      </c>
      <c r="G22">
        <v>6.05919548276165E-2</v>
      </c>
      <c r="H22">
        <v>3.5224130237383401E-3</v>
      </c>
      <c r="I22">
        <v>0</v>
      </c>
      <c r="J22">
        <v>2</v>
      </c>
      <c r="K22">
        <v>0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Unnamed ProjectPaintQNumber WaitingQueue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10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6.2655374167183184E-2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1.297076259729802E-3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9.2787245996831338E-4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6.05919548276165E-2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6.4938397569822504E-2</v>
      </c>
      <c r="U22">
        <f>IF((ContinuousStatsTable[[#This Row],[RepsRequested]]&gt;1),ContinuousStatsTable[[#This Row],[HalfWidth]],ContinuousStatsTable[[#This Row],[BatchMeansHalfWidth]])</f>
        <v>9.2787245996831338E-4</v>
      </c>
    </row>
    <row r="23" spans="1:21" x14ac:dyDescent="0.25">
      <c r="A23" t="s">
        <v>67</v>
      </c>
      <c r="B23" t="s">
        <v>69</v>
      </c>
      <c r="C23">
        <v>1</v>
      </c>
      <c r="D23" t="s">
        <v>87</v>
      </c>
      <c r="E23" t="s">
        <v>101</v>
      </c>
      <c r="F23" t="s">
        <v>72</v>
      </c>
      <c r="G23">
        <v>1.2132621095212501E-2</v>
      </c>
      <c r="H23">
        <v>6.4520762144127904E-4</v>
      </c>
      <c r="I23">
        <v>0</v>
      </c>
      <c r="J23">
        <v>1</v>
      </c>
      <c r="K23">
        <v>0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Unnamed ProjectPaintReqQNumber WaitingQueue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10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1.232491804183645E-2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4.2846031814523761E-4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3.0650204751958381E-4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1.1842209288638999E-2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1.30420022653657E-2</v>
      </c>
      <c r="U23">
        <f>IF((ContinuousStatsTable[[#This Row],[RepsRequested]]&gt;1),ContinuousStatsTable[[#This Row],[HalfWidth]],ContinuousStatsTable[[#This Row],[BatchMeansHalfWidth]])</f>
        <v>3.0650204751958381E-4</v>
      </c>
    </row>
    <row r="24" spans="1:21" x14ac:dyDescent="0.25">
      <c r="A24" t="s">
        <v>67</v>
      </c>
      <c r="B24" t="s">
        <v>69</v>
      </c>
      <c r="C24">
        <v>1</v>
      </c>
      <c r="D24" t="s">
        <v>109</v>
      </c>
      <c r="E24" t="s">
        <v>105</v>
      </c>
      <c r="F24" t="s">
        <v>106</v>
      </c>
      <c r="G24">
        <v>0.81352170871654805</v>
      </c>
      <c r="H24">
        <v>9.5250452292156805E-3</v>
      </c>
      <c r="I24">
        <v>0</v>
      </c>
      <c r="J24">
        <v>1</v>
      </c>
      <c r="K24">
        <v>1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Unnamed ProjectWORKERInstantaneous UtilizationResource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10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0.82030090075893936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6.9684713894533476E-3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4.9849441325044447E-3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0.81151215762737705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0.832837691284112</v>
      </c>
      <c r="U24">
        <f>IF((ContinuousStatsTable[[#This Row],[RepsRequested]]&gt;1),ContinuousStatsTable[[#This Row],[HalfWidth]],ContinuousStatsTable[[#This Row],[BatchMeansHalfWidth]])</f>
        <v>4.9849441325044447E-3</v>
      </c>
    </row>
    <row r="25" spans="1:21" x14ac:dyDescent="0.25">
      <c r="A25" t="s">
        <v>67</v>
      </c>
      <c r="B25" t="s">
        <v>69</v>
      </c>
      <c r="C25">
        <v>1</v>
      </c>
      <c r="D25" t="s">
        <v>109</v>
      </c>
      <c r="E25" t="s">
        <v>97</v>
      </c>
      <c r="F25" t="s">
        <v>106</v>
      </c>
      <c r="G25">
        <v>0.81352170871654805</v>
      </c>
      <c r="H25">
        <v>9.5250452292156805E-3</v>
      </c>
      <c r="I25">
        <v>0</v>
      </c>
      <c r="J25">
        <v>1</v>
      </c>
      <c r="K25">
        <v>1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Unnamed ProjectWORKERNumber BusyResource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10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0.82030090075893936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6.9684713894533476E-3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4.9849441325044447E-3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0.81151215762737705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0.832837691284112</v>
      </c>
      <c r="U25">
        <f>IF((ContinuousStatsTable[[#This Row],[RepsRequested]]&gt;1),ContinuousStatsTable[[#This Row],[HalfWidth]],ContinuousStatsTable[[#This Row],[BatchMeansHalfWidth]])</f>
        <v>4.9849441325044447E-3</v>
      </c>
    </row>
    <row r="26" spans="1:21" x14ac:dyDescent="0.25">
      <c r="A26" t="s">
        <v>67</v>
      </c>
      <c r="B26" t="s">
        <v>69</v>
      </c>
      <c r="C26">
        <v>1</v>
      </c>
      <c r="D26" t="s">
        <v>109</v>
      </c>
      <c r="E26" t="s">
        <v>99</v>
      </c>
      <c r="F26" t="s">
        <v>106</v>
      </c>
      <c r="G26">
        <v>1</v>
      </c>
      <c r="H26">
        <v>2E+20</v>
      </c>
      <c r="I26">
        <v>1</v>
      </c>
      <c r="J26">
        <v>1</v>
      </c>
      <c r="K26">
        <v>1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Unnamed ProjectWORKERNumber ScheduledResource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10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1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0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1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1</v>
      </c>
      <c r="U26">
        <f>IF((ContinuousStatsTable[[#This Row],[RepsRequested]]&gt;1),ContinuousStatsTable[[#This Row],[HalfWidth]],ContinuousStatsTable[[#This Row],[BatchMeansHalfWidth]])</f>
        <v>0</v>
      </c>
    </row>
    <row r="27" spans="1:21" x14ac:dyDescent="0.25">
      <c r="A27" t="s">
        <v>67</v>
      </c>
      <c r="B27" t="s">
        <v>69</v>
      </c>
      <c r="C27">
        <v>1</v>
      </c>
      <c r="D27" t="s">
        <v>94</v>
      </c>
      <c r="E27" t="s">
        <v>101</v>
      </c>
      <c r="F27" t="s">
        <v>72</v>
      </c>
      <c r="G27">
        <v>1.77118683588699</v>
      </c>
      <c r="H27">
        <v>0.219926628109923</v>
      </c>
      <c r="I27">
        <v>0</v>
      </c>
      <c r="J27">
        <v>18</v>
      </c>
      <c r="K27">
        <v>1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Unnamed ProjectWorkStationQNumber WaitingQueue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10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1.7984099951452888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9.41481017902569E-2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6.7349494799689366E-2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1.6808414073062801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1.96303981301246</v>
      </c>
      <c r="U27">
        <f>IF((ContinuousStatsTable[[#This Row],[RepsRequested]]&gt;1),ContinuousStatsTable[[#This Row],[HalfWidth]],ContinuousStatsTable[[#This Row],[BatchMeansHalfWidth]])</f>
        <v>6.7349494799689366E-2</v>
      </c>
    </row>
    <row r="28" spans="1:21" x14ac:dyDescent="0.25">
      <c r="A28" t="s">
        <v>67</v>
      </c>
      <c r="B28" t="s">
        <v>69</v>
      </c>
      <c r="C28">
        <v>1</v>
      </c>
      <c r="D28" t="s">
        <v>95</v>
      </c>
      <c r="E28" t="s">
        <v>101</v>
      </c>
      <c r="F28" t="s">
        <v>72</v>
      </c>
      <c r="G28">
        <v>1.26185007852198E-2</v>
      </c>
      <c r="H28">
        <v>7.7944160478668695E-4</v>
      </c>
      <c r="I28">
        <v>0</v>
      </c>
      <c r="J28">
        <v>1</v>
      </c>
      <c r="K28">
        <v>0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Unnamed ProjectWorkStationReqQNumber WaitingQueue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10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1.2897450081583859E-2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4.2374090710035878E-4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3.0312598423651549E-4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1.2232643269307701E-2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1.34073753437328E-2</v>
      </c>
      <c r="U28">
        <f>IF((ContinuousStatsTable[[#This Row],[RepsRequested]]&gt;1),ContinuousStatsTable[[#This Row],[HalfWidth]],ContinuousStatsTable[[#This Row],[BatchMeansHalfWidth]])</f>
        <v>3.0312598423651549E-4</v>
      </c>
    </row>
    <row r="29" spans="1:21" x14ac:dyDescent="0.25">
      <c r="A29" t="s">
        <v>67</v>
      </c>
      <c r="B29" t="s">
        <v>69</v>
      </c>
      <c r="C29">
        <v>1</v>
      </c>
      <c r="D29" t="s">
        <v>110</v>
      </c>
      <c r="E29" t="s">
        <v>111</v>
      </c>
      <c r="F29" t="s">
        <v>90</v>
      </c>
      <c r="G29">
        <v>0.67299420177859204</v>
      </c>
      <c r="H29">
        <v>1.2869514794874E-2</v>
      </c>
      <c r="I29">
        <v>0</v>
      </c>
      <c r="J29">
        <v>6</v>
      </c>
      <c r="K29">
        <v>1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Unnamed ProjectvNumWaitingRequestsVariableUser Specified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10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0.67697821611736619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6.3714899668086428E-3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4.5578893490793634E-3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0.66877542384053201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0.69059318471793496</v>
      </c>
      <c r="U29">
        <f>IF((ContinuousStatsTable[[#This Row],[RepsRequested]]&gt;1),ContinuousStatsTable[[#This Row],[HalfWidth]],ContinuousStatsTable[[#This Row],[BatchMeansHalfWidth]])</f>
        <v>4.5578893490793634E-3</v>
      </c>
    </row>
    <row r="30" spans="1:21" x14ac:dyDescent="0.25">
      <c r="A30" t="s">
        <v>67</v>
      </c>
      <c r="B30" t="s">
        <v>69</v>
      </c>
      <c r="C30">
        <v>2</v>
      </c>
      <c r="D30" t="s">
        <v>96</v>
      </c>
      <c r="E30" t="s">
        <v>97</v>
      </c>
      <c r="F30" t="s">
        <v>98</v>
      </c>
      <c r="G30">
        <v>2.0777177110846301</v>
      </c>
      <c r="H30">
        <v>1.00100819685116E-2</v>
      </c>
      <c r="I30">
        <v>0</v>
      </c>
      <c r="J30">
        <v>3</v>
      </c>
      <c r="K30">
        <v>2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Unnamed ProjectAGVNumber BusyTransporter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10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2.078872627125893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5.2787009755182E-3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3.7761551973910287E-3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2.07228794584704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2.08892452747873</v>
      </c>
      <c r="U30">
        <f>IF((ContinuousStatsTable[[#This Row],[RepsRequested]]&gt;1),ContinuousStatsTable[[#This Row],[HalfWidth]],ContinuousStatsTable[[#This Row],[BatchMeansHalfWidth]])</f>
        <v>3.7761551973910287E-3</v>
      </c>
    </row>
    <row r="31" spans="1:21" x14ac:dyDescent="0.25">
      <c r="A31" t="s">
        <v>67</v>
      </c>
      <c r="B31" t="s">
        <v>69</v>
      </c>
      <c r="C31">
        <v>2</v>
      </c>
      <c r="D31" t="s">
        <v>96</v>
      </c>
      <c r="E31" t="s">
        <v>99</v>
      </c>
      <c r="F31" t="s">
        <v>98</v>
      </c>
      <c r="G31">
        <v>3</v>
      </c>
      <c r="H31">
        <v>2E+20</v>
      </c>
      <c r="I31">
        <v>3</v>
      </c>
      <c r="J31">
        <v>3</v>
      </c>
      <c r="K31">
        <v>3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Unnamed ProjectAGVNumber ScheduledTransporter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10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3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0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3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3</v>
      </c>
      <c r="U31">
        <f>IF((ContinuousStatsTable[[#This Row],[RepsRequested]]&gt;1),ContinuousStatsTable[[#This Row],[HalfWidth]],ContinuousStatsTable[[#This Row],[BatchMeansHalfWidth]])</f>
        <v>0</v>
      </c>
    </row>
    <row r="32" spans="1:21" x14ac:dyDescent="0.25">
      <c r="A32" t="s">
        <v>67</v>
      </c>
      <c r="B32" t="s">
        <v>69</v>
      </c>
      <c r="C32">
        <v>2</v>
      </c>
      <c r="D32" t="s">
        <v>96</v>
      </c>
      <c r="E32" t="s">
        <v>100</v>
      </c>
      <c r="F32" t="s">
        <v>98</v>
      </c>
      <c r="G32">
        <v>0.69257257036155095</v>
      </c>
      <c r="H32">
        <v>3.3366939895038898E-3</v>
      </c>
      <c r="I32">
        <v>0</v>
      </c>
      <c r="J32">
        <v>1</v>
      </c>
      <c r="K32">
        <v>0.66666666666666696</v>
      </c>
      <c r="L32">
        <v>0</v>
      </c>
      <c r="M32" t="str">
        <f>ContinuousStatsTable[[#This Row],[ProjectName]]&amp;ContinuousStatsTable[[#This Row],[Name]]&amp;ContinuousStatsTable[[#This Row],[Type]]&amp;ContinuousStatsTable[[#This Row],[Source]]</f>
        <v>Unnamed ProjectAGVUtilizationTransporter</v>
      </c>
      <c r="N32" cm="1">
        <f t="array" ref="N32">MAX(IF((ProjectInfoTable[ProjectName]=ContinuousStatsTable[[#This Row],[ProjectName]]),(ProjectInfoTable[ProjectName]=ContinuousStatsTable[[#This Row],[ProjectName]])*ProjectInfoTable[NumberOfReplications]))</f>
        <v>10</v>
      </c>
      <c r="O32" cm="1">
        <f t="array" ref="O32">IFERROR(AVERAGE(IF((ContinuousStatsTable[GroupByKey]=ContinuousStatsTable[[#This Row],[GroupByKey]]),(ContinuousStatsTable[GroupByKey]=ContinuousStatsTable[[#This Row],[GroupByKey]])*ContinuousStatsTable[Average])),0)</f>
        <v>0.69295754237529772</v>
      </c>
      <c r="P32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1.759566991837834E-3</v>
      </c>
      <c r="Q32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1.2587183991292225E-3</v>
      </c>
      <c r="S32" cm="1">
        <f t="array" ref="S32">MIN(IF((ContinuousStatsTable[GroupByKey]=ContinuousStatsTable[[#This Row],[GroupByKey]]),(ContinuousStatsTable[GroupByKey]=ContinuousStatsTable[[#This Row],[GroupByKey]])*ContinuousStatsTable[Average]))</f>
        <v>0.69076264861567704</v>
      </c>
      <c r="T32" cm="1">
        <f t="array" ref="T32">MAX(IF((ContinuousStatsTable[GroupByKey]=ContinuousStatsTable[[#This Row],[GroupByKey]]),(ContinuousStatsTable[GroupByKey]=ContinuousStatsTable[[#This Row],[GroupByKey]])*ContinuousStatsTable[Average]))</f>
        <v>0.69630817582623705</v>
      </c>
      <c r="U32">
        <f>IF((ContinuousStatsTable[[#This Row],[RepsRequested]]&gt;1),ContinuousStatsTable[[#This Row],[HalfWidth]],ContinuousStatsTable[[#This Row],[BatchMeansHalfWidth]])</f>
        <v>1.2587183991292225E-3</v>
      </c>
    </row>
    <row r="33" spans="1:21" x14ac:dyDescent="0.25">
      <c r="A33" t="s">
        <v>67</v>
      </c>
      <c r="B33" t="s">
        <v>69</v>
      </c>
      <c r="C33">
        <v>2</v>
      </c>
      <c r="D33" t="s">
        <v>70</v>
      </c>
      <c r="E33" t="s">
        <v>101</v>
      </c>
      <c r="F33" t="s">
        <v>72</v>
      </c>
      <c r="G33">
        <v>3.1873960157486003E-2</v>
      </c>
      <c r="H33">
        <v>3E+20</v>
      </c>
      <c r="I33">
        <v>0</v>
      </c>
      <c r="J33">
        <v>4</v>
      </c>
      <c r="K33">
        <v>0</v>
      </c>
      <c r="L33">
        <v>0</v>
      </c>
      <c r="M33" t="str">
        <f>ContinuousStatsTable[[#This Row],[ProjectName]]&amp;ContinuousStatsTable[[#This Row],[Name]]&amp;ContinuousStatsTable[[#This Row],[Type]]&amp;ContinuousStatsTable[[#This Row],[Source]]</f>
        <v>Unnamed ProjectEnter Request AGV.QueueNumber WaitingQueue</v>
      </c>
      <c r="N33" cm="1">
        <f t="array" ref="N33">MAX(IF((ProjectInfoTable[ProjectName]=ContinuousStatsTable[[#This Row],[ProjectName]]),(ProjectInfoTable[ProjectName]=ContinuousStatsTable[[#This Row],[ProjectName]])*ProjectInfoTable[NumberOfReplications]))</f>
        <v>10</v>
      </c>
      <c r="O33" cm="1">
        <f t="array" ref="O33">IFERROR(AVERAGE(IF((ContinuousStatsTable[GroupByKey]=ContinuousStatsTable[[#This Row],[GroupByKey]]),(ContinuousStatsTable[GroupByKey]=ContinuousStatsTable[[#This Row],[GroupByKey]])*ContinuousStatsTable[Average])),0)</f>
        <v>3.1035047783347335E-2</v>
      </c>
      <c r="P33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1.214427597616889E-3</v>
      </c>
      <c r="Q33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8.6874916875660508E-4</v>
      </c>
      <c r="S33" cm="1">
        <f t="array" ref="S33">MIN(IF((ContinuousStatsTable[GroupByKey]=ContinuousStatsTable[[#This Row],[GroupByKey]]),(ContinuousStatsTable[GroupByKey]=ContinuousStatsTable[[#This Row],[GroupByKey]])*ContinuousStatsTable[Average]))</f>
        <v>2.9772007867277201E-2</v>
      </c>
      <c r="T33" cm="1">
        <f t="array" ref="T33">MAX(IF((ContinuousStatsTable[GroupByKey]=ContinuousStatsTable[[#This Row],[GroupByKey]]),(ContinuousStatsTable[GroupByKey]=ContinuousStatsTable[[#This Row],[GroupByKey]])*ContinuousStatsTable[Average]))</f>
        <v>3.3809532279706102E-2</v>
      </c>
      <c r="U33">
        <f>IF((ContinuousStatsTable[[#This Row],[RepsRequested]]&gt;1),ContinuousStatsTable[[#This Row],[HalfWidth]],ContinuousStatsTable[[#This Row],[BatchMeansHalfWidth]])</f>
        <v>8.6874916875660508E-4</v>
      </c>
    </row>
    <row r="34" spans="1:21" x14ac:dyDescent="0.25">
      <c r="A34" t="s">
        <v>67</v>
      </c>
      <c r="B34" t="s">
        <v>69</v>
      </c>
      <c r="C34">
        <v>2</v>
      </c>
      <c r="D34" t="s">
        <v>102</v>
      </c>
      <c r="E34" t="s">
        <v>103</v>
      </c>
      <c r="F34" t="s">
        <v>77</v>
      </c>
      <c r="G34">
        <v>0</v>
      </c>
      <c r="H34">
        <v>2E+20</v>
      </c>
      <c r="I34">
        <v>0</v>
      </c>
      <c r="J34">
        <v>1</v>
      </c>
      <c r="K34">
        <v>0</v>
      </c>
      <c r="L34">
        <v>0</v>
      </c>
      <c r="M34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34" cm="1">
        <f t="array" ref="N34">MAX(IF((ProjectInfoTable[ProjectName]=ContinuousStatsTable[[#This Row],[ProjectName]]),(ProjectInfoTable[ProjectName]=ContinuousStatsTable[[#This Row],[ProjectName]])*ProjectInfoTable[NumberOfReplications]))</f>
        <v>10</v>
      </c>
      <c r="O34" cm="1">
        <f t="array" ref="O34">IFERROR(AVERAGE(IF((ContinuousStatsTable[GroupByKey]=ContinuousStatsTable[[#This Row],[GroupByKey]]),(ContinuousStatsTable[GroupByKey]=ContinuousStatsTable[[#This Row],[GroupByKey]])*ContinuousStatsTable[Average])),0)</f>
        <v>0</v>
      </c>
      <c r="P34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</v>
      </c>
      <c r="Q34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" cm="1">
        <f t="array" ref="S34">MIN(IF((ContinuousStatsTable[GroupByKey]=ContinuousStatsTable[[#This Row],[GroupByKey]]),(ContinuousStatsTable[GroupByKey]=ContinuousStatsTable[[#This Row],[GroupByKey]])*ContinuousStatsTable[Average]))</f>
        <v>0</v>
      </c>
      <c r="T34" cm="1">
        <f t="array" ref="T34">MAX(IF((ContinuousStatsTable[GroupByKey]=ContinuousStatsTable[[#This Row],[GroupByKey]]),(ContinuousStatsTable[GroupByKey]=ContinuousStatsTable[[#This Row],[GroupByKey]])*ContinuousStatsTable[Average]))</f>
        <v>0</v>
      </c>
      <c r="U34">
        <f>IF((ContinuousStatsTable[[#This Row],[RepsRequested]]&gt;1),ContinuousStatsTable[[#This Row],[HalfWidth]],ContinuousStatsTable[[#This Row],[BatchMeansHalfWidth]])</f>
        <v>0</v>
      </c>
    </row>
    <row r="35" spans="1:21" x14ac:dyDescent="0.25">
      <c r="A35" t="s">
        <v>67</v>
      </c>
      <c r="B35" t="s">
        <v>69</v>
      </c>
      <c r="C35">
        <v>2</v>
      </c>
      <c r="D35" t="s">
        <v>104</v>
      </c>
      <c r="E35" t="s">
        <v>105</v>
      </c>
      <c r="F35" t="s">
        <v>106</v>
      </c>
      <c r="G35">
        <v>0.52546237694032205</v>
      </c>
      <c r="H35">
        <v>1.48794592855653E-2</v>
      </c>
      <c r="I35">
        <v>0</v>
      </c>
      <c r="J35">
        <v>1</v>
      </c>
      <c r="K35">
        <v>1</v>
      </c>
      <c r="L35">
        <v>0</v>
      </c>
      <c r="M35" t="str">
        <f>ContinuousStatsTable[[#This Row],[ProjectName]]&amp;ContinuousStatsTable[[#This Row],[Name]]&amp;ContinuousStatsTable[[#This Row],[Type]]&amp;ContinuousStatsTable[[#This Row],[Source]]</f>
        <v>Unnamed ProjectNEWPAINTERInstantaneous UtilizationResource</v>
      </c>
      <c r="N35" cm="1">
        <f t="array" ref="N35">MAX(IF((ProjectInfoTable[ProjectName]=ContinuousStatsTable[[#This Row],[ProjectName]]),(ProjectInfoTable[ProjectName]=ContinuousStatsTable[[#This Row],[ProjectName]])*ProjectInfoTable[NumberOfReplications]))</f>
        <v>10</v>
      </c>
      <c r="O35" cm="1">
        <f t="array" ref="O35">IFERROR(AVERAGE(IF((ContinuousStatsTable[GroupByKey]=ContinuousStatsTable[[#This Row],[GroupByKey]]),(ContinuousStatsTable[GroupByKey]=ContinuousStatsTable[[#This Row],[GroupByKey]])*ContinuousStatsTable[Average])),0)</f>
        <v>0.52518723279433455</v>
      </c>
      <c r="P3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8.4087502405714581E-3</v>
      </c>
      <c r="Q3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6.0152575551752803E-3</v>
      </c>
      <c r="S35" cm="1">
        <f t="array" ref="S35">MIN(IF((ContinuousStatsTable[GroupByKey]=ContinuousStatsTable[[#This Row],[GroupByKey]]),(ContinuousStatsTable[GroupByKey]=ContinuousStatsTable[[#This Row],[GroupByKey]])*ContinuousStatsTable[Average]))</f>
        <v>0.51150896826018899</v>
      </c>
      <c r="T35" cm="1">
        <f t="array" ref="T35">MAX(IF((ContinuousStatsTable[GroupByKey]=ContinuousStatsTable[[#This Row],[GroupByKey]]),(ContinuousStatsTable[GroupByKey]=ContinuousStatsTable[[#This Row],[GroupByKey]])*ContinuousStatsTable[Average]))</f>
        <v>0.54003281556404203</v>
      </c>
      <c r="U35">
        <f>IF((ContinuousStatsTable[[#This Row],[RepsRequested]]&gt;1),ContinuousStatsTable[[#This Row],[HalfWidth]],ContinuousStatsTable[[#This Row],[BatchMeansHalfWidth]])</f>
        <v>6.0152575551752803E-3</v>
      </c>
    </row>
    <row r="36" spans="1:21" x14ac:dyDescent="0.25">
      <c r="A36" t="s">
        <v>67</v>
      </c>
      <c r="B36" t="s">
        <v>69</v>
      </c>
      <c r="C36">
        <v>2</v>
      </c>
      <c r="D36" t="s">
        <v>104</v>
      </c>
      <c r="E36" t="s">
        <v>97</v>
      </c>
      <c r="F36" t="s">
        <v>106</v>
      </c>
      <c r="G36">
        <v>0.52546237694032205</v>
      </c>
      <c r="H36">
        <v>1.48794592855653E-2</v>
      </c>
      <c r="I36">
        <v>0</v>
      </c>
      <c r="J36">
        <v>1</v>
      </c>
      <c r="K36">
        <v>1</v>
      </c>
      <c r="L36">
        <v>0</v>
      </c>
      <c r="M36" t="str">
        <f>ContinuousStatsTable[[#This Row],[ProjectName]]&amp;ContinuousStatsTable[[#This Row],[Name]]&amp;ContinuousStatsTable[[#This Row],[Type]]&amp;ContinuousStatsTable[[#This Row],[Source]]</f>
        <v>Unnamed ProjectNEWPAINTERNumber BusyResource</v>
      </c>
      <c r="N36" cm="1">
        <f t="array" ref="N36">MAX(IF((ProjectInfoTable[ProjectName]=ContinuousStatsTable[[#This Row],[ProjectName]]),(ProjectInfoTable[ProjectName]=ContinuousStatsTable[[#This Row],[ProjectName]])*ProjectInfoTable[NumberOfReplications]))</f>
        <v>10</v>
      </c>
      <c r="O36" cm="1">
        <f t="array" ref="O36">IFERROR(AVERAGE(IF((ContinuousStatsTable[GroupByKey]=ContinuousStatsTable[[#This Row],[GroupByKey]]),(ContinuousStatsTable[GroupByKey]=ContinuousStatsTable[[#This Row],[GroupByKey]])*ContinuousStatsTable[Average])),0)</f>
        <v>0.52518723279433455</v>
      </c>
      <c r="P36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8.4087502405714581E-3</v>
      </c>
      <c r="Q36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6.0152575551752803E-3</v>
      </c>
      <c r="S36" cm="1">
        <f t="array" ref="S36">MIN(IF((ContinuousStatsTable[GroupByKey]=ContinuousStatsTable[[#This Row],[GroupByKey]]),(ContinuousStatsTable[GroupByKey]=ContinuousStatsTable[[#This Row],[GroupByKey]])*ContinuousStatsTable[Average]))</f>
        <v>0.51150896826018899</v>
      </c>
      <c r="T36" cm="1">
        <f t="array" ref="T36">MAX(IF((ContinuousStatsTable[GroupByKey]=ContinuousStatsTable[[#This Row],[GroupByKey]]),(ContinuousStatsTable[GroupByKey]=ContinuousStatsTable[[#This Row],[GroupByKey]])*ContinuousStatsTable[Average]))</f>
        <v>0.54003281556404203</v>
      </c>
      <c r="U36">
        <f>IF((ContinuousStatsTable[[#This Row],[RepsRequested]]&gt;1),ContinuousStatsTable[[#This Row],[HalfWidth]],ContinuousStatsTable[[#This Row],[BatchMeansHalfWidth]])</f>
        <v>6.0152575551752803E-3</v>
      </c>
    </row>
    <row r="37" spans="1:21" x14ac:dyDescent="0.25">
      <c r="A37" t="s">
        <v>67</v>
      </c>
      <c r="B37" t="s">
        <v>69</v>
      </c>
      <c r="C37">
        <v>2</v>
      </c>
      <c r="D37" t="s">
        <v>104</v>
      </c>
      <c r="E37" t="s">
        <v>99</v>
      </c>
      <c r="F37" t="s">
        <v>106</v>
      </c>
      <c r="G37">
        <v>1</v>
      </c>
      <c r="H37">
        <v>2E+20</v>
      </c>
      <c r="I37">
        <v>1</v>
      </c>
      <c r="J37">
        <v>1</v>
      </c>
      <c r="K37">
        <v>1</v>
      </c>
      <c r="L37">
        <v>0</v>
      </c>
      <c r="M37" t="str">
        <f>ContinuousStatsTable[[#This Row],[ProjectName]]&amp;ContinuousStatsTable[[#This Row],[Name]]&amp;ContinuousStatsTable[[#This Row],[Type]]&amp;ContinuousStatsTable[[#This Row],[Source]]</f>
        <v>Unnamed ProjectNEWPAINTERNumber ScheduledResource</v>
      </c>
      <c r="N37" cm="1">
        <f t="array" ref="N37">MAX(IF((ProjectInfoTable[ProjectName]=ContinuousStatsTable[[#This Row],[ProjectName]]),(ProjectInfoTable[ProjectName]=ContinuousStatsTable[[#This Row],[ProjectName]])*ProjectInfoTable[NumberOfReplications]))</f>
        <v>10</v>
      </c>
      <c r="O37" cm="1">
        <f t="array" ref="O37">IFERROR(AVERAGE(IF((ContinuousStatsTable[GroupByKey]=ContinuousStatsTable[[#This Row],[GroupByKey]]),(ContinuousStatsTable[GroupByKey]=ContinuousStatsTable[[#This Row],[GroupByKey]])*ContinuousStatsTable[Average])),0)</f>
        <v>1</v>
      </c>
      <c r="P37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0</v>
      </c>
      <c r="Q37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" cm="1">
        <f t="array" ref="S37">MIN(IF((ContinuousStatsTable[GroupByKey]=ContinuousStatsTable[[#This Row],[GroupByKey]]),(ContinuousStatsTable[GroupByKey]=ContinuousStatsTable[[#This Row],[GroupByKey]])*ContinuousStatsTable[Average]))</f>
        <v>1</v>
      </c>
      <c r="T37" cm="1">
        <f t="array" ref="T37">MAX(IF((ContinuousStatsTable[GroupByKey]=ContinuousStatsTable[[#This Row],[GroupByKey]]),(ContinuousStatsTable[GroupByKey]=ContinuousStatsTable[[#This Row],[GroupByKey]])*ContinuousStatsTable[Average]))</f>
        <v>1</v>
      </c>
      <c r="U37">
        <f>IF((ContinuousStatsTable[[#This Row],[RepsRequested]]&gt;1),ContinuousStatsTable[[#This Row],[HalfWidth]],ContinuousStatsTable[[#This Row],[BatchMeansHalfWidth]])</f>
        <v>0</v>
      </c>
    </row>
    <row r="38" spans="1:21" x14ac:dyDescent="0.25">
      <c r="A38" t="s">
        <v>67</v>
      </c>
      <c r="B38" t="s">
        <v>69</v>
      </c>
      <c r="C38">
        <v>2</v>
      </c>
      <c r="D38" t="s">
        <v>73</v>
      </c>
      <c r="E38" t="s">
        <v>101</v>
      </c>
      <c r="F38" t="s">
        <v>72</v>
      </c>
      <c r="G38">
        <v>0.18486927804829001</v>
      </c>
      <c r="H38">
        <v>2.0142246007519401E-2</v>
      </c>
      <c r="I38">
        <v>0</v>
      </c>
      <c r="J38">
        <v>5</v>
      </c>
      <c r="K38">
        <v>1</v>
      </c>
      <c r="L38">
        <v>0</v>
      </c>
      <c r="M38" t="str">
        <f>ContinuousStatsTable[[#This Row],[ProjectName]]&amp;ContinuousStatsTable[[#This Row],[Name]]&amp;ContinuousStatsTable[[#This Row],[Type]]&amp;ContinuousStatsTable[[#This Row],[Source]]</f>
        <v>Unnamed ProjectNewPaintQNumber WaitingQueue</v>
      </c>
      <c r="N38" cm="1">
        <f t="array" ref="N38">MAX(IF((ProjectInfoTable[ProjectName]=ContinuousStatsTable[[#This Row],[ProjectName]]),(ProjectInfoTable[ProjectName]=ContinuousStatsTable[[#This Row],[ProjectName]])*ProjectInfoTable[NumberOfReplications]))</f>
        <v>10</v>
      </c>
      <c r="O38" cm="1">
        <f t="array" ref="O38">IFERROR(AVERAGE(IF((ContinuousStatsTable[GroupByKey]=ContinuousStatsTable[[#This Row],[GroupByKey]]),(ContinuousStatsTable[GroupByKey]=ContinuousStatsTable[[#This Row],[GroupByKey]])*ContinuousStatsTable[Average])),0)</f>
        <v>0.19175082727765341</v>
      </c>
      <c r="P38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1.5966644693782381E-2</v>
      </c>
      <c r="Q38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1.1421849546877095E-2</v>
      </c>
      <c r="S38" cm="1">
        <f t="array" ref="S38">MIN(IF((ContinuousStatsTable[GroupByKey]=ContinuousStatsTable[[#This Row],[GroupByKey]]),(ContinuousStatsTable[GroupByKey]=ContinuousStatsTable[[#This Row],[GroupByKey]])*ContinuousStatsTable[Average]))</f>
        <v>0.17015628683515099</v>
      </c>
      <c r="T38" cm="1">
        <f t="array" ref="T38">MAX(IF((ContinuousStatsTable[GroupByKey]=ContinuousStatsTable[[#This Row],[GroupByKey]]),(ContinuousStatsTable[GroupByKey]=ContinuousStatsTable[[#This Row],[GroupByKey]])*ContinuousStatsTable[Average]))</f>
        <v>0.217869952503708</v>
      </c>
      <c r="U38">
        <f>IF((ContinuousStatsTable[[#This Row],[RepsRequested]]&gt;1),ContinuousStatsTable[[#This Row],[HalfWidth]],ContinuousStatsTable[[#This Row],[BatchMeansHalfWidth]])</f>
        <v>1.1421849546877095E-2</v>
      </c>
    </row>
    <row r="39" spans="1:21" x14ac:dyDescent="0.25">
      <c r="A39" t="s">
        <v>67</v>
      </c>
      <c r="B39" t="s">
        <v>69</v>
      </c>
      <c r="C39">
        <v>2</v>
      </c>
      <c r="D39" t="s">
        <v>74</v>
      </c>
      <c r="E39" t="s">
        <v>101</v>
      </c>
      <c r="F39" t="s">
        <v>72</v>
      </c>
      <c r="G39">
        <v>4.77627187882984E-3</v>
      </c>
      <c r="H39">
        <v>4.3317423888514402E-4</v>
      </c>
      <c r="I39">
        <v>0</v>
      </c>
      <c r="J39">
        <v>1</v>
      </c>
      <c r="K39">
        <v>0</v>
      </c>
      <c r="L39">
        <v>0</v>
      </c>
      <c r="M39" t="str">
        <f>ContinuousStatsTable[[#This Row],[ProjectName]]&amp;ContinuousStatsTable[[#This Row],[Name]]&amp;ContinuousStatsTable[[#This Row],[Type]]&amp;ContinuousStatsTable[[#This Row],[Source]]</f>
        <v>Unnamed ProjectNewPaintReqQNumber WaitingQueue</v>
      </c>
      <c r="N39" cm="1">
        <f t="array" ref="N39">MAX(IF((ProjectInfoTable[ProjectName]=ContinuousStatsTable[[#This Row],[ProjectName]]),(ProjectInfoTable[ProjectName]=ContinuousStatsTable[[#This Row],[ProjectName]])*ProjectInfoTable[NumberOfReplications]))</f>
        <v>10</v>
      </c>
      <c r="O39" cm="1">
        <f t="array" ref="O39">IFERROR(AVERAGE(IF((ContinuousStatsTable[GroupByKey]=ContinuousStatsTable[[#This Row],[GroupByKey]]),(ContinuousStatsTable[GroupByKey]=ContinuousStatsTable[[#This Row],[GroupByKey]])*ContinuousStatsTable[Average])),0)</f>
        <v>4.7461022101932173E-3</v>
      </c>
      <c r="P39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2.0643575159293872E-4</v>
      </c>
      <c r="Q39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1.4767524054125336E-4</v>
      </c>
      <c r="S39" cm="1">
        <f t="array" ref="S39">MIN(IF((ContinuousStatsTable[GroupByKey]=ContinuousStatsTable[[#This Row],[GroupByKey]]),(ContinuousStatsTable[GroupByKey]=ContinuousStatsTable[[#This Row],[GroupByKey]])*ContinuousStatsTable[Average]))</f>
        <v>4.3438456155572196E-3</v>
      </c>
      <c r="T39" cm="1">
        <f t="array" ref="T39">MAX(IF((ContinuousStatsTable[GroupByKey]=ContinuousStatsTable[[#This Row],[GroupByKey]]),(ContinuousStatsTable[GroupByKey]=ContinuousStatsTable[[#This Row],[GroupByKey]])*ContinuousStatsTable[Average]))</f>
        <v>5.0878342070728201E-3</v>
      </c>
      <c r="U39">
        <f>IF((ContinuousStatsTable[[#This Row],[RepsRequested]]&gt;1),ContinuousStatsTable[[#This Row],[HalfWidth]],ContinuousStatsTable[[#This Row],[BatchMeansHalfWidth]])</f>
        <v>1.4767524054125336E-4</v>
      </c>
    </row>
    <row r="40" spans="1:21" x14ac:dyDescent="0.25">
      <c r="A40" t="s">
        <v>67</v>
      </c>
      <c r="B40" t="s">
        <v>69</v>
      </c>
      <c r="C40">
        <v>2</v>
      </c>
      <c r="D40" t="s">
        <v>75</v>
      </c>
      <c r="E40" t="s">
        <v>103</v>
      </c>
      <c r="F40" t="s">
        <v>77</v>
      </c>
      <c r="G40">
        <v>2.5543067505235699</v>
      </c>
      <c r="H40">
        <v>0.122884152043677</v>
      </c>
      <c r="I40">
        <v>0</v>
      </c>
      <c r="J40">
        <v>12</v>
      </c>
      <c r="K40">
        <v>6</v>
      </c>
      <c r="L40">
        <v>0</v>
      </c>
      <c r="M40" t="str">
        <f>ContinuousStatsTable[[#This Row],[ProjectName]]&amp;ContinuousStatsTable[[#This Row],[Name]]&amp;ContinuousStatsTable[[#This Row],[Type]]&amp;ContinuousStatsTable[[#This Row],[Source]]</f>
        <v>Unnamed ProjectNewPartWIPEntity</v>
      </c>
      <c r="N40" cm="1">
        <f t="array" ref="N40">MAX(IF((ProjectInfoTable[ProjectName]=ContinuousStatsTable[[#This Row],[ProjectName]]),(ProjectInfoTable[ProjectName]=ContinuousStatsTable[[#This Row],[ProjectName]])*ProjectInfoTable[NumberOfReplications]))</f>
        <v>10</v>
      </c>
      <c r="O40" cm="1">
        <f t="array" ref="O40">IFERROR(AVERAGE(IF((ContinuousStatsTable[GroupByKey]=ContinuousStatsTable[[#This Row],[GroupByKey]]),(ContinuousStatsTable[GroupByKey]=ContinuousStatsTable[[#This Row],[GroupByKey]])*ContinuousStatsTable[Average])),0)</f>
        <v>2.5498900061729541</v>
      </c>
      <c r="P40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7.472159430415927E-2</v>
      </c>
      <c r="Q40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5.3452608510618609E-2</v>
      </c>
      <c r="S40" cm="1">
        <f t="array" ref="S40">MIN(IF((ContinuousStatsTable[GroupByKey]=ContinuousStatsTable[[#This Row],[GroupByKey]]),(ContinuousStatsTable[GroupByKey]=ContinuousStatsTable[[#This Row],[GroupByKey]])*ContinuousStatsTable[Average]))</f>
        <v>2.4192292508998099</v>
      </c>
      <c r="T40" cm="1">
        <f t="array" ref="T40">MAX(IF((ContinuousStatsTable[GroupByKey]=ContinuousStatsTable[[#This Row],[GroupByKey]]),(ContinuousStatsTable[GroupByKey]=ContinuousStatsTable[[#This Row],[GroupByKey]])*ContinuousStatsTable[Average]))</f>
        <v>2.6620431560013098</v>
      </c>
      <c r="U40">
        <f>IF((ContinuousStatsTable[[#This Row],[RepsRequested]]&gt;1),ContinuousStatsTable[[#This Row],[HalfWidth]],ContinuousStatsTable[[#This Row],[BatchMeansHalfWidth]])</f>
        <v>5.3452608510618609E-2</v>
      </c>
    </row>
    <row r="41" spans="1:21" x14ac:dyDescent="0.25">
      <c r="A41" t="s">
        <v>67</v>
      </c>
      <c r="B41" t="s">
        <v>69</v>
      </c>
      <c r="C41">
        <v>2</v>
      </c>
      <c r="D41" t="s">
        <v>83</v>
      </c>
      <c r="E41" t="s">
        <v>103</v>
      </c>
      <c r="F41" t="s">
        <v>77</v>
      </c>
      <c r="G41">
        <v>4.9281142216463296</v>
      </c>
      <c r="H41">
        <v>0.18380791862376999</v>
      </c>
      <c r="I41">
        <v>0</v>
      </c>
      <c r="J41">
        <v>19</v>
      </c>
      <c r="K41">
        <v>5</v>
      </c>
      <c r="L41">
        <v>0</v>
      </c>
      <c r="M41" t="str">
        <f>ContinuousStatsTable[[#This Row],[ProjectName]]&amp;ContinuousStatsTable[[#This Row],[Name]]&amp;ContinuousStatsTable[[#This Row],[Type]]&amp;ContinuousStatsTable[[#This Row],[Source]]</f>
        <v>Unnamed ProjectOldPartWIPEntity</v>
      </c>
      <c r="N41" cm="1">
        <f t="array" ref="N41">MAX(IF((ProjectInfoTable[ProjectName]=ContinuousStatsTable[[#This Row],[ProjectName]]),(ProjectInfoTable[ProjectName]=ContinuousStatsTable[[#This Row],[ProjectName]])*ProjectInfoTable[NumberOfReplications]))</f>
        <v>10</v>
      </c>
      <c r="O41" cm="1">
        <f t="array" ref="O41">IFERROR(AVERAGE(IF((ContinuousStatsTable[GroupByKey]=ContinuousStatsTable[[#This Row],[GroupByKey]]),(ContinuousStatsTable[GroupByKey]=ContinuousStatsTable[[#This Row],[GroupByKey]])*ContinuousStatsTable[Average])),0)</f>
        <v>4.9513834264802963</v>
      </c>
      <c r="P41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0.10244397191297382</v>
      </c>
      <c r="Q41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7.3284002783010616E-2</v>
      </c>
      <c r="S41" cm="1">
        <f t="array" ref="S41">MIN(IF((ContinuousStatsTable[GroupByKey]=ContinuousStatsTable[[#This Row],[GroupByKey]]),(ContinuousStatsTable[GroupByKey]=ContinuousStatsTable[[#This Row],[GroupByKey]])*ContinuousStatsTable[Average]))</f>
        <v>4.82855853416822</v>
      </c>
      <c r="T41" cm="1">
        <f t="array" ref="T41">MAX(IF((ContinuousStatsTable[GroupByKey]=ContinuousStatsTable[[#This Row],[GroupByKey]]),(ContinuousStatsTable[GroupByKey]=ContinuousStatsTable[[#This Row],[GroupByKey]])*ContinuousStatsTable[Average]))</f>
        <v>5.1212851674768203</v>
      </c>
      <c r="U41">
        <f>IF((ContinuousStatsTable[[#This Row],[RepsRequested]]&gt;1),ContinuousStatsTable[[#This Row],[HalfWidth]],ContinuousStatsTable[[#This Row],[BatchMeansHalfWidth]])</f>
        <v>7.3284002783010616E-2</v>
      </c>
    </row>
    <row r="42" spans="1:21" x14ac:dyDescent="0.25">
      <c r="A42" t="s">
        <v>67</v>
      </c>
      <c r="B42" t="s">
        <v>69</v>
      </c>
      <c r="C42">
        <v>2</v>
      </c>
      <c r="D42" t="s">
        <v>107</v>
      </c>
      <c r="E42" t="s">
        <v>105</v>
      </c>
      <c r="F42" t="s">
        <v>106</v>
      </c>
      <c r="G42">
        <v>0.81535143894389805</v>
      </c>
      <c r="H42">
        <v>1.10605756123923E-2</v>
      </c>
      <c r="I42">
        <v>0</v>
      </c>
      <c r="J42">
        <v>1</v>
      </c>
      <c r="K42">
        <v>1</v>
      </c>
      <c r="L42">
        <v>0</v>
      </c>
      <c r="M42" t="str">
        <f>ContinuousStatsTable[[#This Row],[ProjectName]]&amp;ContinuousStatsTable[[#This Row],[Name]]&amp;ContinuousStatsTable[[#This Row],[Type]]&amp;ContinuousStatsTable[[#This Row],[Source]]</f>
        <v>Unnamed ProjectPACKERInstantaneous UtilizationResource</v>
      </c>
      <c r="N42" cm="1">
        <f t="array" ref="N42">MAX(IF((ProjectInfoTable[ProjectName]=ContinuousStatsTable[[#This Row],[ProjectName]]),(ProjectInfoTable[ProjectName]=ContinuousStatsTable[[#This Row],[ProjectName]])*ProjectInfoTable[NumberOfReplications]))</f>
        <v>10</v>
      </c>
      <c r="O42" cm="1">
        <f t="array" ref="O42">IFERROR(AVERAGE(IF((ContinuousStatsTable[GroupByKey]=ContinuousStatsTable[[#This Row],[GroupByKey]]),(ContinuousStatsTable[GroupByKey]=ContinuousStatsTable[[#This Row],[GroupByKey]])*ContinuousStatsTable[Average])),0)</f>
        <v>0.81557194281027567</v>
      </c>
      <c r="P42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6.9416851287817331E-3</v>
      </c>
      <c r="Q42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4.9657823959478754E-3</v>
      </c>
      <c r="S42" cm="1">
        <f t="array" ref="S42">MIN(IF((ContinuousStatsTable[GroupByKey]=ContinuousStatsTable[[#This Row],[GroupByKey]]),(ContinuousStatsTable[GroupByKey]=ContinuousStatsTable[[#This Row],[GroupByKey]])*ContinuousStatsTable[Average]))</f>
        <v>0.80675605099888203</v>
      </c>
      <c r="T42" cm="1">
        <f t="array" ref="T42">MAX(IF((ContinuousStatsTable[GroupByKey]=ContinuousStatsTable[[#This Row],[GroupByKey]]),(ContinuousStatsTable[GroupByKey]=ContinuousStatsTable[[#This Row],[GroupByKey]])*ContinuousStatsTable[Average]))</f>
        <v>0.82818429749007605</v>
      </c>
      <c r="U42">
        <f>IF((ContinuousStatsTable[[#This Row],[RepsRequested]]&gt;1),ContinuousStatsTable[[#This Row],[HalfWidth]],ContinuousStatsTable[[#This Row],[BatchMeansHalfWidth]])</f>
        <v>4.9657823959478754E-3</v>
      </c>
    </row>
    <row r="43" spans="1:21" x14ac:dyDescent="0.25">
      <c r="A43" t="s">
        <v>67</v>
      </c>
      <c r="B43" t="s">
        <v>69</v>
      </c>
      <c r="C43">
        <v>2</v>
      </c>
      <c r="D43" t="s">
        <v>107</v>
      </c>
      <c r="E43" t="s">
        <v>97</v>
      </c>
      <c r="F43" t="s">
        <v>106</v>
      </c>
      <c r="G43">
        <v>0.81535143894389805</v>
      </c>
      <c r="H43">
        <v>1.10605756123923E-2</v>
      </c>
      <c r="I43">
        <v>0</v>
      </c>
      <c r="J43">
        <v>1</v>
      </c>
      <c r="K43">
        <v>1</v>
      </c>
      <c r="L43">
        <v>0</v>
      </c>
      <c r="M43" t="str">
        <f>ContinuousStatsTable[[#This Row],[ProjectName]]&amp;ContinuousStatsTable[[#This Row],[Name]]&amp;ContinuousStatsTable[[#This Row],[Type]]&amp;ContinuousStatsTable[[#This Row],[Source]]</f>
        <v>Unnamed ProjectPACKERNumber BusyResource</v>
      </c>
      <c r="N43" cm="1">
        <f t="array" ref="N43">MAX(IF((ProjectInfoTable[ProjectName]=ContinuousStatsTable[[#This Row],[ProjectName]]),(ProjectInfoTable[ProjectName]=ContinuousStatsTable[[#This Row],[ProjectName]])*ProjectInfoTable[NumberOfReplications]))</f>
        <v>10</v>
      </c>
      <c r="O43" cm="1">
        <f t="array" ref="O43">IFERROR(AVERAGE(IF((ContinuousStatsTable[GroupByKey]=ContinuousStatsTable[[#This Row],[GroupByKey]]),(ContinuousStatsTable[GroupByKey]=ContinuousStatsTable[[#This Row],[GroupByKey]])*ContinuousStatsTable[Average])),0)</f>
        <v>0.81557194281027567</v>
      </c>
      <c r="P43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6.9416851287817331E-3</v>
      </c>
      <c r="Q43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4.9657823959478754E-3</v>
      </c>
      <c r="S43" cm="1">
        <f t="array" ref="S43">MIN(IF((ContinuousStatsTable[GroupByKey]=ContinuousStatsTable[[#This Row],[GroupByKey]]),(ContinuousStatsTable[GroupByKey]=ContinuousStatsTable[[#This Row],[GroupByKey]])*ContinuousStatsTable[Average]))</f>
        <v>0.80675605099888203</v>
      </c>
      <c r="T43" cm="1">
        <f t="array" ref="T43">MAX(IF((ContinuousStatsTable[GroupByKey]=ContinuousStatsTable[[#This Row],[GroupByKey]]),(ContinuousStatsTable[GroupByKey]=ContinuousStatsTable[[#This Row],[GroupByKey]])*ContinuousStatsTable[Average]))</f>
        <v>0.82818429749007605</v>
      </c>
      <c r="U43">
        <f>IF((ContinuousStatsTable[[#This Row],[RepsRequested]]&gt;1),ContinuousStatsTable[[#This Row],[HalfWidth]],ContinuousStatsTable[[#This Row],[BatchMeansHalfWidth]])</f>
        <v>4.9657823959478754E-3</v>
      </c>
    </row>
    <row r="44" spans="1:21" x14ac:dyDescent="0.25">
      <c r="A44" t="s">
        <v>67</v>
      </c>
      <c r="B44" t="s">
        <v>69</v>
      </c>
      <c r="C44">
        <v>2</v>
      </c>
      <c r="D44" t="s">
        <v>107</v>
      </c>
      <c r="E44" t="s">
        <v>99</v>
      </c>
      <c r="F44" t="s">
        <v>106</v>
      </c>
      <c r="G44">
        <v>1</v>
      </c>
      <c r="H44">
        <v>2E+20</v>
      </c>
      <c r="I44">
        <v>1</v>
      </c>
      <c r="J44">
        <v>1</v>
      </c>
      <c r="K44">
        <v>1</v>
      </c>
      <c r="L44">
        <v>0</v>
      </c>
      <c r="M44" t="str">
        <f>ContinuousStatsTable[[#This Row],[ProjectName]]&amp;ContinuousStatsTable[[#This Row],[Name]]&amp;ContinuousStatsTable[[#This Row],[Type]]&amp;ContinuousStatsTable[[#This Row],[Source]]</f>
        <v>Unnamed ProjectPACKERNumber ScheduledResource</v>
      </c>
      <c r="N44" cm="1">
        <f t="array" ref="N44">MAX(IF((ProjectInfoTable[ProjectName]=ContinuousStatsTable[[#This Row],[ProjectName]]),(ProjectInfoTable[ProjectName]=ContinuousStatsTable[[#This Row],[ProjectName]])*ProjectInfoTable[NumberOfReplications]))</f>
        <v>10</v>
      </c>
      <c r="O44" cm="1">
        <f t="array" ref="O44">IFERROR(AVERAGE(IF((ContinuousStatsTable[GroupByKey]=ContinuousStatsTable[[#This Row],[GroupByKey]]),(ContinuousStatsTable[GroupByKey]=ContinuousStatsTable[[#This Row],[GroupByKey]])*ContinuousStatsTable[Average])),0)</f>
        <v>1</v>
      </c>
      <c r="P44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</v>
      </c>
      <c r="Q44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" cm="1">
        <f t="array" ref="S44">MIN(IF((ContinuousStatsTable[GroupByKey]=ContinuousStatsTable[[#This Row],[GroupByKey]]),(ContinuousStatsTable[GroupByKey]=ContinuousStatsTable[[#This Row],[GroupByKey]])*ContinuousStatsTable[Average]))</f>
        <v>1</v>
      </c>
      <c r="T44" cm="1">
        <f t="array" ref="T44">MAX(IF((ContinuousStatsTable[GroupByKey]=ContinuousStatsTable[[#This Row],[GroupByKey]]),(ContinuousStatsTable[GroupByKey]=ContinuousStatsTable[[#This Row],[GroupByKey]])*ContinuousStatsTable[Average]))</f>
        <v>1</v>
      </c>
      <c r="U44">
        <f>IF((ContinuousStatsTable[[#This Row],[RepsRequested]]&gt;1),ContinuousStatsTable[[#This Row],[HalfWidth]],ContinuousStatsTable[[#This Row],[BatchMeansHalfWidth]])</f>
        <v>0</v>
      </c>
    </row>
    <row r="45" spans="1:21" x14ac:dyDescent="0.25">
      <c r="A45" t="s">
        <v>67</v>
      </c>
      <c r="B45" t="s">
        <v>69</v>
      </c>
      <c r="C45">
        <v>2</v>
      </c>
      <c r="D45" t="s">
        <v>108</v>
      </c>
      <c r="E45" t="s">
        <v>105</v>
      </c>
      <c r="F45" t="s">
        <v>106</v>
      </c>
      <c r="G45">
        <v>0.54952995359370704</v>
      </c>
      <c r="H45">
        <v>7.3426992012372398E-3</v>
      </c>
      <c r="I45">
        <v>0</v>
      </c>
      <c r="J45">
        <v>1</v>
      </c>
      <c r="K45">
        <v>1</v>
      </c>
      <c r="L45">
        <v>0</v>
      </c>
      <c r="M45" t="str">
        <f>ContinuousStatsTable[[#This Row],[ProjectName]]&amp;ContinuousStatsTable[[#This Row],[Name]]&amp;ContinuousStatsTable[[#This Row],[Type]]&amp;ContinuousStatsTable[[#This Row],[Source]]</f>
        <v>Unnamed ProjectPAINTERInstantaneous UtilizationResource</v>
      </c>
      <c r="N45" cm="1">
        <f t="array" ref="N45">MAX(IF((ProjectInfoTable[ProjectName]=ContinuousStatsTable[[#This Row],[ProjectName]]),(ProjectInfoTable[ProjectName]=ContinuousStatsTable[[#This Row],[ProjectName]])*ProjectInfoTable[NumberOfReplications]))</f>
        <v>10</v>
      </c>
      <c r="O45" cm="1">
        <f t="array" ref="O45">IFERROR(AVERAGE(IF((ContinuousStatsTable[GroupByKey]=ContinuousStatsTable[[#This Row],[GroupByKey]]),(ContinuousStatsTable[GroupByKey]=ContinuousStatsTable[[#This Row],[GroupByKey]])*ContinuousStatsTable[Average])),0)</f>
        <v>0.54938142053560801</v>
      </c>
      <c r="P4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4.5196387022068685E-3</v>
      </c>
      <c r="Q4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3.2331547581159752E-3</v>
      </c>
      <c r="S45" cm="1">
        <f t="array" ref="S45">MIN(IF((ContinuousStatsTable[GroupByKey]=ContinuousStatsTable[[#This Row],[GroupByKey]]),(ContinuousStatsTable[GroupByKey]=ContinuousStatsTable[[#This Row],[GroupByKey]])*ContinuousStatsTable[Average]))</f>
        <v>0.54030874063430001</v>
      </c>
      <c r="T45" cm="1">
        <f t="array" ref="T45">MAX(IF((ContinuousStatsTable[GroupByKey]=ContinuousStatsTable[[#This Row],[GroupByKey]]),(ContinuousStatsTable[GroupByKey]=ContinuousStatsTable[[#This Row],[GroupByKey]])*ContinuousStatsTable[Average]))</f>
        <v>0.55566835138728998</v>
      </c>
      <c r="U45">
        <f>IF((ContinuousStatsTable[[#This Row],[RepsRequested]]&gt;1),ContinuousStatsTable[[#This Row],[HalfWidth]],ContinuousStatsTable[[#This Row],[BatchMeansHalfWidth]])</f>
        <v>3.2331547581159752E-3</v>
      </c>
    </row>
    <row r="46" spans="1:21" x14ac:dyDescent="0.25">
      <c r="A46" t="s">
        <v>67</v>
      </c>
      <c r="B46" t="s">
        <v>69</v>
      </c>
      <c r="C46">
        <v>2</v>
      </c>
      <c r="D46" t="s">
        <v>108</v>
      </c>
      <c r="E46" t="s">
        <v>97</v>
      </c>
      <c r="F46" t="s">
        <v>106</v>
      </c>
      <c r="G46">
        <v>0.54952995359370704</v>
      </c>
      <c r="H46">
        <v>7.3426992012372398E-3</v>
      </c>
      <c r="I46">
        <v>0</v>
      </c>
      <c r="J46">
        <v>1</v>
      </c>
      <c r="K46">
        <v>1</v>
      </c>
      <c r="L46">
        <v>0</v>
      </c>
      <c r="M46" t="str">
        <f>ContinuousStatsTable[[#This Row],[ProjectName]]&amp;ContinuousStatsTable[[#This Row],[Name]]&amp;ContinuousStatsTable[[#This Row],[Type]]&amp;ContinuousStatsTable[[#This Row],[Source]]</f>
        <v>Unnamed ProjectPAINTERNumber BusyResource</v>
      </c>
      <c r="N46" cm="1">
        <f t="array" ref="N46">MAX(IF((ProjectInfoTable[ProjectName]=ContinuousStatsTable[[#This Row],[ProjectName]]),(ProjectInfoTable[ProjectName]=ContinuousStatsTable[[#This Row],[ProjectName]])*ProjectInfoTable[NumberOfReplications]))</f>
        <v>10</v>
      </c>
      <c r="O46" cm="1">
        <f t="array" ref="O46">IFERROR(AVERAGE(IF((ContinuousStatsTable[GroupByKey]=ContinuousStatsTable[[#This Row],[GroupByKey]]),(ContinuousStatsTable[GroupByKey]=ContinuousStatsTable[[#This Row],[GroupByKey]])*ContinuousStatsTable[Average])),0)</f>
        <v>0.54938142053560801</v>
      </c>
      <c r="P46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4.5196387022068685E-3</v>
      </c>
      <c r="Q46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3.2331547581159752E-3</v>
      </c>
      <c r="S46" cm="1">
        <f t="array" ref="S46">MIN(IF((ContinuousStatsTable[GroupByKey]=ContinuousStatsTable[[#This Row],[GroupByKey]]),(ContinuousStatsTable[GroupByKey]=ContinuousStatsTable[[#This Row],[GroupByKey]])*ContinuousStatsTable[Average]))</f>
        <v>0.54030874063430001</v>
      </c>
      <c r="T46" cm="1">
        <f t="array" ref="T46">MAX(IF((ContinuousStatsTable[GroupByKey]=ContinuousStatsTable[[#This Row],[GroupByKey]]),(ContinuousStatsTable[GroupByKey]=ContinuousStatsTable[[#This Row],[GroupByKey]])*ContinuousStatsTable[Average]))</f>
        <v>0.55566835138728998</v>
      </c>
      <c r="U46">
        <f>IF((ContinuousStatsTable[[#This Row],[RepsRequested]]&gt;1),ContinuousStatsTable[[#This Row],[HalfWidth]],ContinuousStatsTable[[#This Row],[BatchMeansHalfWidth]])</f>
        <v>3.2331547581159752E-3</v>
      </c>
    </row>
    <row r="47" spans="1:21" x14ac:dyDescent="0.25">
      <c r="A47" t="s">
        <v>67</v>
      </c>
      <c r="B47" t="s">
        <v>69</v>
      </c>
      <c r="C47">
        <v>2</v>
      </c>
      <c r="D47" t="s">
        <v>108</v>
      </c>
      <c r="E47" t="s">
        <v>99</v>
      </c>
      <c r="F47" t="s">
        <v>106</v>
      </c>
      <c r="G47">
        <v>1</v>
      </c>
      <c r="H47">
        <v>2E+20</v>
      </c>
      <c r="I47">
        <v>1</v>
      </c>
      <c r="J47">
        <v>1</v>
      </c>
      <c r="K47">
        <v>1</v>
      </c>
      <c r="L47">
        <v>0</v>
      </c>
      <c r="M47" t="str">
        <f>ContinuousStatsTable[[#This Row],[ProjectName]]&amp;ContinuousStatsTable[[#This Row],[Name]]&amp;ContinuousStatsTable[[#This Row],[Type]]&amp;ContinuousStatsTable[[#This Row],[Source]]</f>
        <v>Unnamed ProjectPAINTERNumber ScheduledResource</v>
      </c>
      <c r="N47" cm="1">
        <f t="array" ref="N47">MAX(IF((ProjectInfoTable[ProjectName]=ContinuousStatsTable[[#This Row],[ProjectName]]),(ProjectInfoTable[ProjectName]=ContinuousStatsTable[[#This Row],[ProjectName]])*ProjectInfoTable[NumberOfReplications]))</f>
        <v>10</v>
      </c>
      <c r="O47" cm="1">
        <f t="array" ref="O47">IFERROR(AVERAGE(IF((ContinuousStatsTable[GroupByKey]=ContinuousStatsTable[[#This Row],[GroupByKey]]),(ContinuousStatsTable[GroupByKey]=ContinuousStatsTable[[#This Row],[GroupByKey]])*ContinuousStatsTable[Average])),0)</f>
        <v>1</v>
      </c>
      <c r="P47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0</v>
      </c>
      <c r="Q47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" cm="1">
        <f t="array" ref="S47">MIN(IF((ContinuousStatsTable[GroupByKey]=ContinuousStatsTable[[#This Row],[GroupByKey]]),(ContinuousStatsTable[GroupByKey]=ContinuousStatsTable[[#This Row],[GroupByKey]])*ContinuousStatsTable[Average]))</f>
        <v>1</v>
      </c>
      <c r="T47" cm="1">
        <f t="array" ref="T47">MAX(IF((ContinuousStatsTable[GroupByKey]=ContinuousStatsTable[[#This Row],[GroupByKey]]),(ContinuousStatsTable[GroupByKey]=ContinuousStatsTable[[#This Row],[GroupByKey]])*ContinuousStatsTable[Average]))</f>
        <v>1</v>
      </c>
      <c r="U47">
        <f>IF((ContinuousStatsTable[[#This Row],[RepsRequested]]&gt;1),ContinuousStatsTable[[#This Row],[HalfWidth]],ContinuousStatsTable[[#This Row],[BatchMeansHalfWidth]])</f>
        <v>0</v>
      </c>
    </row>
    <row r="48" spans="1:21" x14ac:dyDescent="0.25">
      <c r="A48" t="s">
        <v>67</v>
      </c>
      <c r="B48" t="s">
        <v>69</v>
      </c>
      <c r="C48">
        <v>2</v>
      </c>
      <c r="D48" t="s">
        <v>84</v>
      </c>
      <c r="E48" t="s">
        <v>101</v>
      </c>
      <c r="F48" t="s">
        <v>72</v>
      </c>
      <c r="G48">
        <v>0.57231546081115303</v>
      </c>
      <c r="H48">
        <v>4.6295326065614699E-2</v>
      </c>
      <c r="I48">
        <v>0</v>
      </c>
      <c r="J48">
        <v>6</v>
      </c>
      <c r="K48">
        <v>0</v>
      </c>
      <c r="L48">
        <v>0</v>
      </c>
      <c r="M48" t="str">
        <f>ContinuousStatsTable[[#This Row],[ProjectName]]&amp;ContinuousStatsTable[[#This Row],[Name]]&amp;ContinuousStatsTable[[#This Row],[Type]]&amp;ContinuousStatsTable[[#This Row],[Source]]</f>
        <v>Unnamed ProjectPackQNumber WaitingQueue</v>
      </c>
      <c r="N48" cm="1">
        <f t="array" ref="N48">MAX(IF((ProjectInfoTable[ProjectName]=ContinuousStatsTable[[#This Row],[ProjectName]]),(ProjectInfoTable[ProjectName]=ContinuousStatsTable[[#This Row],[ProjectName]])*ProjectInfoTable[NumberOfReplications]))</f>
        <v>10</v>
      </c>
      <c r="O48" cm="1">
        <f t="array" ref="O48">IFERROR(AVERAGE(IF((ContinuousStatsTable[GroupByKey]=ContinuousStatsTable[[#This Row],[GroupByKey]]),(ContinuousStatsTable[GroupByKey]=ContinuousStatsTable[[#This Row],[GroupByKey]])*ContinuousStatsTable[Average])),0)</f>
        <v>0.5830563488318371</v>
      </c>
      <c r="P48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3.7349781067397253E-2</v>
      </c>
      <c r="Q48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2.6718423823055008E-2</v>
      </c>
      <c r="S48" cm="1">
        <f t="array" ref="S48">MIN(IF((ContinuousStatsTable[GroupByKey]=ContinuousStatsTable[[#This Row],[GroupByKey]]),(ContinuousStatsTable[GroupByKey]=ContinuousStatsTable[[#This Row],[GroupByKey]])*ContinuousStatsTable[Average]))</f>
        <v>0.51031500523829298</v>
      </c>
      <c r="T48" cm="1">
        <f t="array" ref="T48">MAX(IF((ContinuousStatsTable[GroupByKey]=ContinuousStatsTable[[#This Row],[GroupByKey]]),(ContinuousStatsTable[GroupByKey]=ContinuousStatsTable[[#This Row],[GroupByKey]])*ContinuousStatsTable[Average]))</f>
        <v>0.63800950130876</v>
      </c>
      <c r="U48">
        <f>IF((ContinuousStatsTable[[#This Row],[RepsRequested]]&gt;1),ContinuousStatsTable[[#This Row],[HalfWidth]],ContinuousStatsTable[[#This Row],[BatchMeansHalfWidth]])</f>
        <v>2.6718423823055008E-2</v>
      </c>
    </row>
    <row r="49" spans="1:21" x14ac:dyDescent="0.25">
      <c r="A49" t="s">
        <v>67</v>
      </c>
      <c r="B49" t="s">
        <v>69</v>
      </c>
      <c r="C49">
        <v>2</v>
      </c>
      <c r="D49" t="s">
        <v>85</v>
      </c>
      <c r="E49" t="s">
        <v>101</v>
      </c>
      <c r="F49" t="s">
        <v>72</v>
      </c>
      <c r="G49">
        <v>1.5173342107537799E-2</v>
      </c>
      <c r="H49">
        <v>1.09848106016786E-3</v>
      </c>
      <c r="I49">
        <v>0</v>
      </c>
      <c r="J49">
        <v>1</v>
      </c>
      <c r="K49">
        <v>0</v>
      </c>
      <c r="L49">
        <v>0</v>
      </c>
      <c r="M49" t="str">
        <f>ContinuousStatsTable[[#This Row],[ProjectName]]&amp;ContinuousStatsTable[[#This Row],[Name]]&amp;ContinuousStatsTable[[#This Row],[Type]]&amp;ContinuousStatsTable[[#This Row],[Source]]</f>
        <v>Unnamed ProjectPackReqQNumber WaitingQueue</v>
      </c>
      <c r="N49" cm="1">
        <f t="array" ref="N49">MAX(IF((ProjectInfoTable[ProjectName]=ContinuousStatsTable[[#This Row],[ProjectName]]),(ProjectInfoTable[ProjectName]=ContinuousStatsTable[[#This Row],[ProjectName]])*ProjectInfoTable[NumberOfReplications]))</f>
        <v>10</v>
      </c>
      <c r="O49" cm="1">
        <f t="array" ref="O49">IFERROR(AVERAGE(IF((ContinuousStatsTable[GroupByKey]=ContinuousStatsTable[[#This Row],[GroupByKey]]),(ContinuousStatsTable[GroupByKey]=ContinuousStatsTable[[#This Row],[GroupByKey]])*ContinuousStatsTable[Average])),0)</f>
        <v>1.5083245089254998E-2</v>
      </c>
      <c r="P49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5.836712228493759E-4</v>
      </c>
      <c r="Q49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4.1753324008164384E-4</v>
      </c>
      <c r="S49" cm="1">
        <f t="array" ref="S49">MIN(IF((ContinuousStatsTable[GroupByKey]=ContinuousStatsTable[[#This Row],[GroupByKey]]),(ContinuousStatsTable[GroupByKey]=ContinuousStatsTable[[#This Row],[GroupByKey]])*ContinuousStatsTable[Average]))</f>
        <v>1.41054163109371E-2</v>
      </c>
      <c r="T49" cm="1">
        <f t="array" ref="T49">MAX(IF((ContinuousStatsTable[GroupByKey]=ContinuousStatsTable[[#This Row],[GroupByKey]]),(ContinuousStatsTable[GroupByKey]=ContinuousStatsTable[[#This Row],[GroupByKey]])*ContinuousStatsTable[Average]))</f>
        <v>1.6052913612351699E-2</v>
      </c>
      <c r="U49">
        <f>IF((ContinuousStatsTable[[#This Row],[RepsRequested]]&gt;1),ContinuousStatsTable[[#This Row],[HalfWidth]],ContinuousStatsTable[[#This Row],[BatchMeansHalfWidth]])</f>
        <v>4.1753324008164384E-4</v>
      </c>
    </row>
    <row r="50" spans="1:21" x14ac:dyDescent="0.25">
      <c r="A50" t="s">
        <v>67</v>
      </c>
      <c r="B50" t="s">
        <v>69</v>
      </c>
      <c r="C50">
        <v>2</v>
      </c>
      <c r="D50" t="s">
        <v>86</v>
      </c>
      <c r="E50" t="s">
        <v>101</v>
      </c>
      <c r="F50" t="s">
        <v>72</v>
      </c>
      <c r="G50">
        <v>6.2670383448837505E-2</v>
      </c>
      <c r="H50">
        <v>4.3458227901772102E-3</v>
      </c>
      <c r="I50">
        <v>0</v>
      </c>
      <c r="J50">
        <v>2</v>
      </c>
      <c r="K50">
        <v>0</v>
      </c>
      <c r="L50">
        <v>0</v>
      </c>
      <c r="M50" t="str">
        <f>ContinuousStatsTable[[#This Row],[ProjectName]]&amp;ContinuousStatsTable[[#This Row],[Name]]&amp;ContinuousStatsTable[[#This Row],[Type]]&amp;ContinuousStatsTable[[#This Row],[Source]]</f>
        <v>Unnamed ProjectPaintQNumber WaitingQueue</v>
      </c>
      <c r="N50" cm="1">
        <f t="array" ref="N50">MAX(IF((ProjectInfoTable[ProjectName]=ContinuousStatsTable[[#This Row],[ProjectName]]),(ProjectInfoTable[ProjectName]=ContinuousStatsTable[[#This Row],[ProjectName]])*ProjectInfoTable[NumberOfReplications]))</f>
        <v>10</v>
      </c>
      <c r="O50" cm="1">
        <f t="array" ref="O50">IFERROR(AVERAGE(IF((ContinuousStatsTable[GroupByKey]=ContinuousStatsTable[[#This Row],[GroupByKey]]),(ContinuousStatsTable[GroupByKey]=ContinuousStatsTable[[#This Row],[GroupByKey]])*ContinuousStatsTable[Average])),0)</f>
        <v>6.2655374167183184E-2</v>
      </c>
      <c r="P50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1.297076259729802E-3</v>
      </c>
      <c r="Q50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9.2787245996831338E-4</v>
      </c>
      <c r="S50" cm="1">
        <f t="array" ref="S50">MIN(IF((ContinuousStatsTable[GroupByKey]=ContinuousStatsTable[[#This Row],[GroupByKey]]),(ContinuousStatsTable[GroupByKey]=ContinuousStatsTable[[#This Row],[GroupByKey]])*ContinuousStatsTable[Average]))</f>
        <v>6.05919548276165E-2</v>
      </c>
      <c r="T50" cm="1">
        <f t="array" ref="T50">MAX(IF((ContinuousStatsTable[GroupByKey]=ContinuousStatsTable[[#This Row],[GroupByKey]]),(ContinuousStatsTable[GroupByKey]=ContinuousStatsTable[[#This Row],[GroupByKey]])*ContinuousStatsTable[Average]))</f>
        <v>6.4938397569822504E-2</v>
      </c>
      <c r="U50">
        <f>IF((ContinuousStatsTable[[#This Row],[RepsRequested]]&gt;1),ContinuousStatsTable[[#This Row],[HalfWidth]],ContinuousStatsTable[[#This Row],[BatchMeansHalfWidth]])</f>
        <v>9.2787245996831338E-4</v>
      </c>
    </row>
    <row r="51" spans="1:21" x14ac:dyDescent="0.25">
      <c r="A51" t="s">
        <v>67</v>
      </c>
      <c r="B51" t="s">
        <v>69</v>
      </c>
      <c r="C51">
        <v>2</v>
      </c>
      <c r="D51" t="s">
        <v>87</v>
      </c>
      <c r="E51" t="s">
        <v>101</v>
      </c>
      <c r="F51" t="s">
        <v>72</v>
      </c>
      <c r="G51">
        <v>1.22979909200178E-2</v>
      </c>
      <c r="H51">
        <v>7.6879483676487402E-4</v>
      </c>
      <c r="I51">
        <v>0</v>
      </c>
      <c r="J51">
        <v>1</v>
      </c>
      <c r="K51">
        <v>0</v>
      </c>
      <c r="L51">
        <v>0</v>
      </c>
      <c r="M51" t="str">
        <f>ContinuousStatsTable[[#This Row],[ProjectName]]&amp;ContinuousStatsTable[[#This Row],[Name]]&amp;ContinuousStatsTable[[#This Row],[Type]]&amp;ContinuousStatsTable[[#This Row],[Source]]</f>
        <v>Unnamed ProjectPaintReqQNumber WaitingQueue</v>
      </c>
      <c r="N51" cm="1">
        <f t="array" ref="N51">MAX(IF((ProjectInfoTable[ProjectName]=ContinuousStatsTable[[#This Row],[ProjectName]]),(ProjectInfoTable[ProjectName]=ContinuousStatsTable[[#This Row],[ProjectName]])*ProjectInfoTable[NumberOfReplications]))</f>
        <v>10</v>
      </c>
      <c r="O51" cm="1">
        <f t="array" ref="O51">IFERROR(AVERAGE(IF((ContinuousStatsTable[GroupByKey]=ContinuousStatsTable[[#This Row],[GroupByKey]]),(ContinuousStatsTable[GroupByKey]=ContinuousStatsTable[[#This Row],[GroupByKey]])*ContinuousStatsTable[Average])),0)</f>
        <v>1.232491804183645E-2</v>
      </c>
      <c r="P51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4.2846031814523761E-4</v>
      </c>
      <c r="Q51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3.0650204751958381E-4</v>
      </c>
      <c r="S51" cm="1">
        <f t="array" ref="S51">MIN(IF((ContinuousStatsTable[GroupByKey]=ContinuousStatsTable[[#This Row],[GroupByKey]]),(ContinuousStatsTable[GroupByKey]=ContinuousStatsTable[[#This Row],[GroupByKey]])*ContinuousStatsTable[Average]))</f>
        <v>1.1842209288638999E-2</v>
      </c>
      <c r="T51" cm="1">
        <f t="array" ref="T51">MAX(IF((ContinuousStatsTable[GroupByKey]=ContinuousStatsTable[[#This Row],[GroupByKey]]),(ContinuousStatsTable[GroupByKey]=ContinuousStatsTable[[#This Row],[GroupByKey]])*ContinuousStatsTable[Average]))</f>
        <v>1.30420022653657E-2</v>
      </c>
      <c r="U51">
        <f>IF((ContinuousStatsTable[[#This Row],[RepsRequested]]&gt;1),ContinuousStatsTable[[#This Row],[HalfWidth]],ContinuousStatsTable[[#This Row],[BatchMeansHalfWidth]])</f>
        <v>3.0650204751958381E-4</v>
      </c>
    </row>
    <row r="52" spans="1:21" x14ac:dyDescent="0.25">
      <c r="A52" t="s">
        <v>67</v>
      </c>
      <c r="B52" t="s">
        <v>69</v>
      </c>
      <c r="C52">
        <v>2</v>
      </c>
      <c r="D52" t="s">
        <v>109</v>
      </c>
      <c r="E52" t="s">
        <v>105</v>
      </c>
      <c r="F52" t="s">
        <v>106</v>
      </c>
      <c r="G52">
        <v>0.82062387365982303</v>
      </c>
      <c r="H52">
        <v>1.0602974959016499E-2</v>
      </c>
      <c r="I52">
        <v>0</v>
      </c>
      <c r="J52">
        <v>1</v>
      </c>
      <c r="K52">
        <v>1</v>
      </c>
      <c r="L52">
        <v>0</v>
      </c>
      <c r="M52" t="str">
        <f>ContinuousStatsTable[[#This Row],[ProjectName]]&amp;ContinuousStatsTable[[#This Row],[Name]]&amp;ContinuousStatsTable[[#This Row],[Type]]&amp;ContinuousStatsTable[[#This Row],[Source]]</f>
        <v>Unnamed ProjectWORKERInstantaneous UtilizationResource</v>
      </c>
      <c r="N52" cm="1">
        <f t="array" ref="N52">MAX(IF((ProjectInfoTable[ProjectName]=ContinuousStatsTable[[#This Row],[ProjectName]]),(ProjectInfoTable[ProjectName]=ContinuousStatsTable[[#This Row],[ProjectName]])*ProjectInfoTable[NumberOfReplications]))</f>
        <v>10</v>
      </c>
      <c r="O52" cm="1">
        <f t="array" ref="O52">IFERROR(AVERAGE(IF((ContinuousStatsTable[GroupByKey]=ContinuousStatsTable[[#This Row],[GroupByKey]]),(ContinuousStatsTable[GroupByKey]=ContinuousStatsTable[[#This Row],[GroupByKey]])*ContinuousStatsTable[Average])),0)</f>
        <v>0.82030090075893936</v>
      </c>
      <c r="P52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6.9684713894533476E-3</v>
      </c>
      <c r="Q52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4.9849441325044447E-3</v>
      </c>
      <c r="S52" cm="1">
        <f t="array" ref="S52">MIN(IF((ContinuousStatsTable[GroupByKey]=ContinuousStatsTable[[#This Row],[GroupByKey]]),(ContinuousStatsTable[GroupByKey]=ContinuousStatsTable[[#This Row],[GroupByKey]])*ContinuousStatsTable[Average]))</f>
        <v>0.81151215762737705</v>
      </c>
      <c r="T52" cm="1">
        <f t="array" ref="T52">MAX(IF((ContinuousStatsTable[GroupByKey]=ContinuousStatsTable[[#This Row],[GroupByKey]]),(ContinuousStatsTable[GroupByKey]=ContinuousStatsTable[[#This Row],[GroupByKey]])*ContinuousStatsTable[Average]))</f>
        <v>0.832837691284112</v>
      </c>
      <c r="U52">
        <f>IF((ContinuousStatsTable[[#This Row],[RepsRequested]]&gt;1),ContinuousStatsTable[[#This Row],[HalfWidth]],ContinuousStatsTable[[#This Row],[BatchMeansHalfWidth]])</f>
        <v>4.9849441325044447E-3</v>
      </c>
    </row>
    <row r="53" spans="1:21" x14ac:dyDescent="0.25">
      <c r="A53" t="s">
        <v>67</v>
      </c>
      <c r="B53" t="s">
        <v>69</v>
      </c>
      <c r="C53">
        <v>2</v>
      </c>
      <c r="D53" t="s">
        <v>109</v>
      </c>
      <c r="E53" t="s">
        <v>97</v>
      </c>
      <c r="F53" t="s">
        <v>106</v>
      </c>
      <c r="G53">
        <v>0.82062387365982303</v>
      </c>
      <c r="H53">
        <v>1.0602974959016499E-2</v>
      </c>
      <c r="I53">
        <v>0</v>
      </c>
      <c r="J53">
        <v>1</v>
      </c>
      <c r="K53">
        <v>1</v>
      </c>
      <c r="L53">
        <v>0</v>
      </c>
      <c r="M53" t="str">
        <f>ContinuousStatsTable[[#This Row],[ProjectName]]&amp;ContinuousStatsTable[[#This Row],[Name]]&amp;ContinuousStatsTable[[#This Row],[Type]]&amp;ContinuousStatsTable[[#This Row],[Source]]</f>
        <v>Unnamed ProjectWORKERNumber BusyResource</v>
      </c>
      <c r="N53" cm="1">
        <f t="array" ref="N53">MAX(IF((ProjectInfoTable[ProjectName]=ContinuousStatsTable[[#This Row],[ProjectName]]),(ProjectInfoTable[ProjectName]=ContinuousStatsTable[[#This Row],[ProjectName]])*ProjectInfoTable[NumberOfReplications]))</f>
        <v>10</v>
      </c>
      <c r="O53" cm="1">
        <f t="array" ref="O53">IFERROR(AVERAGE(IF((ContinuousStatsTable[GroupByKey]=ContinuousStatsTable[[#This Row],[GroupByKey]]),(ContinuousStatsTable[GroupByKey]=ContinuousStatsTable[[#This Row],[GroupByKey]])*ContinuousStatsTable[Average])),0)</f>
        <v>0.82030090075893936</v>
      </c>
      <c r="P53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6.9684713894533476E-3</v>
      </c>
      <c r="Q53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4.9849441325044447E-3</v>
      </c>
      <c r="S53" cm="1">
        <f t="array" ref="S53">MIN(IF((ContinuousStatsTable[GroupByKey]=ContinuousStatsTable[[#This Row],[GroupByKey]]),(ContinuousStatsTable[GroupByKey]=ContinuousStatsTable[[#This Row],[GroupByKey]])*ContinuousStatsTable[Average]))</f>
        <v>0.81151215762737705</v>
      </c>
      <c r="T53" cm="1">
        <f t="array" ref="T53">MAX(IF((ContinuousStatsTable[GroupByKey]=ContinuousStatsTable[[#This Row],[GroupByKey]]),(ContinuousStatsTable[GroupByKey]=ContinuousStatsTable[[#This Row],[GroupByKey]])*ContinuousStatsTable[Average]))</f>
        <v>0.832837691284112</v>
      </c>
      <c r="U53">
        <f>IF((ContinuousStatsTable[[#This Row],[RepsRequested]]&gt;1),ContinuousStatsTable[[#This Row],[HalfWidth]],ContinuousStatsTable[[#This Row],[BatchMeansHalfWidth]])</f>
        <v>4.9849441325044447E-3</v>
      </c>
    </row>
    <row r="54" spans="1:21" x14ac:dyDescent="0.25">
      <c r="A54" t="s">
        <v>67</v>
      </c>
      <c r="B54" t="s">
        <v>69</v>
      </c>
      <c r="C54">
        <v>2</v>
      </c>
      <c r="D54" t="s">
        <v>109</v>
      </c>
      <c r="E54" t="s">
        <v>99</v>
      </c>
      <c r="F54" t="s">
        <v>106</v>
      </c>
      <c r="G54">
        <v>1</v>
      </c>
      <c r="H54">
        <v>2E+20</v>
      </c>
      <c r="I54">
        <v>1</v>
      </c>
      <c r="J54">
        <v>1</v>
      </c>
      <c r="K54">
        <v>1</v>
      </c>
      <c r="L54">
        <v>0</v>
      </c>
      <c r="M54" t="str">
        <f>ContinuousStatsTable[[#This Row],[ProjectName]]&amp;ContinuousStatsTable[[#This Row],[Name]]&amp;ContinuousStatsTable[[#This Row],[Type]]&amp;ContinuousStatsTable[[#This Row],[Source]]</f>
        <v>Unnamed ProjectWORKERNumber ScheduledResource</v>
      </c>
      <c r="N54" cm="1">
        <f t="array" ref="N54">MAX(IF((ProjectInfoTable[ProjectName]=ContinuousStatsTable[[#This Row],[ProjectName]]),(ProjectInfoTable[ProjectName]=ContinuousStatsTable[[#This Row],[ProjectName]])*ProjectInfoTable[NumberOfReplications]))</f>
        <v>10</v>
      </c>
      <c r="O54" cm="1">
        <f t="array" ref="O54">IFERROR(AVERAGE(IF((ContinuousStatsTable[GroupByKey]=ContinuousStatsTable[[#This Row],[GroupByKey]]),(ContinuousStatsTable[GroupByKey]=ContinuousStatsTable[[#This Row],[GroupByKey]])*ContinuousStatsTable[Average])),0)</f>
        <v>1</v>
      </c>
      <c r="P54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0</v>
      </c>
      <c r="Q54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" cm="1">
        <f t="array" ref="S54">MIN(IF((ContinuousStatsTable[GroupByKey]=ContinuousStatsTable[[#This Row],[GroupByKey]]),(ContinuousStatsTable[GroupByKey]=ContinuousStatsTable[[#This Row],[GroupByKey]])*ContinuousStatsTable[Average]))</f>
        <v>1</v>
      </c>
      <c r="T54" cm="1">
        <f t="array" ref="T54">MAX(IF((ContinuousStatsTable[GroupByKey]=ContinuousStatsTable[[#This Row],[GroupByKey]]),(ContinuousStatsTable[GroupByKey]=ContinuousStatsTable[[#This Row],[GroupByKey]])*ContinuousStatsTable[Average]))</f>
        <v>1</v>
      </c>
      <c r="U54">
        <f>IF((ContinuousStatsTable[[#This Row],[RepsRequested]]&gt;1),ContinuousStatsTable[[#This Row],[HalfWidth]],ContinuousStatsTable[[#This Row],[BatchMeansHalfWidth]])</f>
        <v>0</v>
      </c>
    </row>
    <row r="55" spans="1:21" x14ac:dyDescent="0.25">
      <c r="A55" t="s">
        <v>67</v>
      </c>
      <c r="B55" t="s">
        <v>69</v>
      </c>
      <c r="C55">
        <v>2</v>
      </c>
      <c r="D55" t="s">
        <v>94</v>
      </c>
      <c r="E55" t="s">
        <v>101</v>
      </c>
      <c r="F55" t="s">
        <v>72</v>
      </c>
      <c r="G55">
        <v>1.7963575421831699</v>
      </c>
      <c r="H55">
        <v>0.20709738184115301</v>
      </c>
      <c r="I55">
        <v>0</v>
      </c>
      <c r="J55">
        <v>17</v>
      </c>
      <c r="K55">
        <v>4</v>
      </c>
      <c r="L55">
        <v>0</v>
      </c>
      <c r="M55" t="str">
        <f>ContinuousStatsTable[[#This Row],[ProjectName]]&amp;ContinuousStatsTable[[#This Row],[Name]]&amp;ContinuousStatsTable[[#This Row],[Type]]&amp;ContinuousStatsTable[[#This Row],[Source]]</f>
        <v>Unnamed ProjectWorkStationQNumber WaitingQueue</v>
      </c>
      <c r="N55" cm="1">
        <f t="array" ref="N55">MAX(IF((ProjectInfoTable[ProjectName]=ContinuousStatsTable[[#This Row],[ProjectName]]),(ProjectInfoTable[ProjectName]=ContinuousStatsTable[[#This Row],[ProjectName]])*ProjectInfoTable[NumberOfReplications]))</f>
        <v>10</v>
      </c>
      <c r="O55" cm="1">
        <f t="array" ref="O55">IFERROR(AVERAGE(IF((ContinuousStatsTable[GroupByKey]=ContinuousStatsTable[[#This Row],[GroupByKey]]),(ContinuousStatsTable[GroupByKey]=ContinuousStatsTable[[#This Row],[GroupByKey]])*ContinuousStatsTable[Average])),0)</f>
        <v>1.7984099951452888</v>
      </c>
      <c r="P5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9.41481017902569E-2</v>
      </c>
      <c r="Q5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6.7349494799689366E-2</v>
      </c>
      <c r="S55" cm="1">
        <f t="array" ref="S55">MIN(IF((ContinuousStatsTable[GroupByKey]=ContinuousStatsTable[[#This Row],[GroupByKey]]),(ContinuousStatsTable[GroupByKey]=ContinuousStatsTable[[#This Row],[GroupByKey]])*ContinuousStatsTable[Average]))</f>
        <v>1.6808414073062801</v>
      </c>
      <c r="T55" cm="1">
        <f t="array" ref="T55">MAX(IF((ContinuousStatsTable[GroupByKey]=ContinuousStatsTable[[#This Row],[GroupByKey]]),(ContinuousStatsTable[GroupByKey]=ContinuousStatsTable[[#This Row],[GroupByKey]])*ContinuousStatsTable[Average]))</f>
        <v>1.96303981301246</v>
      </c>
      <c r="U55">
        <f>IF((ContinuousStatsTable[[#This Row],[RepsRequested]]&gt;1),ContinuousStatsTable[[#This Row],[HalfWidth]],ContinuousStatsTable[[#This Row],[BatchMeansHalfWidth]])</f>
        <v>6.7349494799689366E-2</v>
      </c>
    </row>
    <row r="56" spans="1:21" x14ac:dyDescent="0.25">
      <c r="A56" t="s">
        <v>67</v>
      </c>
      <c r="B56" t="s">
        <v>69</v>
      </c>
      <c r="C56">
        <v>2</v>
      </c>
      <c r="D56" t="s">
        <v>95</v>
      </c>
      <c r="E56" t="s">
        <v>101</v>
      </c>
      <c r="F56" t="s">
        <v>72</v>
      </c>
      <c r="G56">
        <v>1.3401388392202E-2</v>
      </c>
      <c r="H56">
        <v>3E+20</v>
      </c>
      <c r="I56">
        <v>0</v>
      </c>
      <c r="J56">
        <v>1</v>
      </c>
      <c r="K56">
        <v>0</v>
      </c>
      <c r="L56">
        <v>0</v>
      </c>
      <c r="M56" t="str">
        <f>ContinuousStatsTable[[#This Row],[ProjectName]]&amp;ContinuousStatsTable[[#This Row],[Name]]&amp;ContinuousStatsTable[[#This Row],[Type]]&amp;ContinuousStatsTable[[#This Row],[Source]]</f>
        <v>Unnamed ProjectWorkStationReqQNumber WaitingQueue</v>
      </c>
      <c r="N56" cm="1">
        <f t="array" ref="N56">MAX(IF((ProjectInfoTable[ProjectName]=ContinuousStatsTable[[#This Row],[ProjectName]]),(ProjectInfoTable[ProjectName]=ContinuousStatsTable[[#This Row],[ProjectName]])*ProjectInfoTable[NumberOfReplications]))</f>
        <v>10</v>
      </c>
      <c r="O56" cm="1">
        <f t="array" ref="O56">IFERROR(AVERAGE(IF((ContinuousStatsTable[GroupByKey]=ContinuousStatsTable[[#This Row],[GroupByKey]]),(ContinuousStatsTable[GroupByKey]=ContinuousStatsTable[[#This Row],[GroupByKey]])*ContinuousStatsTable[Average])),0)</f>
        <v>1.2897450081583859E-2</v>
      </c>
      <c r="P56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4.2374090710035878E-4</v>
      </c>
      <c r="Q56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3.0312598423651549E-4</v>
      </c>
      <c r="S56" cm="1">
        <f t="array" ref="S56">MIN(IF((ContinuousStatsTable[GroupByKey]=ContinuousStatsTable[[#This Row],[GroupByKey]]),(ContinuousStatsTable[GroupByKey]=ContinuousStatsTable[[#This Row],[GroupByKey]])*ContinuousStatsTable[Average]))</f>
        <v>1.2232643269307701E-2</v>
      </c>
      <c r="T56" cm="1">
        <f t="array" ref="T56">MAX(IF((ContinuousStatsTable[GroupByKey]=ContinuousStatsTable[[#This Row],[GroupByKey]]),(ContinuousStatsTable[GroupByKey]=ContinuousStatsTable[[#This Row],[GroupByKey]])*ContinuousStatsTable[Average]))</f>
        <v>1.34073753437328E-2</v>
      </c>
      <c r="U56">
        <f>IF((ContinuousStatsTable[[#This Row],[RepsRequested]]&gt;1),ContinuousStatsTable[[#This Row],[HalfWidth]],ContinuousStatsTable[[#This Row],[BatchMeansHalfWidth]])</f>
        <v>3.0312598423651549E-4</v>
      </c>
    </row>
    <row r="57" spans="1:21" x14ac:dyDescent="0.25">
      <c r="A57" t="s">
        <v>67</v>
      </c>
      <c r="B57" t="s">
        <v>69</v>
      </c>
      <c r="C57">
        <v>2</v>
      </c>
      <c r="D57" t="s">
        <v>110</v>
      </c>
      <c r="E57" t="s">
        <v>111</v>
      </c>
      <c r="F57" t="s">
        <v>90</v>
      </c>
      <c r="G57">
        <v>0.67552827082670397</v>
      </c>
      <c r="H57">
        <v>3E+20</v>
      </c>
      <c r="I57">
        <v>0</v>
      </c>
      <c r="J57">
        <v>7</v>
      </c>
      <c r="K57">
        <v>0</v>
      </c>
      <c r="L57">
        <v>0</v>
      </c>
      <c r="M57" t="str">
        <f>ContinuousStatsTable[[#This Row],[ProjectName]]&amp;ContinuousStatsTable[[#This Row],[Name]]&amp;ContinuousStatsTable[[#This Row],[Type]]&amp;ContinuousStatsTable[[#This Row],[Source]]</f>
        <v>Unnamed ProjectvNumWaitingRequestsVariableUser Specified</v>
      </c>
      <c r="N57" cm="1">
        <f t="array" ref="N57">MAX(IF((ProjectInfoTable[ProjectName]=ContinuousStatsTable[[#This Row],[ProjectName]]),(ProjectInfoTable[ProjectName]=ContinuousStatsTable[[#This Row],[ProjectName]])*ProjectInfoTable[NumberOfReplications]))</f>
        <v>10</v>
      </c>
      <c r="O57" cm="1">
        <f t="array" ref="O57">IFERROR(AVERAGE(IF((ContinuousStatsTable[GroupByKey]=ContinuousStatsTable[[#This Row],[GroupByKey]]),(ContinuousStatsTable[GroupByKey]=ContinuousStatsTable[[#This Row],[GroupByKey]])*ContinuousStatsTable[Average])),0)</f>
        <v>0.67697821611736619</v>
      </c>
      <c r="P57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6.3714899668086428E-3</v>
      </c>
      <c r="Q57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4.5578893490793634E-3</v>
      </c>
      <c r="S57" cm="1">
        <f t="array" ref="S57">MIN(IF((ContinuousStatsTable[GroupByKey]=ContinuousStatsTable[[#This Row],[GroupByKey]]),(ContinuousStatsTable[GroupByKey]=ContinuousStatsTable[[#This Row],[GroupByKey]])*ContinuousStatsTable[Average]))</f>
        <v>0.66877542384053201</v>
      </c>
      <c r="T57" cm="1">
        <f t="array" ref="T57">MAX(IF((ContinuousStatsTable[GroupByKey]=ContinuousStatsTable[[#This Row],[GroupByKey]]),(ContinuousStatsTable[GroupByKey]=ContinuousStatsTable[[#This Row],[GroupByKey]])*ContinuousStatsTable[Average]))</f>
        <v>0.69059318471793496</v>
      </c>
      <c r="U57">
        <f>IF((ContinuousStatsTable[[#This Row],[RepsRequested]]&gt;1),ContinuousStatsTable[[#This Row],[HalfWidth]],ContinuousStatsTable[[#This Row],[BatchMeansHalfWidth]])</f>
        <v>4.5578893490793634E-3</v>
      </c>
    </row>
    <row r="58" spans="1:21" x14ac:dyDescent="0.25">
      <c r="A58" t="s">
        <v>67</v>
      </c>
      <c r="B58" t="s">
        <v>69</v>
      </c>
      <c r="C58">
        <v>3</v>
      </c>
      <c r="D58" t="s">
        <v>96</v>
      </c>
      <c r="E58" t="s">
        <v>97</v>
      </c>
      <c r="F58" t="s">
        <v>98</v>
      </c>
      <c r="G58">
        <v>2.07228794584704</v>
      </c>
      <c r="H58">
        <v>9.9907195658982106E-3</v>
      </c>
      <c r="I58">
        <v>0</v>
      </c>
      <c r="J58">
        <v>3</v>
      </c>
      <c r="K58">
        <v>2</v>
      </c>
      <c r="L58">
        <v>0</v>
      </c>
      <c r="M58" t="str">
        <f>ContinuousStatsTable[[#This Row],[ProjectName]]&amp;ContinuousStatsTable[[#This Row],[Name]]&amp;ContinuousStatsTable[[#This Row],[Type]]&amp;ContinuousStatsTable[[#This Row],[Source]]</f>
        <v>Unnamed ProjectAGVNumber BusyTransporter</v>
      </c>
      <c r="N58" cm="1">
        <f t="array" ref="N58">MAX(IF((ProjectInfoTable[ProjectName]=ContinuousStatsTable[[#This Row],[ProjectName]]),(ProjectInfoTable[ProjectName]=ContinuousStatsTable[[#This Row],[ProjectName]])*ProjectInfoTable[NumberOfReplications]))</f>
        <v>10</v>
      </c>
      <c r="O58" cm="1">
        <f t="array" ref="O58">IFERROR(AVERAGE(IF((ContinuousStatsTable[GroupByKey]=ContinuousStatsTable[[#This Row],[GroupByKey]]),(ContinuousStatsTable[GroupByKey]=ContinuousStatsTable[[#This Row],[GroupByKey]])*ContinuousStatsTable[Average])),0)</f>
        <v>2.078872627125893</v>
      </c>
      <c r="P58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5.2787009755182E-3</v>
      </c>
      <c r="Q58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3.7761551973910287E-3</v>
      </c>
      <c r="S58" cm="1">
        <f t="array" ref="S58">MIN(IF((ContinuousStatsTable[GroupByKey]=ContinuousStatsTable[[#This Row],[GroupByKey]]),(ContinuousStatsTable[GroupByKey]=ContinuousStatsTable[[#This Row],[GroupByKey]])*ContinuousStatsTable[Average]))</f>
        <v>2.07228794584704</v>
      </c>
      <c r="T58" cm="1">
        <f t="array" ref="T58">MAX(IF((ContinuousStatsTable[GroupByKey]=ContinuousStatsTable[[#This Row],[GroupByKey]]),(ContinuousStatsTable[GroupByKey]=ContinuousStatsTable[[#This Row],[GroupByKey]])*ContinuousStatsTable[Average]))</f>
        <v>2.08892452747873</v>
      </c>
      <c r="U58">
        <f>IF((ContinuousStatsTable[[#This Row],[RepsRequested]]&gt;1),ContinuousStatsTable[[#This Row],[HalfWidth]],ContinuousStatsTable[[#This Row],[BatchMeansHalfWidth]])</f>
        <v>3.7761551973910287E-3</v>
      </c>
    </row>
    <row r="59" spans="1:21" x14ac:dyDescent="0.25">
      <c r="A59" t="s">
        <v>67</v>
      </c>
      <c r="B59" t="s">
        <v>69</v>
      </c>
      <c r="C59">
        <v>3</v>
      </c>
      <c r="D59" t="s">
        <v>96</v>
      </c>
      <c r="E59" t="s">
        <v>99</v>
      </c>
      <c r="F59" t="s">
        <v>98</v>
      </c>
      <c r="G59">
        <v>3</v>
      </c>
      <c r="H59">
        <v>2E+20</v>
      </c>
      <c r="I59">
        <v>3</v>
      </c>
      <c r="J59">
        <v>3</v>
      </c>
      <c r="K59">
        <v>3</v>
      </c>
      <c r="L59">
        <v>0</v>
      </c>
      <c r="M59" t="str">
        <f>ContinuousStatsTable[[#This Row],[ProjectName]]&amp;ContinuousStatsTable[[#This Row],[Name]]&amp;ContinuousStatsTable[[#This Row],[Type]]&amp;ContinuousStatsTable[[#This Row],[Source]]</f>
        <v>Unnamed ProjectAGVNumber ScheduledTransporter</v>
      </c>
      <c r="N59" cm="1">
        <f t="array" ref="N59">MAX(IF((ProjectInfoTable[ProjectName]=ContinuousStatsTable[[#This Row],[ProjectName]]),(ProjectInfoTable[ProjectName]=ContinuousStatsTable[[#This Row],[ProjectName]])*ProjectInfoTable[NumberOfReplications]))</f>
        <v>10</v>
      </c>
      <c r="O59" cm="1">
        <f t="array" ref="O59">IFERROR(AVERAGE(IF((ContinuousStatsTable[GroupByKey]=ContinuousStatsTable[[#This Row],[GroupByKey]]),(ContinuousStatsTable[GroupByKey]=ContinuousStatsTable[[#This Row],[GroupByKey]])*ContinuousStatsTable[Average])),0)</f>
        <v>3</v>
      </c>
      <c r="P59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0</v>
      </c>
      <c r="Q59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" cm="1">
        <f t="array" ref="S59">MIN(IF((ContinuousStatsTable[GroupByKey]=ContinuousStatsTable[[#This Row],[GroupByKey]]),(ContinuousStatsTable[GroupByKey]=ContinuousStatsTable[[#This Row],[GroupByKey]])*ContinuousStatsTable[Average]))</f>
        <v>3</v>
      </c>
      <c r="T59" cm="1">
        <f t="array" ref="T59">MAX(IF((ContinuousStatsTable[GroupByKey]=ContinuousStatsTable[[#This Row],[GroupByKey]]),(ContinuousStatsTable[GroupByKey]=ContinuousStatsTable[[#This Row],[GroupByKey]])*ContinuousStatsTable[Average]))</f>
        <v>3</v>
      </c>
      <c r="U59">
        <f>IF((ContinuousStatsTable[[#This Row],[RepsRequested]]&gt;1),ContinuousStatsTable[[#This Row],[HalfWidth]],ContinuousStatsTable[[#This Row],[BatchMeansHalfWidth]])</f>
        <v>0</v>
      </c>
    </row>
    <row r="60" spans="1:21" x14ac:dyDescent="0.25">
      <c r="A60" t="s">
        <v>67</v>
      </c>
      <c r="B60" t="s">
        <v>69</v>
      </c>
      <c r="C60">
        <v>3</v>
      </c>
      <c r="D60" t="s">
        <v>96</v>
      </c>
      <c r="E60" t="s">
        <v>100</v>
      </c>
      <c r="F60" t="s">
        <v>98</v>
      </c>
      <c r="G60">
        <v>0.69076264861567704</v>
      </c>
      <c r="H60">
        <v>3.33023985529936E-3</v>
      </c>
      <c r="I60">
        <v>0</v>
      </c>
      <c r="J60">
        <v>1</v>
      </c>
      <c r="K60">
        <v>0.66666666666666696</v>
      </c>
      <c r="L60">
        <v>0</v>
      </c>
      <c r="M60" t="str">
        <f>ContinuousStatsTable[[#This Row],[ProjectName]]&amp;ContinuousStatsTable[[#This Row],[Name]]&amp;ContinuousStatsTable[[#This Row],[Type]]&amp;ContinuousStatsTable[[#This Row],[Source]]</f>
        <v>Unnamed ProjectAGVUtilizationTransporter</v>
      </c>
      <c r="N60" cm="1">
        <f t="array" ref="N60">MAX(IF((ProjectInfoTable[ProjectName]=ContinuousStatsTable[[#This Row],[ProjectName]]),(ProjectInfoTable[ProjectName]=ContinuousStatsTable[[#This Row],[ProjectName]])*ProjectInfoTable[NumberOfReplications]))</f>
        <v>10</v>
      </c>
      <c r="O60" cm="1">
        <f t="array" ref="O60">IFERROR(AVERAGE(IF((ContinuousStatsTable[GroupByKey]=ContinuousStatsTable[[#This Row],[GroupByKey]]),(ContinuousStatsTable[GroupByKey]=ContinuousStatsTable[[#This Row],[GroupByKey]])*ContinuousStatsTable[Average])),0)</f>
        <v>0.69295754237529772</v>
      </c>
      <c r="P60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1.759566991837834E-3</v>
      </c>
      <c r="Q60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1.2587183991292225E-3</v>
      </c>
      <c r="S60" cm="1">
        <f t="array" ref="S60">MIN(IF((ContinuousStatsTable[GroupByKey]=ContinuousStatsTable[[#This Row],[GroupByKey]]),(ContinuousStatsTable[GroupByKey]=ContinuousStatsTable[[#This Row],[GroupByKey]])*ContinuousStatsTable[Average]))</f>
        <v>0.69076264861567704</v>
      </c>
      <c r="T60" cm="1">
        <f t="array" ref="T60">MAX(IF((ContinuousStatsTable[GroupByKey]=ContinuousStatsTable[[#This Row],[GroupByKey]]),(ContinuousStatsTable[GroupByKey]=ContinuousStatsTable[[#This Row],[GroupByKey]])*ContinuousStatsTable[Average]))</f>
        <v>0.69630817582623705</v>
      </c>
      <c r="U60">
        <f>IF((ContinuousStatsTable[[#This Row],[RepsRequested]]&gt;1),ContinuousStatsTable[[#This Row],[HalfWidth]],ContinuousStatsTable[[#This Row],[BatchMeansHalfWidth]])</f>
        <v>1.2587183991292225E-3</v>
      </c>
    </row>
    <row r="61" spans="1:21" x14ac:dyDescent="0.25">
      <c r="A61" t="s">
        <v>67</v>
      </c>
      <c r="B61" t="s">
        <v>69</v>
      </c>
      <c r="C61">
        <v>3</v>
      </c>
      <c r="D61" t="s">
        <v>70</v>
      </c>
      <c r="E61" t="s">
        <v>101</v>
      </c>
      <c r="F61" t="s">
        <v>72</v>
      </c>
      <c r="G61">
        <v>3.0428923380721701E-2</v>
      </c>
      <c r="H61">
        <v>1.9444240615327799E-3</v>
      </c>
      <c r="I61">
        <v>0</v>
      </c>
      <c r="J61">
        <v>5</v>
      </c>
      <c r="K61">
        <v>0</v>
      </c>
      <c r="L61">
        <v>0</v>
      </c>
      <c r="M61" t="str">
        <f>ContinuousStatsTable[[#This Row],[ProjectName]]&amp;ContinuousStatsTable[[#This Row],[Name]]&amp;ContinuousStatsTable[[#This Row],[Type]]&amp;ContinuousStatsTable[[#This Row],[Source]]</f>
        <v>Unnamed ProjectEnter Request AGV.QueueNumber WaitingQueue</v>
      </c>
      <c r="N61" cm="1">
        <f t="array" ref="N61">MAX(IF((ProjectInfoTable[ProjectName]=ContinuousStatsTable[[#This Row],[ProjectName]]),(ProjectInfoTable[ProjectName]=ContinuousStatsTable[[#This Row],[ProjectName]])*ProjectInfoTable[NumberOfReplications]))</f>
        <v>10</v>
      </c>
      <c r="O61" cm="1">
        <f t="array" ref="O61">IFERROR(AVERAGE(IF((ContinuousStatsTable[GroupByKey]=ContinuousStatsTable[[#This Row],[GroupByKey]]),(ContinuousStatsTable[GroupByKey]=ContinuousStatsTable[[#This Row],[GroupByKey]])*ContinuousStatsTable[Average])),0)</f>
        <v>3.1035047783347335E-2</v>
      </c>
      <c r="P61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1.214427597616889E-3</v>
      </c>
      <c r="Q61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8.6874916875660508E-4</v>
      </c>
      <c r="S61" cm="1">
        <f t="array" ref="S61">MIN(IF((ContinuousStatsTable[GroupByKey]=ContinuousStatsTable[[#This Row],[GroupByKey]]),(ContinuousStatsTable[GroupByKey]=ContinuousStatsTable[[#This Row],[GroupByKey]])*ContinuousStatsTable[Average]))</f>
        <v>2.9772007867277201E-2</v>
      </c>
      <c r="T61" cm="1">
        <f t="array" ref="T61">MAX(IF((ContinuousStatsTable[GroupByKey]=ContinuousStatsTable[[#This Row],[GroupByKey]]),(ContinuousStatsTable[GroupByKey]=ContinuousStatsTable[[#This Row],[GroupByKey]])*ContinuousStatsTable[Average]))</f>
        <v>3.3809532279706102E-2</v>
      </c>
      <c r="U61">
        <f>IF((ContinuousStatsTable[[#This Row],[RepsRequested]]&gt;1),ContinuousStatsTable[[#This Row],[HalfWidth]],ContinuousStatsTable[[#This Row],[BatchMeansHalfWidth]])</f>
        <v>8.6874916875660508E-4</v>
      </c>
    </row>
    <row r="62" spans="1:21" x14ac:dyDescent="0.25">
      <c r="A62" t="s">
        <v>67</v>
      </c>
      <c r="B62" t="s">
        <v>69</v>
      </c>
      <c r="C62">
        <v>3</v>
      </c>
      <c r="D62" t="s">
        <v>102</v>
      </c>
      <c r="E62" t="s">
        <v>103</v>
      </c>
      <c r="F62" t="s">
        <v>77</v>
      </c>
      <c r="G62">
        <v>0</v>
      </c>
      <c r="H62">
        <v>2E+20</v>
      </c>
      <c r="I62">
        <v>0</v>
      </c>
      <c r="J62">
        <v>1</v>
      </c>
      <c r="K62">
        <v>0</v>
      </c>
      <c r="L62">
        <v>0</v>
      </c>
      <c r="M62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62" cm="1">
        <f t="array" ref="N62">MAX(IF((ProjectInfoTable[ProjectName]=ContinuousStatsTable[[#This Row],[ProjectName]]),(ProjectInfoTable[ProjectName]=ContinuousStatsTable[[#This Row],[ProjectName]])*ProjectInfoTable[NumberOfReplications]))</f>
        <v>10</v>
      </c>
      <c r="O62" cm="1">
        <f t="array" ref="O62">IFERROR(AVERAGE(IF((ContinuousStatsTable[GroupByKey]=ContinuousStatsTable[[#This Row],[GroupByKey]]),(ContinuousStatsTable[GroupByKey]=ContinuousStatsTable[[#This Row],[GroupByKey]])*ContinuousStatsTable[Average])),0)</f>
        <v>0</v>
      </c>
      <c r="P62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</v>
      </c>
      <c r="Q62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" cm="1">
        <f t="array" ref="S62">MIN(IF((ContinuousStatsTable[GroupByKey]=ContinuousStatsTable[[#This Row],[GroupByKey]]),(ContinuousStatsTable[GroupByKey]=ContinuousStatsTable[[#This Row],[GroupByKey]])*ContinuousStatsTable[Average]))</f>
        <v>0</v>
      </c>
      <c r="T62" cm="1">
        <f t="array" ref="T62">MAX(IF((ContinuousStatsTable[GroupByKey]=ContinuousStatsTable[[#This Row],[GroupByKey]]),(ContinuousStatsTable[GroupByKey]=ContinuousStatsTable[[#This Row],[GroupByKey]])*ContinuousStatsTable[Average]))</f>
        <v>0</v>
      </c>
      <c r="U62">
        <f>IF((ContinuousStatsTable[[#This Row],[RepsRequested]]&gt;1),ContinuousStatsTable[[#This Row],[HalfWidth]],ContinuousStatsTable[[#This Row],[BatchMeansHalfWidth]])</f>
        <v>0</v>
      </c>
    </row>
    <row r="63" spans="1:21" x14ac:dyDescent="0.25">
      <c r="A63" t="s">
        <v>67</v>
      </c>
      <c r="B63" t="s">
        <v>69</v>
      </c>
      <c r="C63">
        <v>3</v>
      </c>
      <c r="D63" t="s">
        <v>104</v>
      </c>
      <c r="E63" t="s">
        <v>105</v>
      </c>
      <c r="F63" t="s">
        <v>106</v>
      </c>
      <c r="G63">
        <v>0.51150896826018899</v>
      </c>
      <c r="H63">
        <v>3E+20</v>
      </c>
      <c r="I63">
        <v>0</v>
      </c>
      <c r="J63">
        <v>1</v>
      </c>
      <c r="K63">
        <v>0</v>
      </c>
      <c r="L63">
        <v>0</v>
      </c>
      <c r="M63" t="str">
        <f>ContinuousStatsTable[[#This Row],[ProjectName]]&amp;ContinuousStatsTable[[#This Row],[Name]]&amp;ContinuousStatsTable[[#This Row],[Type]]&amp;ContinuousStatsTable[[#This Row],[Source]]</f>
        <v>Unnamed ProjectNEWPAINTERInstantaneous UtilizationResource</v>
      </c>
      <c r="N63" cm="1">
        <f t="array" ref="N63">MAX(IF((ProjectInfoTable[ProjectName]=ContinuousStatsTable[[#This Row],[ProjectName]]),(ProjectInfoTable[ProjectName]=ContinuousStatsTable[[#This Row],[ProjectName]])*ProjectInfoTable[NumberOfReplications]))</f>
        <v>10</v>
      </c>
      <c r="O63" cm="1">
        <f t="array" ref="O63">IFERROR(AVERAGE(IF((ContinuousStatsTable[GroupByKey]=ContinuousStatsTable[[#This Row],[GroupByKey]]),(ContinuousStatsTable[GroupByKey]=ContinuousStatsTable[[#This Row],[GroupByKey]])*ContinuousStatsTable[Average])),0)</f>
        <v>0.52518723279433455</v>
      </c>
      <c r="P63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8.4087502405714581E-3</v>
      </c>
      <c r="Q63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6.0152575551752803E-3</v>
      </c>
      <c r="S63" cm="1">
        <f t="array" ref="S63">MIN(IF((ContinuousStatsTable[GroupByKey]=ContinuousStatsTable[[#This Row],[GroupByKey]]),(ContinuousStatsTable[GroupByKey]=ContinuousStatsTable[[#This Row],[GroupByKey]])*ContinuousStatsTable[Average]))</f>
        <v>0.51150896826018899</v>
      </c>
      <c r="T63" cm="1">
        <f t="array" ref="T63">MAX(IF((ContinuousStatsTable[GroupByKey]=ContinuousStatsTable[[#This Row],[GroupByKey]]),(ContinuousStatsTable[GroupByKey]=ContinuousStatsTable[[#This Row],[GroupByKey]])*ContinuousStatsTable[Average]))</f>
        <v>0.54003281556404203</v>
      </c>
      <c r="U63">
        <f>IF((ContinuousStatsTable[[#This Row],[RepsRequested]]&gt;1),ContinuousStatsTable[[#This Row],[HalfWidth]],ContinuousStatsTable[[#This Row],[BatchMeansHalfWidth]])</f>
        <v>6.0152575551752803E-3</v>
      </c>
    </row>
    <row r="64" spans="1:21" x14ac:dyDescent="0.25">
      <c r="A64" t="s">
        <v>67</v>
      </c>
      <c r="B64" t="s">
        <v>69</v>
      </c>
      <c r="C64">
        <v>3</v>
      </c>
      <c r="D64" t="s">
        <v>104</v>
      </c>
      <c r="E64" t="s">
        <v>97</v>
      </c>
      <c r="F64" t="s">
        <v>106</v>
      </c>
      <c r="G64">
        <v>0.51150896826018899</v>
      </c>
      <c r="H64">
        <v>3E+20</v>
      </c>
      <c r="I64">
        <v>0</v>
      </c>
      <c r="J64">
        <v>1</v>
      </c>
      <c r="K64">
        <v>0</v>
      </c>
      <c r="L64">
        <v>0</v>
      </c>
      <c r="M64" t="str">
        <f>ContinuousStatsTable[[#This Row],[ProjectName]]&amp;ContinuousStatsTable[[#This Row],[Name]]&amp;ContinuousStatsTable[[#This Row],[Type]]&amp;ContinuousStatsTable[[#This Row],[Source]]</f>
        <v>Unnamed ProjectNEWPAINTERNumber BusyResource</v>
      </c>
      <c r="N64" cm="1">
        <f t="array" ref="N64">MAX(IF((ProjectInfoTable[ProjectName]=ContinuousStatsTable[[#This Row],[ProjectName]]),(ProjectInfoTable[ProjectName]=ContinuousStatsTable[[#This Row],[ProjectName]])*ProjectInfoTable[NumberOfReplications]))</f>
        <v>10</v>
      </c>
      <c r="O64" cm="1">
        <f t="array" ref="O64">IFERROR(AVERAGE(IF((ContinuousStatsTable[GroupByKey]=ContinuousStatsTable[[#This Row],[GroupByKey]]),(ContinuousStatsTable[GroupByKey]=ContinuousStatsTable[[#This Row],[GroupByKey]])*ContinuousStatsTable[Average])),0)</f>
        <v>0.52518723279433455</v>
      </c>
      <c r="P64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8.4087502405714581E-3</v>
      </c>
      <c r="Q64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6.0152575551752803E-3</v>
      </c>
      <c r="S64" cm="1">
        <f t="array" ref="S64">MIN(IF((ContinuousStatsTable[GroupByKey]=ContinuousStatsTable[[#This Row],[GroupByKey]]),(ContinuousStatsTable[GroupByKey]=ContinuousStatsTable[[#This Row],[GroupByKey]])*ContinuousStatsTable[Average]))</f>
        <v>0.51150896826018899</v>
      </c>
      <c r="T64" cm="1">
        <f t="array" ref="T64">MAX(IF((ContinuousStatsTable[GroupByKey]=ContinuousStatsTable[[#This Row],[GroupByKey]]),(ContinuousStatsTable[GroupByKey]=ContinuousStatsTable[[#This Row],[GroupByKey]])*ContinuousStatsTable[Average]))</f>
        <v>0.54003281556404203</v>
      </c>
      <c r="U64">
        <f>IF((ContinuousStatsTable[[#This Row],[RepsRequested]]&gt;1),ContinuousStatsTable[[#This Row],[HalfWidth]],ContinuousStatsTable[[#This Row],[BatchMeansHalfWidth]])</f>
        <v>6.0152575551752803E-3</v>
      </c>
    </row>
    <row r="65" spans="1:21" x14ac:dyDescent="0.25">
      <c r="A65" t="s">
        <v>67</v>
      </c>
      <c r="B65" t="s">
        <v>69</v>
      </c>
      <c r="C65">
        <v>3</v>
      </c>
      <c r="D65" t="s">
        <v>104</v>
      </c>
      <c r="E65" t="s">
        <v>99</v>
      </c>
      <c r="F65" t="s">
        <v>106</v>
      </c>
      <c r="G65">
        <v>1</v>
      </c>
      <c r="H65">
        <v>2E+20</v>
      </c>
      <c r="I65">
        <v>1</v>
      </c>
      <c r="J65">
        <v>1</v>
      </c>
      <c r="K65">
        <v>1</v>
      </c>
      <c r="L65">
        <v>0</v>
      </c>
      <c r="M65" t="str">
        <f>ContinuousStatsTable[[#This Row],[ProjectName]]&amp;ContinuousStatsTable[[#This Row],[Name]]&amp;ContinuousStatsTable[[#This Row],[Type]]&amp;ContinuousStatsTable[[#This Row],[Source]]</f>
        <v>Unnamed ProjectNEWPAINTERNumber ScheduledResource</v>
      </c>
      <c r="N65" cm="1">
        <f t="array" ref="N65">MAX(IF((ProjectInfoTable[ProjectName]=ContinuousStatsTable[[#This Row],[ProjectName]]),(ProjectInfoTable[ProjectName]=ContinuousStatsTable[[#This Row],[ProjectName]])*ProjectInfoTable[NumberOfReplications]))</f>
        <v>10</v>
      </c>
      <c r="O65" cm="1">
        <f t="array" ref="O65">IFERROR(AVERAGE(IF((ContinuousStatsTable[GroupByKey]=ContinuousStatsTable[[#This Row],[GroupByKey]]),(ContinuousStatsTable[GroupByKey]=ContinuousStatsTable[[#This Row],[GroupByKey]])*ContinuousStatsTable[Average])),0)</f>
        <v>1</v>
      </c>
      <c r="P6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</v>
      </c>
      <c r="Q6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" cm="1">
        <f t="array" ref="S65">MIN(IF((ContinuousStatsTable[GroupByKey]=ContinuousStatsTable[[#This Row],[GroupByKey]]),(ContinuousStatsTable[GroupByKey]=ContinuousStatsTable[[#This Row],[GroupByKey]])*ContinuousStatsTable[Average]))</f>
        <v>1</v>
      </c>
      <c r="T65" cm="1">
        <f t="array" ref="T65">MAX(IF((ContinuousStatsTable[GroupByKey]=ContinuousStatsTable[[#This Row],[GroupByKey]]),(ContinuousStatsTable[GroupByKey]=ContinuousStatsTable[[#This Row],[GroupByKey]])*ContinuousStatsTable[Average]))</f>
        <v>1</v>
      </c>
      <c r="U65">
        <f>IF((ContinuousStatsTable[[#This Row],[RepsRequested]]&gt;1),ContinuousStatsTable[[#This Row],[HalfWidth]],ContinuousStatsTable[[#This Row],[BatchMeansHalfWidth]])</f>
        <v>0</v>
      </c>
    </row>
    <row r="66" spans="1:21" x14ac:dyDescent="0.25">
      <c r="A66" t="s">
        <v>67</v>
      </c>
      <c r="B66" t="s">
        <v>69</v>
      </c>
      <c r="C66">
        <v>3</v>
      </c>
      <c r="D66" t="s">
        <v>73</v>
      </c>
      <c r="E66" t="s">
        <v>101</v>
      </c>
      <c r="F66" t="s">
        <v>72</v>
      </c>
      <c r="G66">
        <v>0.17015628683515099</v>
      </c>
      <c r="H66">
        <v>1.52378578788782E-2</v>
      </c>
      <c r="I66">
        <v>0</v>
      </c>
      <c r="J66">
        <v>5</v>
      </c>
      <c r="K66">
        <v>0</v>
      </c>
      <c r="L66">
        <v>0</v>
      </c>
      <c r="M66" t="str">
        <f>ContinuousStatsTable[[#This Row],[ProjectName]]&amp;ContinuousStatsTable[[#This Row],[Name]]&amp;ContinuousStatsTable[[#This Row],[Type]]&amp;ContinuousStatsTable[[#This Row],[Source]]</f>
        <v>Unnamed ProjectNewPaintQNumber WaitingQueue</v>
      </c>
      <c r="N66" cm="1">
        <f t="array" ref="N66">MAX(IF((ProjectInfoTable[ProjectName]=ContinuousStatsTable[[#This Row],[ProjectName]]),(ProjectInfoTable[ProjectName]=ContinuousStatsTable[[#This Row],[ProjectName]])*ProjectInfoTable[NumberOfReplications]))</f>
        <v>10</v>
      </c>
      <c r="O66" cm="1">
        <f t="array" ref="O66">IFERROR(AVERAGE(IF((ContinuousStatsTable[GroupByKey]=ContinuousStatsTable[[#This Row],[GroupByKey]]),(ContinuousStatsTable[GroupByKey]=ContinuousStatsTable[[#This Row],[GroupByKey]])*ContinuousStatsTable[Average])),0)</f>
        <v>0.19175082727765341</v>
      </c>
      <c r="P66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1.5966644693782381E-2</v>
      </c>
      <c r="Q66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1.1421849546877095E-2</v>
      </c>
      <c r="S66" cm="1">
        <f t="array" ref="S66">MIN(IF((ContinuousStatsTable[GroupByKey]=ContinuousStatsTable[[#This Row],[GroupByKey]]),(ContinuousStatsTable[GroupByKey]=ContinuousStatsTable[[#This Row],[GroupByKey]])*ContinuousStatsTable[Average]))</f>
        <v>0.17015628683515099</v>
      </c>
      <c r="T66" cm="1">
        <f t="array" ref="T66">MAX(IF((ContinuousStatsTable[GroupByKey]=ContinuousStatsTable[[#This Row],[GroupByKey]]),(ContinuousStatsTable[GroupByKey]=ContinuousStatsTable[[#This Row],[GroupByKey]])*ContinuousStatsTable[Average]))</f>
        <v>0.217869952503708</v>
      </c>
      <c r="U66">
        <f>IF((ContinuousStatsTable[[#This Row],[RepsRequested]]&gt;1),ContinuousStatsTable[[#This Row],[HalfWidth]],ContinuousStatsTable[[#This Row],[BatchMeansHalfWidth]])</f>
        <v>1.1421849546877095E-2</v>
      </c>
    </row>
    <row r="67" spans="1:21" x14ac:dyDescent="0.25">
      <c r="A67" t="s">
        <v>67</v>
      </c>
      <c r="B67" t="s">
        <v>69</v>
      </c>
      <c r="C67">
        <v>3</v>
      </c>
      <c r="D67" t="s">
        <v>74</v>
      </c>
      <c r="E67" t="s">
        <v>101</v>
      </c>
      <c r="F67" t="s">
        <v>72</v>
      </c>
      <c r="G67">
        <v>4.3438456155572196E-3</v>
      </c>
      <c r="H67">
        <v>3.8837510581683402E-4</v>
      </c>
      <c r="I67">
        <v>0</v>
      </c>
      <c r="J67">
        <v>1</v>
      </c>
      <c r="K67">
        <v>0</v>
      </c>
      <c r="L67">
        <v>0</v>
      </c>
      <c r="M67" t="str">
        <f>ContinuousStatsTable[[#This Row],[ProjectName]]&amp;ContinuousStatsTable[[#This Row],[Name]]&amp;ContinuousStatsTable[[#This Row],[Type]]&amp;ContinuousStatsTable[[#This Row],[Source]]</f>
        <v>Unnamed ProjectNewPaintReqQNumber WaitingQueue</v>
      </c>
      <c r="N67" cm="1">
        <f t="array" ref="N67">MAX(IF((ProjectInfoTable[ProjectName]=ContinuousStatsTable[[#This Row],[ProjectName]]),(ProjectInfoTable[ProjectName]=ContinuousStatsTable[[#This Row],[ProjectName]])*ProjectInfoTable[NumberOfReplications]))</f>
        <v>10</v>
      </c>
      <c r="O67" cm="1">
        <f t="array" ref="O67">IFERROR(AVERAGE(IF((ContinuousStatsTable[GroupByKey]=ContinuousStatsTable[[#This Row],[GroupByKey]]),(ContinuousStatsTable[GroupByKey]=ContinuousStatsTable[[#This Row],[GroupByKey]])*ContinuousStatsTable[Average])),0)</f>
        <v>4.7461022101932173E-3</v>
      </c>
      <c r="P67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2.0643575159293872E-4</v>
      </c>
      <c r="Q67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1.4767524054125336E-4</v>
      </c>
      <c r="S67" cm="1">
        <f t="array" ref="S67">MIN(IF((ContinuousStatsTable[GroupByKey]=ContinuousStatsTable[[#This Row],[GroupByKey]]),(ContinuousStatsTable[GroupByKey]=ContinuousStatsTable[[#This Row],[GroupByKey]])*ContinuousStatsTable[Average]))</f>
        <v>4.3438456155572196E-3</v>
      </c>
      <c r="T67" cm="1">
        <f t="array" ref="T67">MAX(IF((ContinuousStatsTable[GroupByKey]=ContinuousStatsTable[[#This Row],[GroupByKey]]),(ContinuousStatsTable[GroupByKey]=ContinuousStatsTable[[#This Row],[GroupByKey]])*ContinuousStatsTable[Average]))</f>
        <v>5.0878342070728201E-3</v>
      </c>
      <c r="U67">
        <f>IF((ContinuousStatsTable[[#This Row],[RepsRequested]]&gt;1),ContinuousStatsTable[[#This Row],[HalfWidth]],ContinuousStatsTable[[#This Row],[BatchMeansHalfWidth]])</f>
        <v>1.4767524054125336E-4</v>
      </c>
    </row>
    <row r="68" spans="1:21" x14ac:dyDescent="0.25">
      <c r="A68" t="s">
        <v>67</v>
      </c>
      <c r="B68" t="s">
        <v>69</v>
      </c>
      <c r="C68">
        <v>3</v>
      </c>
      <c r="D68" t="s">
        <v>75</v>
      </c>
      <c r="E68" t="s">
        <v>103</v>
      </c>
      <c r="F68" t="s">
        <v>77</v>
      </c>
      <c r="G68">
        <v>2.4192292508998099</v>
      </c>
      <c r="H68">
        <v>0.114747107767339</v>
      </c>
      <c r="I68">
        <v>0</v>
      </c>
      <c r="J68">
        <v>11</v>
      </c>
      <c r="K68">
        <v>2</v>
      </c>
      <c r="L68">
        <v>0</v>
      </c>
      <c r="M68" t="str">
        <f>ContinuousStatsTable[[#This Row],[ProjectName]]&amp;ContinuousStatsTable[[#This Row],[Name]]&amp;ContinuousStatsTable[[#This Row],[Type]]&amp;ContinuousStatsTable[[#This Row],[Source]]</f>
        <v>Unnamed ProjectNewPartWIPEntity</v>
      </c>
      <c r="N68" cm="1">
        <f t="array" ref="N68">MAX(IF((ProjectInfoTable[ProjectName]=ContinuousStatsTable[[#This Row],[ProjectName]]),(ProjectInfoTable[ProjectName]=ContinuousStatsTable[[#This Row],[ProjectName]])*ProjectInfoTable[NumberOfReplications]))</f>
        <v>10</v>
      </c>
      <c r="O68" cm="1">
        <f t="array" ref="O68">IFERROR(AVERAGE(IF((ContinuousStatsTable[GroupByKey]=ContinuousStatsTable[[#This Row],[GroupByKey]]),(ContinuousStatsTable[GroupByKey]=ContinuousStatsTable[[#This Row],[GroupByKey]])*ContinuousStatsTable[Average])),0)</f>
        <v>2.5498900061729541</v>
      </c>
      <c r="P68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7.472159430415927E-2</v>
      </c>
      <c r="Q68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5.3452608510618609E-2</v>
      </c>
      <c r="S68" cm="1">
        <f t="array" ref="S68">MIN(IF((ContinuousStatsTable[GroupByKey]=ContinuousStatsTable[[#This Row],[GroupByKey]]),(ContinuousStatsTable[GroupByKey]=ContinuousStatsTable[[#This Row],[GroupByKey]])*ContinuousStatsTable[Average]))</f>
        <v>2.4192292508998099</v>
      </c>
      <c r="T68" cm="1">
        <f t="array" ref="T68">MAX(IF((ContinuousStatsTable[GroupByKey]=ContinuousStatsTable[[#This Row],[GroupByKey]]),(ContinuousStatsTable[GroupByKey]=ContinuousStatsTable[[#This Row],[GroupByKey]])*ContinuousStatsTable[Average]))</f>
        <v>2.6620431560013098</v>
      </c>
      <c r="U68">
        <f>IF((ContinuousStatsTable[[#This Row],[RepsRequested]]&gt;1),ContinuousStatsTable[[#This Row],[HalfWidth]],ContinuousStatsTable[[#This Row],[BatchMeansHalfWidth]])</f>
        <v>5.3452608510618609E-2</v>
      </c>
    </row>
    <row r="69" spans="1:21" x14ac:dyDescent="0.25">
      <c r="A69" t="s">
        <v>67</v>
      </c>
      <c r="B69" t="s">
        <v>69</v>
      </c>
      <c r="C69">
        <v>3</v>
      </c>
      <c r="D69" t="s">
        <v>83</v>
      </c>
      <c r="E69" t="s">
        <v>103</v>
      </c>
      <c r="F69" t="s">
        <v>77</v>
      </c>
      <c r="G69">
        <v>4.82855853416822</v>
      </c>
      <c r="H69">
        <v>0.16524719819306899</v>
      </c>
      <c r="I69">
        <v>0</v>
      </c>
      <c r="J69">
        <v>20</v>
      </c>
      <c r="K69">
        <v>5</v>
      </c>
      <c r="L69">
        <v>0</v>
      </c>
      <c r="M69" t="str">
        <f>ContinuousStatsTable[[#This Row],[ProjectName]]&amp;ContinuousStatsTable[[#This Row],[Name]]&amp;ContinuousStatsTable[[#This Row],[Type]]&amp;ContinuousStatsTable[[#This Row],[Source]]</f>
        <v>Unnamed ProjectOldPartWIPEntity</v>
      </c>
      <c r="N69" cm="1">
        <f t="array" ref="N69">MAX(IF((ProjectInfoTable[ProjectName]=ContinuousStatsTable[[#This Row],[ProjectName]]),(ProjectInfoTable[ProjectName]=ContinuousStatsTable[[#This Row],[ProjectName]])*ProjectInfoTable[NumberOfReplications]))</f>
        <v>10</v>
      </c>
      <c r="O69" cm="1">
        <f t="array" ref="O69">IFERROR(AVERAGE(IF((ContinuousStatsTable[GroupByKey]=ContinuousStatsTable[[#This Row],[GroupByKey]]),(ContinuousStatsTable[GroupByKey]=ContinuousStatsTable[[#This Row],[GroupByKey]])*ContinuousStatsTable[Average])),0)</f>
        <v>4.9513834264802963</v>
      </c>
      <c r="P69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0.10244397191297382</v>
      </c>
      <c r="Q69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7.3284002783010616E-2</v>
      </c>
      <c r="S69" cm="1">
        <f t="array" ref="S69">MIN(IF((ContinuousStatsTable[GroupByKey]=ContinuousStatsTable[[#This Row],[GroupByKey]]),(ContinuousStatsTable[GroupByKey]=ContinuousStatsTable[[#This Row],[GroupByKey]])*ContinuousStatsTable[Average]))</f>
        <v>4.82855853416822</v>
      </c>
      <c r="T69" cm="1">
        <f t="array" ref="T69">MAX(IF((ContinuousStatsTable[GroupByKey]=ContinuousStatsTable[[#This Row],[GroupByKey]]),(ContinuousStatsTable[GroupByKey]=ContinuousStatsTable[[#This Row],[GroupByKey]])*ContinuousStatsTable[Average]))</f>
        <v>5.1212851674768203</v>
      </c>
      <c r="U69">
        <f>IF((ContinuousStatsTable[[#This Row],[RepsRequested]]&gt;1),ContinuousStatsTable[[#This Row],[HalfWidth]],ContinuousStatsTable[[#This Row],[BatchMeansHalfWidth]])</f>
        <v>7.3284002783010616E-2</v>
      </c>
    </row>
    <row r="70" spans="1:21" x14ac:dyDescent="0.25">
      <c r="A70" t="s">
        <v>67</v>
      </c>
      <c r="B70" t="s">
        <v>69</v>
      </c>
      <c r="C70">
        <v>3</v>
      </c>
      <c r="D70" t="s">
        <v>107</v>
      </c>
      <c r="E70" t="s">
        <v>105</v>
      </c>
      <c r="F70" t="s">
        <v>106</v>
      </c>
      <c r="G70">
        <v>0.80675605099888203</v>
      </c>
      <c r="H70">
        <v>9.8207395166317497E-3</v>
      </c>
      <c r="I70">
        <v>0</v>
      </c>
      <c r="J70">
        <v>1</v>
      </c>
      <c r="K70">
        <v>1</v>
      </c>
      <c r="L70">
        <v>0</v>
      </c>
      <c r="M70" t="str">
        <f>ContinuousStatsTable[[#This Row],[ProjectName]]&amp;ContinuousStatsTable[[#This Row],[Name]]&amp;ContinuousStatsTable[[#This Row],[Type]]&amp;ContinuousStatsTable[[#This Row],[Source]]</f>
        <v>Unnamed ProjectPACKERInstantaneous UtilizationResource</v>
      </c>
      <c r="N70" cm="1">
        <f t="array" ref="N70">MAX(IF((ProjectInfoTable[ProjectName]=ContinuousStatsTable[[#This Row],[ProjectName]]),(ProjectInfoTable[ProjectName]=ContinuousStatsTable[[#This Row],[ProjectName]])*ProjectInfoTable[NumberOfReplications]))</f>
        <v>10</v>
      </c>
      <c r="O70" cm="1">
        <f t="array" ref="O70">IFERROR(AVERAGE(IF((ContinuousStatsTable[GroupByKey]=ContinuousStatsTable[[#This Row],[GroupByKey]]),(ContinuousStatsTable[GroupByKey]=ContinuousStatsTable[[#This Row],[GroupByKey]])*ContinuousStatsTable[Average])),0)</f>
        <v>0.81557194281027567</v>
      </c>
      <c r="P70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6.9416851287817331E-3</v>
      </c>
      <c r="Q70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4.9657823959478754E-3</v>
      </c>
      <c r="S70" cm="1">
        <f t="array" ref="S70">MIN(IF((ContinuousStatsTable[GroupByKey]=ContinuousStatsTable[[#This Row],[GroupByKey]]),(ContinuousStatsTable[GroupByKey]=ContinuousStatsTable[[#This Row],[GroupByKey]])*ContinuousStatsTable[Average]))</f>
        <v>0.80675605099888203</v>
      </c>
      <c r="T70" cm="1">
        <f t="array" ref="T70">MAX(IF((ContinuousStatsTable[GroupByKey]=ContinuousStatsTable[[#This Row],[GroupByKey]]),(ContinuousStatsTable[GroupByKey]=ContinuousStatsTable[[#This Row],[GroupByKey]])*ContinuousStatsTable[Average]))</f>
        <v>0.82818429749007605</v>
      </c>
      <c r="U70">
        <f>IF((ContinuousStatsTable[[#This Row],[RepsRequested]]&gt;1),ContinuousStatsTable[[#This Row],[HalfWidth]],ContinuousStatsTable[[#This Row],[BatchMeansHalfWidth]])</f>
        <v>4.9657823959478754E-3</v>
      </c>
    </row>
    <row r="71" spans="1:21" x14ac:dyDescent="0.25">
      <c r="A71" t="s">
        <v>67</v>
      </c>
      <c r="B71" t="s">
        <v>69</v>
      </c>
      <c r="C71">
        <v>3</v>
      </c>
      <c r="D71" t="s">
        <v>107</v>
      </c>
      <c r="E71" t="s">
        <v>97</v>
      </c>
      <c r="F71" t="s">
        <v>106</v>
      </c>
      <c r="G71">
        <v>0.80675605099888203</v>
      </c>
      <c r="H71">
        <v>9.8207395166317497E-3</v>
      </c>
      <c r="I71">
        <v>0</v>
      </c>
      <c r="J71">
        <v>1</v>
      </c>
      <c r="K71">
        <v>1</v>
      </c>
      <c r="L71">
        <v>0</v>
      </c>
      <c r="M71" t="str">
        <f>ContinuousStatsTable[[#This Row],[ProjectName]]&amp;ContinuousStatsTable[[#This Row],[Name]]&amp;ContinuousStatsTable[[#This Row],[Type]]&amp;ContinuousStatsTable[[#This Row],[Source]]</f>
        <v>Unnamed ProjectPACKERNumber BusyResource</v>
      </c>
      <c r="N71" cm="1">
        <f t="array" ref="N71">MAX(IF((ProjectInfoTable[ProjectName]=ContinuousStatsTable[[#This Row],[ProjectName]]),(ProjectInfoTable[ProjectName]=ContinuousStatsTable[[#This Row],[ProjectName]])*ProjectInfoTable[NumberOfReplications]))</f>
        <v>10</v>
      </c>
      <c r="O71" cm="1">
        <f t="array" ref="O71">IFERROR(AVERAGE(IF((ContinuousStatsTable[GroupByKey]=ContinuousStatsTable[[#This Row],[GroupByKey]]),(ContinuousStatsTable[GroupByKey]=ContinuousStatsTable[[#This Row],[GroupByKey]])*ContinuousStatsTable[Average])),0)</f>
        <v>0.81557194281027567</v>
      </c>
      <c r="P71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6.9416851287817331E-3</v>
      </c>
      <c r="Q71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4.9657823959478754E-3</v>
      </c>
      <c r="S71" cm="1">
        <f t="array" ref="S71">MIN(IF((ContinuousStatsTable[GroupByKey]=ContinuousStatsTable[[#This Row],[GroupByKey]]),(ContinuousStatsTable[GroupByKey]=ContinuousStatsTable[[#This Row],[GroupByKey]])*ContinuousStatsTable[Average]))</f>
        <v>0.80675605099888203</v>
      </c>
      <c r="T71" cm="1">
        <f t="array" ref="T71">MAX(IF((ContinuousStatsTable[GroupByKey]=ContinuousStatsTable[[#This Row],[GroupByKey]]),(ContinuousStatsTable[GroupByKey]=ContinuousStatsTable[[#This Row],[GroupByKey]])*ContinuousStatsTable[Average]))</f>
        <v>0.82818429749007605</v>
      </c>
      <c r="U71">
        <f>IF((ContinuousStatsTable[[#This Row],[RepsRequested]]&gt;1),ContinuousStatsTable[[#This Row],[HalfWidth]],ContinuousStatsTable[[#This Row],[BatchMeansHalfWidth]])</f>
        <v>4.9657823959478754E-3</v>
      </c>
    </row>
    <row r="72" spans="1:21" x14ac:dyDescent="0.25">
      <c r="A72" t="s">
        <v>67</v>
      </c>
      <c r="B72" t="s">
        <v>69</v>
      </c>
      <c r="C72">
        <v>3</v>
      </c>
      <c r="D72" t="s">
        <v>107</v>
      </c>
      <c r="E72" t="s">
        <v>99</v>
      </c>
      <c r="F72" t="s">
        <v>106</v>
      </c>
      <c r="G72">
        <v>1</v>
      </c>
      <c r="H72">
        <v>2E+20</v>
      </c>
      <c r="I72">
        <v>1</v>
      </c>
      <c r="J72">
        <v>1</v>
      </c>
      <c r="K72">
        <v>1</v>
      </c>
      <c r="L72">
        <v>0</v>
      </c>
      <c r="M72" t="str">
        <f>ContinuousStatsTable[[#This Row],[ProjectName]]&amp;ContinuousStatsTable[[#This Row],[Name]]&amp;ContinuousStatsTable[[#This Row],[Type]]&amp;ContinuousStatsTable[[#This Row],[Source]]</f>
        <v>Unnamed ProjectPACKERNumber ScheduledResource</v>
      </c>
      <c r="N72" cm="1">
        <f t="array" ref="N72">MAX(IF((ProjectInfoTable[ProjectName]=ContinuousStatsTable[[#This Row],[ProjectName]]),(ProjectInfoTable[ProjectName]=ContinuousStatsTable[[#This Row],[ProjectName]])*ProjectInfoTable[NumberOfReplications]))</f>
        <v>10</v>
      </c>
      <c r="O72" cm="1">
        <f t="array" ref="O72">IFERROR(AVERAGE(IF((ContinuousStatsTable[GroupByKey]=ContinuousStatsTable[[#This Row],[GroupByKey]]),(ContinuousStatsTable[GroupByKey]=ContinuousStatsTable[[#This Row],[GroupByKey]])*ContinuousStatsTable[Average])),0)</f>
        <v>1</v>
      </c>
      <c r="P72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0</v>
      </c>
      <c r="Q72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2" cm="1">
        <f t="array" ref="S72">MIN(IF((ContinuousStatsTable[GroupByKey]=ContinuousStatsTable[[#This Row],[GroupByKey]]),(ContinuousStatsTable[GroupByKey]=ContinuousStatsTable[[#This Row],[GroupByKey]])*ContinuousStatsTable[Average]))</f>
        <v>1</v>
      </c>
      <c r="T72" cm="1">
        <f t="array" ref="T72">MAX(IF((ContinuousStatsTable[GroupByKey]=ContinuousStatsTable[[#This Row],[GroupByKey]]),(ContinuousStatsTable[GroupByKey]=ContinuousStatsTable[[#This Row],[GroupByKey]])*ContinuousStatsTable[Average]))</f>
        <v>1</v>
      </c>
      <c r="U72">
        <f>IF((ContinuousStatsTable[[#This Row],[RepsRequested]]&gt;1),ContinuousStatsTable[[#This Row],[HalfWidth]],ContinuousStatsTable[[#This Row],[BatchMeansHalfWidth]])</f>
        <v>0</v>
      </c>
    </row>
    <row r="73" spans="1:21" x14ac:dyDescent="0.25">
      <c r="A73" t="s">
        <v>67</v>
      </c>
      <c r="B73" t="s">
        <v>69</v>
      </c>
      <c r="C73">
        <v>3</v>
      </c>
      <c r="D73" t="s">
        <v>108</v>
      </c>
      <c r="E73" t="s">
        <v>105</v>
      </c>
      <c r="F73" t="s">
        <v>106</v>
      </c>
      <c r="G73">
        <v>0.54839420860655197</v>
      </c>
      <c r="H73">
        <v>8.5479010544104103E-3</v>
      </c>
      <c r="I73">
        <v>0</v>
      </c>
      <c r="J73">
        <v>1</v>
      </c>
      <c r="K73">
        <v>0</v>
      </c>
      <c r="L73">
        <v>0</v>
      </c>
      <c r="M73" t="str">
        <f>ContinuousStatsTable[[#This Row],[ProjectName]]&amp;ContinuousStatsTable[[#This Row],[Name]]&amp;ContinuousStatsTable[[#This Row],[Type]]&amp;ContinuousStatsTable[[#This Row],[Source]]</f>
        <v>Unnamed ProjectPAINTERInstantaneous UtilizationResource</v>
      </c>
      <c r="N73" cm="1">
        <f t="array" ref="N73">MAX(IF((ProjectInfoTable[ProjectName]=ContinuousStatsTable[[#This Row],[ProjectName]]),(ProjectInfoTable[ProjectName]=ContinuousStatsTable[[#This Row],[ProjectName]])*ProjectInfoTable[NumberOfReplications]))</f>
        <v>10</v>
      </c>
      <c r="O73" cm="1">
        <f t="array" ref="O73">IFERROR(AVERAGE(IF((ContinuousStatsTable[GroupByKey]=ContinuousStatsTable[[#This Row],[GroupByKey]]),(ContinuousStatsTable[GroupByKey]=ContinuousStatsTable[[#This Row],[GroupByKey]])*ContinuousStatsTable[Average])),0)</f>
        <v>0.54938142053560801</v>
      </c>
      <c r="P73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4.5196387022068685E-3</v>
      </c>
      <c r="Q73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3.2331547581159752E-3</v>
      </c>
      <c r="S73" cm="1">
        <f t="array" ref="S73">MIN(IF((ContinuousStatsTable[GroupByKey]=ContinuousStatsTable[[#This Row],[GroupByKey]]),(ContinuousStatsTable[GroupByKey]=ContinuousStatsTable[[#This Row],[GroupByKey]])*ContinuousStatsTable[Average]))</f>
        <v>0.54030874063430001</v>
      </c>
      <c r="T73" cm="1">
        <f t="array" ref="T73">MAX(IF((ContinuousStatsTable[GroupByKey]=ContinuousStatsTable[[#This Row],[GroupByKey]]),(ContinuousStatsTable[GroupByKey]=ContinuousStatsTable[[#This Row],[GroupByKey]])*ContinuousStatsTable[Average]))</f>
        <v>0.55566835138728998</v>
      </c>
      <c r="U73">
        <f>IF((ContinuousStatsTable[[#This Row],[RepsRequested]]&gt;1),ContinuousStatsTable[[#This Row],[HalfWidth]],ContinuousStatsTable[[#This Row],[BatchMeansHalfWidth]])</f>
        <v>3.2331547581159752E-3</v>
      </c>
    </row>
    <row r="74" spans="1:21" x14ac:dyDescent="0.25">
      <c r="A74" t="s">
        <v>67</v>
      </c>
      <c r="B74" t="s">
        <v>69</v>
      </c>
      <c r="C74">
        <v>3</v>
      </c>
      <c r="D74" t="s">
        <v>108</v>
      </c>
      <c r="E74" t="s">
        <v>97</v>
      </c>
      <c r="F74" t="s">
        <v>106</v>
      </c>
      <c r="G74">
        <v>0.54839420860655197</v>
      </c>
      <c r="H74">
        <v>8.5479010544104103E-3</v>
      </c>
      <c r="I74">
        <v>0</v>
      </c>
      <c r="J74">
        <v>1</v>
      </c>
      <c r="K74">
        <v>0</v>
      </c>
      <c r="L74">
        <v>0</v>
      </c>
      <c r="M74" t="str">
        <f>ContinuousStatsTable[[#This Row],[ProjectName]]&amp;ContinuousStatsTable[[#This Row],[Name]]&amp;ContinuousStatsTable[[#This Row],[Type]]&amp;ContinuousStatsTable[[#This Row],[Source]]</f>
        <v>Unnamed ProjectPAINTERNumber BusyResource</v>
      </c>
      <c r="N74" cm="1">
        <f t="array" ref="N74">MAX(IF((ProjectInfoTable[ProjectName]=ContinuousStatsTable[[#This Row],[ProjectName]]),(ProjectInfoTable[ProjectName]=ContinuousStatsTable[[#This Row],[ProjectName]])*ProjectInfoTable[NumberOfReplications]))</f>
        <v>10</v>
      </c>
      <c r="O74" cm="1">
        <f t="array" ref="O74">IFERROR(AVERAGE(IF((ContinuousStatsTable[GroupByKey]=ContinuousStatsTable[[#This Row],[GroupByKey]]),(ContinuousStatsTable[GroupByKey]=ContinuousStatsTable[[#This Row],[GroupByKey]])*ContinuousStatsTable[Average])),0)</f>
        <v>0.54938142053560801</v>
      </c>
      <c r="P74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4.5196387022068685E-3</v>
      </c>
      <c r="Q74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3.2331547581159752E-3</v>
      </c>
      <c r="S74" cm="1">
        <f t="array" ref="S74">MIN(IF((ContinuousStatsTable[GroupByKey]=ContinuousStatsTable[[#This Row],[GroupByKey]]),(ContinuousStatsTable[GroupByKey]=ContinuousStatsTable[[#This Row],[GroupByKey]])*ContinuousStatsTable[Average]))</f>
        <v>0.54030874063430001</v>
      </c>
      <c r="T74" cm="1">
        <f t="array" ref="T74">MAX(IF((ContinuousStatsTable[GroupByKey]=ContinuousStatsTable[[#This Row],[GroupByKey]]),(ContinuousStatsTable[GroupByKey]=ContinuousStatsTable[[#This Row],[GroupByKey]])*ContinuousStatsTable[Average]))</f>
        <v>0.55566835138728998</v>
      </c>
      <c r="U74">
        <f>IF((ContinuousStatsTable[[#This Row],[RepsRequested]]&gt;1),ContinuousStatsTable[[#This Row],[HalfWidth]],ContinuousStatsTable[[#This Row],[BatchMeansHalfWidth]])</f>
        <v>3.2331547581159752E-3</v>
      </c>
    </row>
    <row r="75" spans="1:21" x14ac:dyDescent="0.25">
      <c r="A75" t="s">
        <v>67</v>
      </c>
      <c r="B75" t="s">
        <v>69</v>
      </c>
      <c r="C75">
        <v>3</v>
      </c>
      <c r="D75" t="s">
        <v>108</v>
      </c>
      <c r="E75" t="s">
        <v>99</v>
      </c>
      <c r="F75" t="s">
        <v>106</v>
      </c>
      <c r="G75">
        <v>1</v>
      </c>
      <c r="H75">
        <v>2E+20</v>
      </c>
      <c r="I75">
        <v>1</v>
      </c>
      <c r="J75">
        <v>1</v>
      </c>
      <c r="K75">
        <v>1</v>
      </c>
      <c r="L75">
        <v>0</v>
      </c>
      <c r="M75" t="str">
        <f>ContinuousStatsTable[[#This Row],[ProjectName]]&amp;ContinuousStatsTable[[#This Row],[Name]]&amp;ContinuousStatsTable[[#This Row],[Type]]&amp;ContinuousStatsTable[[#This Row],[Source]]</f>
        <v>Unnamed ProjectPAINTERNumber ScheduledResource</v>
      </c>
      <c r="N75" cm="1">
        <f t="array" ref="N75">MAX(IF((ProjectInfoTable[ProjectName]=ContinuousStatsTable[[#This Row],[ProjectName]]),(ProjectInfoTable[ProjectName]=ContinuousStatsTable[[#This Row],[ProjectName]])*ProjectInfoTable[NumberOfReplications]))</f>
        <v>10</v>
      </c>
      <c r="O75" cm="1">
        <f t="array" ref="O75">IFERROR(AVERAGE(IF((ContinuousStatsTable[GroupByKey]=ContinuousStatsTable[[#This Row],[GroupByKey]]),(ContinuousStatsTable[GroupByKey]=ContinuousStatsTable[[#This Row],[GroupByKey]])*ContinuousStatsTable[Average])),0)</f>
        <v>1</v>
      </c>
      <c r="P7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cm="1">
        <f t="array" ref="S75">MIN(IF((ContinuousStatsTable[GroupByKey]=ContinuousStatsTable[[#This Row],[GroupByKey]]),(ContinuousStatsTable[GroupByKey]=ContinuousStatsTable[[#This Row],[GroupByKey]])*ContinuousStatsTable[Average]))</f>
        <v>1</v>
      </c>
      <c r="T75" cm="1">
        <f t="array" ref="T75">MAX(IF((ContinuousStatsTable[GroupByKey]=ContinuousStatsTable[[#This Row],[GroupByKey]]),(ContinuousStatsTable[GroupByKey]=ContinuousStatsTable[[#This Row],[GroupByKey]])*ContinuousStatsTable[Average]))</f>
        <v>1</v>
      </c>
      <c r="U75">
        <f>IF((ContinuousStatsTable[[#This Row],[RepsRequested]]&gt;1),ContinuousStatsTable[[#This Row],[HalfWidth]],ContinuousStatsTable[[#This Row],[BatchMeansHalfWidth]])</f>
        <v>0</v>
      </c>
    </row>
    <row r="76" spans="1:21" x14ac:dyDescent="0.25">
      <c r="A76" t="s">
        <v>67</v>
      </c>
      <c r="B76" t="s">
        <v>69</v>
      </c>
      <c r="C76">
        <v>3</v>
      </c>
      <c r="D76" t="s">
        <v>84</v>
      </c>
      <c r="E76" t="s">
        <v>101</v>
      </c>
      <c r="F76" t="s">
        <v>72</v>
      </c>
      <c r="G76">
        <v>0.51031500523829298</v>
      </c>
      <c r="H76">
        <v>3.4370687501294003E-2</v>
      </c>
      <c r="I76">
        <v>0</v>
      </c>
      <c r="J76">
        <v>4</v>
      </c>
      <c r="K76">
        <v>0</v>
      </c>
      <c r="L76">
        <v>0</v>
      </c>
      <c r="M76" t="str">
        <f>ContinuousStatsTable[[#This Row],[ProjectName]]&amp;ContinuousStatsTable[[#This Row],[Name]]&amp;ContinuousStatsTable[[#This Row],[Type]]&amp;ContinuousStatsTable[[#This Row],[Source]]</f>
        <v>Unnamed ProjectPackQNumber WaitingQueue</v>
      </c>
      <c r="N76" cm="1">
        <f t="array" ref="N76">MAX(IF((ProjectInfoTable[ProjectName]=ContinuousStatsTable[[#This Row],[ProjectName]]),(ProjectInfoTable[ProjectName]=ContinuousStatsTable[[#This Row],[ProjectName]])*ProjectInfoTable[NumberOfReplications]))</f>
        <v>10</v>
      </c>
      <c r="O76" cm="1">
        <f t="array" ref="O76">IFERROR(AVERAGE(IF((ContinuousStatsTable[GroupByKey]=ContinuousStatsTable[[#This Row],[GroupByKey]]),(ContinuousStatsTable[GroupByKey]=ContinuousStatsTable[[#This Row],[GroupByKey]])*ContinuousStatsTable[Average])),0)</f>
        <v>0.5830563488318371</v>
      </c>
      <c r="P76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3.7349781067397253E-2</v>
      </c>
      <c r="Q76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2.6718423823055008E-2</v>
      </c>
      <c r="S76" cm="1">
        <f t="array" ref="S76">MIN(IF((ContinuousStatsTable[GroupByKey]=ContinuousStatsTable[[#This Row],[GroupByKey]]),(ContinuousStatsTable[GroupByKey]=ContinuousStatsTable[[#This Row],[GroupByKey]])*ContinuousStatsTable[Average]))</f>
        <v>0.51031500523829298</v>
      </c>
      <c r="T76" cm="1">
        <f t="array" ref="T76">MAX(IF((ContinuousStatsTable[GroupByKey]=ContinuousStatsTable[[#This Row],[GroupByKey]]),(ContinuousStatsTable[GroupByKey]=ContinuousStatsTable[[#This Row],[GroupByKey]])*ContinuousStatsTable[Average]))</f>
        <v>0.63800950130876</v>
      </c>
      <c r="U76">
        <f>IF((ContinuousStatsTable[[#This Row],[RepsRequested]]&gt;1),ContinuousStatsTable[[#This Row],[HalfWidth]],ContinuousStatsTable[[#This Row],[BatchMeansHalfWidth]])</f>
        <v>2.6718423823055008E-2</v>
      </c>
    </row>
    <row r="77" spans="1:21" x14ac:dyDescent="0.25">
      <c r="A77" t="s">
        <v>67</v>
      </c>
      <c r="B77" t="s">
        <v>69</v>
      </c>
      <c r="C77">
        <v>3</v>
      </c>
      <c r="D77" t="s">
        <v>85</v>
      </c>
      <c r="E77" t="s">
        <v>101</v>
      </c>
      <c r="F77" t="s">
        <v>72</v>
      </c>
      <c r="G77">
        <v>1.4661618233928799E-2</v>
      </c>
      <c r="H77">
        <v>3E+20</v>
      </c>
      <c r="I77">
        <v>0</v>
      </c>
      <c r="J77">
        <v>1</v>
      </c>
      <c r="K77">
        <v>0</v>
      </c>
      <c r="L77">
        <v>0</v>
      </c>
      <c r="M77" t="str">
        <f>ContinuousStatsTable[[#This Row],[ProjectName]]&amp;ContinuousStatsTable[[#This Row],[Name]]&amp;ContinuousStatsTable[[#This Row],[Type]]&amp;ContinuousStatsTable[[#This Row],[Source]]</f>
        <v>Unnamed ProjectPackReqQNumber WaitingQueue</v>
      </c>
      <c r="N77" cm="1">
        <f t="array" ref="N77">MAX(IF((ProjectInfoTable[ProjectName]=ContinuousStatsTable[[#This Row],[ProjectName]]),(ProjectInfoTable[ProjectName]=ContinuousStatsTable[[#This Row],[ProjectName]])*ProjectInfoTable[NumberOfReplications]))</f>
        <v>10</v>
      </c>
      <c r="O77" cm="1">
        <f t="array" ref="O77">IFERROR(AVERAGE(IF((ContinuousStatsTable[GroupByKey]=ContinuousStatsTable[[#This Row],[GroupByKey]]),(ContinuousStatsTable[GroupByKey]=ContinuousStatsTable[[#This Row],[GroupByKey]])*ContinuousStatsTable[Average])),0)</f>
        <v>1.5083245089254998E-2</v>
      </c>
      <c r="P77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5.836712228493759E-4</v>
      </c>
      <c r="Q77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4.1753324008164384E-4</v>
      </c>
      <c r="S77" cm="1">
        <f t="array" ref="S77">MIN(IF((ContinuousStatsTable[GroupByKey]=ContinuousStatsTable[[#This Row],[GroupByKey]]),(ContinuousStatsTable[GroupByKey]=ContinuousStatsTable[[#This Row],[GroupByKey]])*ContinuousStatsTable[Average]))</f>
        <v>1.41054163109371E-2</v>
      </c>
      <c r="T77" cm="1">
        <f t="array" ref="T77">MAX(IF((ContinuousStatsTable[GroupByKey]=ContinuousStatsTable[[#This Row],[GroupByKey]]),(ContinuousStatsTable[GroupByKey]=ContinuousStatsTable[[#This Row],[GroupByKey]])*ContinuousStatsTable[Average]))</f>
        <v>1.6052913612351699E-2</v>
      </c>
      <c r="U77">
        <f>IF((ContinuousStatsTable[[#This Row],[RepsRequested]]&gt;1),ContinuousStatsTable[[#This Row],[HalfWidth]],ContinuousStatsTable[[#This Row],[BatchMeansHalfWidth]])</f>
        <v>4.1753324008164384E-4</v>
      </c>
    </row>
    <row r="78" spans="1:21" x14ac:dyDescent="0.25">
      <c r="A78" t="s">
        <v>67</v>
      </c>
      <c r="B78" t="s">
        <v>69</v>
      </c>
      <c r="C78">
        <v>3</v>
      </c>
      <c r="D78" t="s">
        <v>86</v>
      </c>
      <c r="E78" t="s">
        <v>101</v>
      </c>
      <c r="F78" t="s">
        <v>72</v>
      </c>
      <c r="G78">
        <v>6.22895872462082E-2</v>
      </c>
      <c r="H78">
        <v>5.00420245179655E-3</v>
      </c>
      <c r="I78">
        <v>0</v>
      </c>
      <c r="J78">
        <v>2</v>
      </c>
      <c r="K78">
        <v>0</v>
      </c>
      <c r="L78">
        <v>0</v>
      </c>
      <c r="M78" t="str">
        <f>ContinuousStatsTable[[#This Row],[ProjectName]]&amp;ContinuousStatsTable[[#This Row],[Name]]&amp;ContinuousStatsTable[[#This Row],[Type]]&amp;ContinuousStatsTable[[#This Row],[Source]]</f>
        <v>Unnamed ProjectPaintQNumber WaitingQueue</v>
      </c>
      <c r="N78" cm="1">
        <f t="array" ref="N78">MAX(IF((ProjectInfoTable[ProjectName]=ContinuousStatsTable[[#This Row],[ProjectName]]),(ProjectInfoTable[ProjectName]=ContinuousStatsTable[[#This Row],[ProjectName]])*ProjectInfoTable[NumberOfReplications]))</f>
        <v>10</v>
      </c>
      <c r="O78" cm="1">
        <f t="array" ref="O78">IFERROR(AVERAGE(IF((ContinuousStatsTable[GroupByKey]=ContinuousStatsTable[[#This Row],[GroupByKey]]),(ContinuousStatsTable[GroupByKey]=ContinuousStatsTable[[#This Row],[GroupByKey]])*ContinuousStatsTable[Average])),0)</f>
        <v>6.2655374167183184E-2</v>
      </c>
      <c r="P78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1.297076259729802E-3</v>
      </c>
      <c r="Q78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9.2787245996831338E-4</v>
      </c>
      <c r="S78" cm="1">
        <f t="array" ref="S78">MIN(IF((ContinuousStatsTable[GroupByKey]=ContinuousStatsTable[[#This Row],[GroupByKey]]),(ContinuousStatsTable[GroupByKey]=ContinuousStatsTable[[#This Row],[GroupByKey]])*ContinuousStatsTable[Average]))</f>
        <v>6.05919548276165E-2</v>
      </c>
      <c r="T78" cm="1">
        <f t="array" ref="T78">MAX(IF((ContinuousStatsTable[GroupByKey]=ContinuousStatsTable[[#This Row],[GroupByKey]]),(ContinuousStatsTable[GroupByKey]=ContinuousStatsTable[[#This Row],[GroupByKey]])*ContinuousStatsTable[Average]))</f>
        <v>6.4938397569822504E-2</v>
      </c>
      <c r="U78">
        <f>IF((ContinuousStatsTable[[#This Row],[RepsRequested]]&gt;1),ContinuousStatsTable[[#This Row],[HalfWidth]],ContinuousStatsTable[[#This Row],[BatchMeansHalfWidth]])</f>
        <v>9.2787245996831338E-4</v>
      </c>
    </row>
    <row r="79" spans="1:21" x14ac:dyDescent="0.25">
      <c r="A79" t="s">
        <v>67</v>
      </c>
      <c r="B79" t="s">
        <v>69</v>
      </c>
      <c r="C79">
        <v>3</v>
      </c>
      <c r="D79" t="s">
        <v>87</v>
      </c>
      <c r="E79" t="s">
        <v>101</v>
      </c>
      <c r="F79" t="s">
        <v>72</v>
      </c>
      <c r="G79">
        <v>1.20591366025815E-2</v>
      </c>
      <c r="H79">
        <v>5.95596310749353E-4</v>
      </c>
      <c r="I79">
        <v>0</v>
      </c>
      <c r="J79">
        <v>1</v>
      </c>
      <c r="K79">
        <v>0</v>
      </c>
      <c r="L79">
        <v>0</v>
      </c>
      <c r="M79" t="str">
        <f>ContinuousStatsTable[[#This Row],[ProjectName]]&amp;ContinuousStatsTable[[#This Row],[Name]]&amp;ContinuousStatsTable[[#This Row],[Type]]&amp;ContinuousStatsTable[[#This Row],[Source]]</f>
        <v>Unnamed ProjectPaintReqQNumber WaitingQueue</v>
      </c>
      <c r="N79" cm="1">
        <f t="array" ref="N79">MAX(IF((ProjectInfoTable[ProjectName]=ContinuousStatsTable[[#This Row],[ProjectName]]),(ProjectInfoTable[ProjectName]=ContinuousStatsTable[[#This Row],[ProjectName]])*ProjectInfoTable[NumberOfReplications]))</f>
        <v>10</v>
      </c>
      <c r="O79" cm="1">
        <f t="array" ref="O79">IFERROR(AVERAGE(IF((ContinuousStatsTable[GroupByKey]=ContinuousStatsTable[[#This Row],[GroupByKey]]),(ContinuousStatsTable[GroupByKey]=ContinuousStatsTable[[#This Row],[GroupByKey]])*ContinuousStatsTable[Average])),0)</f>
        <v>1.232491804183645E-2</v>
      </c>
      <c r="P79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4.2846031814523761E-4</v>
      </c>
      <c r="Q79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3.0650204751958381E-4</v>
      </c>
      <c r="S79" cm="1">
        <f t="array" ref="S79">MIN(IF((ContinuousStatsTable[GroupByKey]=ContinuousStatsTable[[#This Row],[GroupByKey]]),(ContinuousStatsTable[GroupByKey]=ContinuousStatsTable[[#This Row],[GroupByKey]])*ContinuousStatsTable[Average]))</f>
        <v>1.1842209288638999E-2</v>
      </c>
      <c r="T79" cm="1">
        <f t="array" ref="T79">MAX(IF((ContinuousStatsTable[GroupByKey]=ContinuousStatsTable[[#This Row],[GroupByKey]]),(ContinuousStatsTable[GroupByKey]=ContinuousStatsTable[[#This Row],[GroupByKey]])*ContinuousStatsTable[Average]))</f>
        <v>1.30420022653657E-2</v>
      </c>
      <c r="U79">
        <f>IF((ContinuousStatsTable[[#This Row],[RepsRequested]]&gt;1),ContinuousStatsTable[[#This Row],[HalfWidth]],ContinuousStatsTable[[#This Row],[BatchMeansHalfWidth]])</f>
        <v>3.0650204751958381E-4</v>
      </c>
    </row>
    <row r="80" spans="1:21" x14ac:dyDescent="0.25">
      <c r="A80" t="s">
        <v>67</v>
      </c>
      <c r="B80" t="s">
        <v>69</v>
      </c>
      <c r="C80">
        <v>3</v>
      </c>
      <c r="D80" t="s">
        <v>109</v>
      </c>
      <c r="E80" t="s">
        <v>105</v>
      </c>
      <c r="F80" t="s">
        <v>106</v>
      </c>
      <c r="G80">
        <v>0.81151215762737705</v>
      </c>
      <c r="H80">
        <v>9.9080165837114997E-3</v>
      </c>
      <c r="I80">
        <v>0</v>
      </c>
      <c r="J80">
        <v>1</v>
      </c>
      <c r="K80">
        <v>1</v>
      </c>
      <c r="L80">
        <v>0</v>
      </c>
      <c r="M80" t="str">
        <f>ContinuousStatsTable[[#This Row],[ProjectName]]&amp;ContinuousStatsTable[[#This Row],[Name]]&amp;ContinuousStatsTable[[#This Row],[Type]]&amp;ContinuousStatsTable[[#This Row],[Source]]</f>
        <v>Unnamed ProjectWORKERInstantaneous UtilizationResource</v>
      </c>
      <c r="N80" cm="1">
        <f t="array" ref="N80">MAX(IF((ProjectInfoTable[ProjectName]=ContinuousStatsTable[[#This Row],[ProjectName]]),(ProjectInfoTable[ProjectName]=ContinuousStatsTable[[#This Row],[ProjectName]])*ProjectInfoTable[NumberOfReplications]))</f>
        <v>10</v>
      </c>
      <c r="O80" cm="1">
        <f t="array" ref="O80">IFERROR(AVERAGE(IF((ContinuousStatsTable[GroupByKey]=ContinuousStatsTable[[#This Row],[GroupByKey]]),(ContinuousStatsTable[GroupByKey]=ContinuousStatsTable[[#This Row],[GroupByKey]])*ContinuousStatsTable[Average])),0)</f>
        <v>0.82030090075893936</v>
      </c>
      <c r="P80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6.9684713894533476E-3</v>
      </c>
      <c r="Q80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4.9849441325044447E-3</v>
      </c>
      <c r="S80" cm="1">
        <f t="array" ref="S80">MIN(IF((ContinuousStatsTable[GroupByKey]=ContinuousStatsTable[[#This Row],[GroupByKey]]),(ContinuousStatsTable[GroupByKey]=ContinuousStatsTable[[#This Row],[GroupByKey]])*ContinuousStatsTable[Average]))</f>
        <v>0.81151215762737705</v>
      </c>
      <c r="T80" cm="1">
        <f t="array" ref="T80">MAX(IF((ContinuousStatsTable[GroupByKey]=ContinuousStatsTable[[#This Row],[GroupByKey]]),(ContinuousStatsTable[GroupByKey]=ContinuousStatsTable[[#This Row],[GroupByKey]])*ContinuousStatsTable[Average]))</f>
        <v>0.832837691284112</v>
      </c>
      <c r="U80">
        <f>IF((ContinuousStatsTable[[#This Row],[RepsRequested]]&gt;1),ContinuousStatsTable[[#This Row],[HalfWidth]],ContinuousStatsTable[[#This Row],[BatchMeansHalfWidth]])</f>
        <v>4.9849441325044447E-3</v>
      </c>
    </row>
    <row r="81" spans="1:21" x14ac:dyDescent="0.25">
      <c r="A81" t="s">
        <v>67</v>
      </c>
      <c r="B81" t="s">
        <v>69</v>
      </c>
      <c r="C81">
        <v>3</v>
      </c>
      <c r="D81" t="s">
        <v>109</v>
      </c>
      <c r="E81" t="s">
        <v>97</v>
      </c>
      <c r="F81" t="s">
        <v>106</v>
      </c>
      <c r="G81">
        <v>0.81151215762737705</v>
      </c>
      <c r="H81">
        <v>9.9080165837114997E-3</v>
      </c>
      <c r="I81">
        <v>0</v>
      </c>
      <c r="J81">
        <v>1</v>
      </c>
      <c r="K81">
        <v>1</v>
      </c>
      <c r="L81">
        <v>0</v>
      </c>
      <c r="M81" t="str">
        <f>ContinuousStatsTable[[#This Row],[ProjectName]]&amp;ContinuousStatsTable[[#This Row],[Name]]&amp;ContinuousStatsTable[[#This Row],[Type]]&amp;ContinuousStatsTable[[#This Row],[Source]]</f>
        <v>Unnamed ProjectWORKERNumber BusyResource</v>
      </c>
      <c r="N81" cm="1">
        <f t="array" ref="N81">MAX(IF((ProjectInfoTable[ProjectName]=ContinuousStatsTable[[#This Row],[ProjectName]]),(ProjectInfoTable[ProjectName]=ContinuousStatsTable[[#This Row],[ProjectName]])*ProjectInfoTable[NumberOfReplications]))</f>
        <v>10</v>
      </c>
      <c r="O81" cm="1">
        <f t="array" ref="O81">IFERROR(AVERAGE(IF((ContinuousStatsTable[GroupByKey]=ContinuousStatsTable[[#This Row],[GroupByKey]]),(ContinuousStatsTable[GroupByKey]=ContinuousStatsTable[[#This Row],[GroupByKey]])*ContinuousStatsTable[Average])),0)</f>
        <v>0.82030090075893936</v>
      </c>
      <c r="P81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6.9684713894533476E-3</v>
      </c>
      <c r="Q81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4.9849441325044447E-3</v>
      </c>
      <c r="S81" cm="1">
        <f t="array" ref="S81">MIN(IF((ContinuousStatsTable[GroupByKey]=ContinuousStatsTable[[#This Row],[GroupByKey]]),(ContinuousStatsTable[GroupByKey]=ContinuousStatsTable[[#This Row],[GroupByKey]])*ContinuousStatsTable[Average]))</f>
        <v>0.81151215762737705</v>
      </c>
      <c r="T81" cm="1">
        <f t="array" ref="T81">MAX(IF((ContinuousStatsTable[GroupByKey]=ContinuousStatsTable[[#This Row],[GroupByKey]]),(ContinuousStatsTable[GroupByKey]=ContinuousStatsTable[[#This Row],[GroupByKey]])*ContinuousStatsTable[Average]))</f>
        <v>0.832837691284112</v>
      </c>
      <c r="U81">
        <f>IF((ContinuousStatsTable[[#This Row],[RepsRequested]]&gt;1),ContinuousStatsTable[[#This Row],[HalfWidth]],ContinuousStatsTable[[#This Row],[BatchMeansHalfWidth]])</f>
        <v>4.9849441325044447E-3</v>
      </c>
    </row>
    <row r="82" spans="1:21" x14ac:dyDescent="0.25">
      <c r="A82" t="s">
        <v>67</v>
      </c>
      <c r="B82" t="s">
        <v>69</v>
      </c>
      <c r="C82">
        <v>3</v>
      </c>
      <c r="D82" t="s">
        <v>109</v>
      </c>
      <c r="E82" t="s">
        <v>99</v>
      </c>
      <c r="F82" t="s">
        <v>106</v>
      </c>
      <c r="G82">
        <v>1</v>
      </c>
      <c r="H82">
        <v>2E+20</v>
      </c>
      <c r="I82">
        <v>1</v>
      </c>
      <c r="J82">
        <v>1</v>
      </c>
      <c r="K82">
        <v>1</v>
      </c>
      <c r="L82">
        <v>0</v>
      </c>
      <c r="M82" t="str">
        <f>ContinuousStatsTable[[#This Row],[ProjectName]]&amp;ContinuousStatsTable[[#This Row],[Name]]&amp;ContinuousStatsTable[[#This Row],[Type]]&amp;ContinuousStatsTable[[#This Row],[Source]]</f>
        <v>Unnamed ProjectWORKERNumber ScheduledResource</v>
      </c>
      <c r="N82" cm="1">
        <f t="array" ref="N82">MAX(IF((ProjectInfoTable[ProjectName]=ContinuousStatsTable[[#This Row],[ProjectName]]),(ProjectInfoTable[ProjectName]=ContinuousStatsTable[[#This Row],[ProjectName]])*ProjectInfoTable[NumberOfReplications]))</f>
        <v>10</v>
      </c>
      <c r="O82" cm="1">
        <f t="array" ref="O82">IFERROR(AVERAGE(IF((ContinuousStatsTable[GroupByKey]=ContinuousStatsTable[[#This Row],[GroupByKey]]),(ContinuousStatsTable[GroupByKey]=ContinuousStatsTable[[#This Row],[GroupByKey]])*ContinuousStatsTable[Average])),0)</f>
        <v>1</v>
      </c>
      <c r="P82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0</v>
      </c>
      <c r="Q82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2" cm="1">
        <f t="array" ref="S82">MIN(IF((ContinuousStatsTable[GroupByKey]=ContinuousStatsTable[[#This Row],[GroupByKey]]),(ContinuousStatsTable[GroupByKey]=ContinuousStatsTable[[#This Row],[GroupByKey]])*ContinuousStatsTable[Average]))</f>
        <v>1</v>
      </c>
      <c r="T82" cm="1">
        <f t="array" ref="T82">MAX(IF((ContinuousStatsTable[GroupByKey]=ContinuousStatsTable[[#This Row],[GroupByKey]]),(ContinuousStatsTable[GroupByKey]=ContinuousStatsTable[[#This Row],[GroupByKey]])*ContinuousStatsTable[Average]))</f>
        <v>1</v>
      </c>
      <c r="U82">
        <f>IF((ContinuousStatsTable[[#This Row],[RepsRequested]]&gt;1),ContinuousStatsTable[[#This Row],[HalfWidth]],ContinuousStatsTable[[#This Row],[BatchMeansHalfWidth]])</f>
        <v>0</v>
      </c>
    </row>
    <row r="83" spans="1:21" x14ac:dyDescent="0.25">
      <c r="A83" t="s">
        <v>67</v>
      </c>
      <c r="B83" t="s">
        <v>69</v>
      </c>
      <c r="C83">
        <v>3</v>
      </c>
      <c r="D83" t="s">
        <v>94</v>
      </c>
      <c r="E83" t="s">
        <v>101</v>
      </c>
      <c r="F83" t="s">
        <v>72</v>
      </c>
      <c r="G83">
        <v>1.6808414073062801</v>
      </c>
      <c r="H83">
        <v>0.167470382709382</v>
      </c>
      <c r="I83">
        <v>0</v>
      </c>
      <c r="J83">
        <v>17</v>
      </c>
      <c r="K83">
        <v>3</v>
      </c>
      <c r="L83">
        <v>0</v>
      </c>
      <c r="M83" t="str">
        <f>ContinuousStatsTable[[#This Row],[ProjectName]]&amp;ContinuousStatsTable[[#This Row],[Name]]&amp;ContinuousStatsTable[[#This Row],[Type]]&amp;ContinuousStatsTable[[#This Row],[Source]]</f>
        <v>Unnamed ProjectWorkStationQNumber WaitingQueue</v>
      </c>
      <c r="N83" cm="1">
        <f t="array" ref="N83">MAX(IF((ProjectInfoTable[ProjectName]=ContinuousStatsTable[[#This Row],[ProjectName]]),(ProjectInfoTable[ProjectName]=ContinuousStatsTable[[#This Row],[ProjectName]])*ProjectInfoTable[NumberOfReplications]))</f>
        <v>10</v>
      </c>
      <c r="O83" cm="1">
        <f t="array" ref="O83">IFERROR(AVERAGE(IF((ContinuousStatsTable[GroupByKey]=ContinuousStatsTable[[#This Row],[GroupByKey]]),(ContinuousStatsTable[GroupByKey]=ContinuousStatsTable[[#This Row],[GroupByKey]])*ContinuousStatsTable[Average])),0)</f>
        <v>1.7984099951452888</v>
      </c>
      <c r="P83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9.41481017902569E-2</v>
      </c>
      <c r="Q83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6.7349494799689366E-2</v>
      </c>
      <c r="S83" cm="1">
        <f t="array" ref="S83">MIN(IF((ContinuousStatsTable[GroupByKey]=ContinuousStatsTable[[#This Row],[GroupByKey]]),(ContinuousStatsTable[GroupByKey]=ContinuousStatsTable[[#This Row],[GroupByKey]])*ContinuousStatsTable[Average]))</f>
        <v>1.6808414073062801</v>
      </c>
      <c r="T83" cm="1">
        <f t="array" ref="T83">MAX(IF((ContinuousStatsTable[GroupByKey]=ContinuousStatsTable[[#This Row],[GroupByKey]]),(ContinuousStatsTable[GroupByKey]=ContinuousStatsTable[[#This Row],[GroupByKey]])*ContinuousStatsTable[Average]))</f>
        <v>1.96303981301246</v>
      </c>
      <c r="U83">
        <f>IF((ContinuousStatsTable[[#This Row],[RepsRequested]]&gt;1),ContinuousStatsTable[[#This Row],[HalfWidth]],ContinuousStatsTable[[#This Row],[BatchMeansHalfWidth]])</f>
        <v>6.7349494799689366E-2</v>
      </c>
    </row>
    <row r="84" spans="1:21" x14ac:dyDescent="0.25">
      <c r="A84" t="s">
        <v>67</v>
      </c>
      <c r="B84" t="s">
        <v>69</v>
      </c>
      <c r="C84">
        <v>3</v>
      </c>
      <c r="D84" t="s">
        <v>95</v>
      </c>
      <c r="E84" t="s">
        <v>101</v>
      </c>
      <c r="F84" t="s">
        <v>72</v>
      </c>
      <c r="G84">
        <v>1.2232643269307701E-2</v>
      </c>
      <c r="H84">
        <v>7.4276068551014504E-4</v>
      </c>
      <c r="I84">
        <v>0</v>
      </c>
      <c r="J84">
        <v>1</v>
      </c>
      <c r="K84">
        <v>0</v>
      </c>
      <c r="L84">
        <v>0</v>
      </c>
      <c r="M84" t="str">
        <f>ContinuousStatsTable[[#This Row],[ProjectName]]&amp;ContinuousStatsTable[[#This Row],[Name]]&amp;ContinuousStatsTable[[#This Row],[Type]]&amp;ContinuousStatsTable[[#This Row],[Source]]</f>
        <v>Unnamed ProjectWorkStationReqQNumber WaitingQueue</v>
      </c>
      <c r="N84" cm="1">
        <f t="array" ref="N84">MAX(IF((ProjectInfoTable[ProjectName]=ContinuousStatsTable[[#This Row],[ProjectName]]),(ProjectInfoTable[ProjectName]=ContinuousStatsTable[[#This Row],[ProjectName]])*ProjectInfoTable[NumberOfReplications]))</f>
        <v>10</v>
      </c>
      <c r="O84" cm="1">
        <f t="array" ref="O84">IFERROR(AVERAGE(IF((ContinuousStatsTable[GroupByKey]=ContinuousStatsTable[[#This Row],[GroupByKey]]),(ContinuousStatsTable[GroupByKey]=ContinuousStatsTable[[#This Row],[GroupByKey]])*ContinuousStatsTable[Average])),0)</f>
        <v>1.2897450081583859E-2</v>
      </c>
      <c r="P84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4.2374090710035878E-4</v>
      </c>
      <c r="Q84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3.0312598423651549E-4</v>
      </c>
      <c r="S84" cm="1">
        <f t="array" ref="S84">MIN(IF((ContinuousStatsTable[GroupByKey]=ContinuousStatsTable[[#This Row],[GroupByKey]]),(ContinuousStatsTable[GroupByKey]=ContinuousStatsTable[[#This Row],[GroupByKey]])*ContinuousStatsTable[Average]))</f>
        <v>1.2232643269307701E-2</v>
      </c>
      <c r="T84" cm="1">
        <f t="array" ref="T84">MAX(IF((ContinuousStatsTable[GroupByKey]=ContinuousStatsTable[[#This Row],[GroupByKey]]),(ContinuousStatsTable[GroupByKey]=ContinuousStatsTable[[#This Row],[GroupByKey]])*ContinuousStatsTable[Average]))</f>
        <v>1.34073753437328E-2</v>
      </c>
      <c r="U84">
        <f>IF((ContinuousStatsTable[[#This Row],[RepsRequested]]&gt;1),ContinuousStatsTable[[#This Row],[HalfWidth]],ContinuousStatsTable[[#This Row],[BatchMeansHalfWidth]])</f>
        <v>3.0312598423651549E-4</v>
      </c>
    </row>
    <row r="85" spans="1:21" x14ac:dyDescent="0.25">
      <c r="A85" t="s">
        <v>67</v>
      </c>
      <c r="B85" t="s">
        <v>69</v>
      </c>
      <c r="C85">
        <v>3</v>
      </c>
      <c r="D85" t="s">
        <v>110</v>
      </c>
      <c r="E85" t="s">
        <v>111</v>
      </c>
      <c r="F85" t="s">
        <v>90</v>
      </c>
      <c r="G85">
        <v>0.66877542384053201</v>
      </c>
      <c r="H85">
        <v>1.18784879418725E-2</v>
      </c>
      <c r="I85">
        <v>0</v>
      </c>
      <c r="J85">
        <v>7</v>
      </c>
      <c r="K85">
        <v>0</v>
      </c>
      <c r="L85">
        <v>0</v>
      </c>
      <c r="M85" t="str">
        <f>ContinuousStatsTable[[#This Row],[ProjectName]]&amp;ContinuousStatsTable[[#This Row],[Name]]&amp;ContinuousStatsTable[[#This Row],[Type]]&amp;ContinuousStatsTable[[#This Row],[Source]]</f>
        <v>Unnamed ProjectvNumWaitingRequestsVariableUser Specified</v>
      </c>
      <c r="N85" cm="1">
        <f t="array" ref="N85">MAX(IF((ProjectInfoTable[ProjectName]=ContinuousStatsTable[[#This Row],[ProjectName]]),(ProjectInfoTable[ProjectName]=ContinuousStatsTable[[#This Row],[ProjectName]])*ProjectInfoTable[NumberOfReplications]))</f>
        <v>10</v>
      </c>
      <c r="O85" cm="1">
        <f t="array" ref="O85">IFERROR(AVERAGE(IF((ContinuousStatsTable[GroupByKey]=ContinuousStatsTable[[#This Row],[GroupByKey]]),(ContinuousStatsTable[GroupByKey]=ContinuousStatsTable[[#This Row],[GroupByKey]])*ContinuousStatsTable[Average])),0)</f>
        <v>0.67697821611736619</v>
      </c>
      <c r="P8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6.3714899668086428E-3</v>
      </c>
      <c r="Q8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4.5578893490793634E-3</v>
      </c>
      <c r="S85" cm="1">
        <f t="array" ref="S85">MIN(IF((ContinuousStatsTable[GroupByKey]=ContinuousStatsTable[[#This Row],[GroupByKey]]),(ContinuousStatsTable[GroupByKey]=ContinuousStatsTable[[#This Row],[GroupByKey]])*ContinuousStatsTable[Average]))</f>
        <v>0.66877542384053201</v>
      </c>
      <c r="T85" cm="1">
        <f t="array" ref="T85">MAX(IF((ContinuousStatsTable[GroupByKey]=ContinuousStatsTable[[#This Row],[GroupByKey]]),(ContinuousStatsTable[GroupByKey]=ContinuousStatsTable[[#This Row],[GroupByKey]])*ContinuousStatsTable[Average]))</f>
        <v>0.69059318471793496</v>
      </c>
      <c r="U85">
        <f>IF((ContinuousStatsTable[[#This Row],[RepsRequested]]&gt;1),ContinuousStatsTable[[#This Row],[HalfWidth]],ContinuousStatsTable[[#This Row],[BatchMeansHalfWidth]])</f>
        <v>4.5578893490793634E-3</v>
      </c>
    </row>
    <row r="86" spans="1:21" x14ac:dyDescent="0.25">
      <c r="A86" t="s">
        <v>67</v>
      </c>
      <c r="B86" t="s">
        <v>69</v>
      </c>
      <c r="C86">
        <v>4</v>
      </c>
      <c r="D86" t="s">
        <v>96</v>
      </c>
      <c r="E86" t="s">
        <v>97</v>
      </c>
      <c r="F86" t="s">
        <v>98</v>
      </c>
      <c r="G86">
        <v>2.08892452747873</v>
      </c>
      <c r="H86">
        <v>8.4145591233374794E-3</v>
      </c>
      <c r="I86">
        <v>0</v>
      </c>
      <c r="J86">
        <v>3</v>
      </c>
      <c r="K86">
        <v>3</v>
      </c>
      <c r="L86">
        <v>0</v>
      </c>
      <c r="M86" t="str">
        <f>ContinuousStatsTable[[#This Row],[ProjectName]]&amp;ContinuousStatsTable[[#This Row],[Name]]&amp;ContinuousStatsTable[[#This Row],[Type]]&amp;ContinuousStatsTable[[#This Row],[Source]]</f>
        <v>Unnamed ProjectAGVNumber BusyTransporter</v>
      </c>
      <c r="N86" cm="1">
        <f t="array" ref="N86">MAX(IF((ProjectInfoTable[ProjectName]=ContinuousStatsTable[[#This Row],[ProjectName]]),(ProjectInfoTable[ProjectName]=ContinuousStatsTable[[#This Row],[ProjectName]])*ProjectInfoTable[NumberOfReplications]))</f>
        <v>10</v>
      </c>
      <c r="O86" cm="1">
        <f t="array" ref="O86">IFERROR(AVERAGE(IF((ContinuousStatsTable[GroupByKey]=ContinuousStatsTable[[#This Row],[GroupByKey]]),(ContinuousStatsTable[GroupByKey]=ContinuousStatsTable[[#This Row],[GroupByKey]])*ContinuousStatsTable[Average])),0)</f>
        <v>2.078872627125893</v>
      </c>
      <c r="P86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5.2787009755182E-3</v>
      </c>
      <c r="Q86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3.7761551973910287E-3</v>
      </c>
      <c r="S86" cm="1">
        <f t="array" ref="S86">MIN(IF((ContinuousStatsTable[GroupByKey]=ContinuousStatsTable[[#This Row],[GroupByKey]]),(ContinuousStatsTable[GroupByKey]=ContinuousStatsTable[[#This Row],[GroupByKey]])*ContinuousStatsTable[Average]))</f>
        <v>2.07228794584704</v>
      </c>
      <c r="T86" cm="1">
        <f t="array" ref="T86">MAX(IF((ContinuousStatsTable[GroupByKey]=ContinuousStatsTable[[#This Row],[GroupByKey]]),(ContinuousStatsTable[GroupByKey]=ContinuousStatsTable[[#This Row],[GroupByKey]])*ContinuousStatsTable[Average]))</f>
        <v>2.08892452747873</v>
      </c>
      <c r="U86">
        <f>IF((ContinuousStatsTable[[#This Row],[RepsRequested]]&gt;1),ContinuousStatsTable[[#This Row],[HalfWidth]],ContinuousStatsTable[[#This Row],[BatchMeansHalfWidth]])</f>
        <v>3.7761551973910287E-3</v>
      </c>
    </row>
    <row r="87" spans="1:21" x14ac:dyDescent="0.25">
      <c r="A87" t="s">
        <v>67</v>
      </c>
      <c r="B87" t="s">
        <v>69</v>
      </c>
      <c r="C87">
        <v>4</v>
      </c>
      <c r="D87" t="s">
        <v>96</v>
      </c>
      <c r="E87" t="s">
        <v>99</v>
      </c>
      <c r="F87" t="s">
        <v>98</v>
      </c>
      <c r="G87">
        <v>3</v>
      </c>
      <c r="H87">
        <v>2E+20</v>
      </c>
      <c r="I87">
        <v>3</v>
      </c>
      <c r="J87">
        <v>3</v>
      </c>
      <c r="K87">
        <v>3</v>
      </c>
      <c r="L87">
        <v>0</v>
      </c>
      <c r="M87" t="str">
        <f>ContinuousStatsTable[[#This Row],[ProjectName]]&amp;ContinuousStatsTable[[#This Row],[Name]]&amp;ContinuousStatsTable[[#This Row],[Type]]&amp;ContinuousStatsTable[[#This Row],[Source]]</f>
        <v>Unnamed ProjectAGVNumber ScheduledTransporter</v>
      </c>
      <c r="N87" cm="1">
        <f t="array" ref="N87">MAX(IF((ProjectInfoTable[ProjectName]=ContinuousStatsTable[[#This Row],[ProjectName]]),(ProjectInfoTable[ProjectName]=ContinuousStatsTable[[#This Row],[ProjectName]])*ProjectInfoTable[NumberOfReplications]))</f>
        <v>10</v>
      </c>
      <c r="O87" cm="1">
        <f t="array" ref="O87">IFERROR(AVERAGE(IF((ContinuousStatsTable[GroupByKey]=ContinuousStatsTable[[#This Row],[GroupByKey]]),(ContinuousStatsTable[GroupByKey]=ContinuousStatsTable[[#This Row],[GroupByKey]])*ContinuousStatsTable[Average])),0)</f>
        <v>3</v>
      </c>
      <c r="P87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0</v>
      </c>
      <c r="Q87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7" cm="1">
        <f t="array" ref="S87">MIN(IF((ContinuousStatsTable[GroupByKey]=ContinuousStatsTable[[#This Row],[GroupByKey]]),(ContinuousStatsTable[GroupByKey]=ContinuousStatsTable[[#This Row],[GroupByKey]])*ContinuousStatsTable[Average]))</f>
        <v>3</v>
      </c>
      <c r="T87" cm="1">
        <f t="array" ref="T87">MAX(IF((ContinuousStatsTable[GroupByKey]=ContinuousStatsTable[[#This Row],[GroupByKey]]),(ContinuousStatsTable[GroupByKey]=ContinuousStatsTable[[#This Row],[GroupByKey]])*ContinuousStatsTable[Average]))</f>
        <v>3</v>
      </c>
      <c r="U87">
        <f>IF((ContinuousStatsTable[[#This Row],[RepsRequested]]&gt;1),ContinuousStatsTable[[#This Row],[HalfWidth]],ContinuousStatsTable[[#This Row],[BatchMeansHalfWidth]])</f>
        <v>0</v>
      </c>
    </row>
    <row r="88" spans="1:21" x14ac:dyDescent="0.25">
      <c r="A88" t="s">
        <v>67</v>
      </c>
      <c r="B88" t="s">
        <v>69</v>
      </c>
      <c r="C88">
        <v>4</v>
      </c>
      <c r="D88" t="s">
        <v>96</v>
      </c>
      <c r="E88" t="s">
        <v>100</v>
      </c>
      <c r="F88" t="s">
        <v>98</v>
      </c>
      <c r="G88">
        <v>0.69630817582623705</v>
      </c>
      <c r="H88">
        <v>2.8048530411124801E-3</v>
      </c>
      <c r="I88">
        <v>0</v>
      </c>
      <c r="J88">
        <v>1</v>
      </c>
      <c r="K88">
        <v>1</v>
      </c>
      <c r="L88">
        <v>0</v>
      </c>
      <c r="M88" t="str">
        <f>ContinuousStatsTable[[#This Row],[ProjectName]]&amp;ContinuousStatsTable[[#This Row],[Name]]&amp;ContinuousStatsTable[[#This Row],[Type]]&amp;ContinuousStatsTable[[#This Row],[Source]]</f>
        <v>Unnamed ProjectAGVUtilizationTransporter</v>
      </c>
      <c r="N88" cm="1">
        <f t="array" ref="N88">MAX(IF((ProjectInfoTable[ProjectName]=ContinuousStatsTable[[#This Row],[ProjectName]]),(ProjectInfoTable[ProjectName]=ContinuousStatsTable[[#This Row],[ProjectName]])*ProjectInfoTable[NumberOfReplications]))</f>
        <v>10</v>
      </c>
      <c r="O88" cm="1">
        <f t="array" ref="O88">IFERROR(AVERAGE(IF((ContinuousStatsTable[GroupByKey]=ContinuousStatsTable[[#This Row],[GroupByKey]]),(ContinuousStatsTable[GroupByKey]=ContinuousStatsTable[[#This Row],[GroupByKey]])*ContinuousStatsTable[Average])),0)</f>
        <v>0.69295754237529772</v>
      </c>
      <c r="P88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1.759566991837834E-3</v>
      </c>
      <c r="Q88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1.2587183991292225E-3</v>
      </c>
      <c r="S88" cm="1">
        <f t="array" ref="S88">MIN(IF((ContinuousStatsTable[GroupByKey]=ContinuousStatsTable[[#This Row],[GroupByKey]]),(ContinuousStatsTable[GroupByKey]=ContinuousStatsTable[[#This Row],[GroupByKey]])*ContinuousStatsTable[Average]))</f>
        <v>0.69076264861567704</v>
      </c>
      <c r="T88" cm="1">
        <f t="array" ref="T88">MAX(IF((ContinuousStatsTable[GroupByKey]=ContinuousStatsTable[[#This Row],[GroupByKey]]),(ContinuousStatsTable[GroupByKey]=ContinuousStatsTable[[#This Row],[GroupByKey]])*ContinuousStatsTable[Average]))</f>
        <v>0.69630817582623705</v>
      </c>
      <c r="U88">
        <f>IF((ContinuousStatsTable[[#This Row],[RepsRequested]]&gt;1),ContinuousStatsTable[[#This Row],[HalfWidth]],ContinuousStatsTable[[#This Row],[BatchMeansHalfWidth]])</f>
        <v>1.2587183991292225E-3</v>
      </c>
    </row>
    <row r="89" spans="1:21" x14ac:dyDescent="0.25">
      <c r="A89" t="s">
        <v>67</v>
      </c>
      <c r="B89" t="s">
        <v>69</v>
      </c>
      <c r="C89">
        <v>4</v>
      </c>
      <c r="D89" t="s">
        <v>70</v>
      </c>
      <c r="E89" t="s">
        <v>101</v>
      </c>
      <c r="F89" t="s">
        <v>72</v>
      </c>
      <c r="G89">
        <v>3.3809532279706102E-2</v>
      </c>
      <c r="H89">
        <v>2.6270502429466E-3</v>
      </c>
      <c r="I89">
        <v>0</v>
      </c>
      <c r="J89">
        <v>4</v>
      </c>
      <c r="K89">
        <v>0</v>
      </c>
      <c r="L89">
        <v>0</v>
      </c>
      <c r="M89" t="str">
        <f>ContinuousStatsTable[[#This Row],[ProjectName]]&amp;ContinuousStatsTable[[#This Row],[Name]]&amp;ContinuousStatsTable[[#This Row],[Type]]&amp;ContinuousStatsTable[[#This Row],[Source]]</f>
        <v>Unnamed ProjectEnter Request AGV.QueueNumber WaitingQueue</v>
      </c>
      <c r="N89" cm="1">
        <f t="array" ref="N89">MAX(IF((ProjectInfoTable[ProjectName]=ContinuousStatsTable[[#This Row],[ProjectName]]),(ProjectInfoTable[ProjectName]=ContinuousStatsTable[[#This Row],[ProjectName]])*ProjectInfoTable[NumberOfReplications]))</f>
        <v>10</v>
      </c>
      <c r="O89" cm="1">
        <f t="array" ref="O89">IFERROR(AVERAGE(IF((ContinuousStatsTable[GroupByKey]=ContinuousStatsTable[[#This Row],[GroupByKey]]),(ContinuousStatsTable[GroupByKey]=ContinuousStatsTable[[#This Row],[GroupByKey]])*ContinuousStatsTable[Average])),0)</f>
        <v>3.1035047783347335E-2</v>
      </c>
      <c r="P89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1.214427597616889E-3</v>
      </c>
      <c r="Q89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8.6874916875660508E-4</v>
      </c>
      <c r="S89" cm="1">
        <f t="array" ref="S89">MIN(IF((ContinuousStatsTable[GroupByKey]=ContinuousStatsTable[[#This Row],[GroupByKey]]),(ContinuousStatsTable[GroupByKey]=ContinuousStatsTable[[#This Row],[GroupByKey]])*ContinuousStatsTable[Average]))</f>
        <v>2.9772007867277201E-2</v>
      </c>
      <c r="T89" cm="1">
        <f t="array" ref="T89">MAX(IF((ContinuousStatsTable[GroupByKey]=ContinuousStatsTable[[#This Row],[GroupByKey]]),(ContinuousStatsTable[GroupByKey]=ContinuousStatsTable[[#This Row],[GroupByKey]])*ContinuousStatsTable[Average]))</f>
        <v>3.3809532279706102E-2</v>
      </c>
      <c r="U89">
        <f>IF((ContinuousStatsTable[[#This Row],[RepsRequested]]&gt;1),ContinuousStatsTable[[#This Row],[HalfWidth]],ContinuousStatsTable[[#This Row],[BatchMeansHalfWidth]])</f>
        <v>8.6874916875660508E-4</v>
      </c>
    </row>
    <row r="90" spans="1:21" x14ac:dyDescent="0.25">
      <c r="A90" t="s">
        <v>67</v>
      </c>
      <c r="B90" t="s">
        <v>69</v>
      </c>
      <c r="C90">
        <v>4</v>
      </c>
      <c r="D90" t="s">
        <v>102</v>
      </c>
      <c r="E90" t="s">
        <v>103</v>
      </c>
      <c r="F90" t="s">
        <v>77</v>
      </c>
      <c r="G90">
        <v>0</v>
      </c>
      <c r="H90">
        <v>2E+20</v>
      </c>
      <c r="I90">
        <v>0</v>
      </c>
      <c r="J90">
        <v>1</v>
      </c>
      <c r="K90">
        <v>0</v>
      </c>
      <c r="L90">
        <v>0</v>
      </c>
      <c r="M90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90" cm="1">
        <f t="array" ref="N90">MAX(IF((ProjectInfoTable[ProjectName]=ContinuousStatsTable[[#This Row],[ProjectName]]),(ProjectInfoTable[ProjectName]=ContinuousStatsTable[[#This Row],[ProjectName]])*ProjectInfoTable[NumberOfReplications]))</f>
        <v>10</v>
      </c>
      <c r="O90" cm="1">
        <f t="array" ref="O90">IFERROR(AVERAGE(IF((ContinuousStatsTable[GroupByKey]=ContinuousStatsTable[[#This Row],[GroupByKey]]),(ContinuousStatsTable[GroupByKey]=ContinuousStatsTable[[#This Row],[GroupByKey]])*ContinuousStatsTable[Average])),0)</f>
        <v>0</v>
      </c>
      <c r="P90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0</v>
      </c>
      <c r="Q90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0" cm="1">
        <f t="array" ref="S90">MIN(IF((ContinuousStatsTable[GroupByKey]=ContinuousStatsTable[[#This Row],[GroupByKey]]),(ContinuousStatsTable[GroupByKey]=ContinuousStatsTable[[#This Row],[GroupByKey]])*ContinuousStatsTable[Average]))</f>
        <v>0</v>
      </c>
      <c r="T90" cm="1">
        <f t="array" ref="T90">MAX(IF((ContinuousStatsTable[GroupByKey]=ContinuousStatsTable[[#This Row],[GroupByKey]]),(ContinuousStatsTable[GroupByKey]=ContinuousStatsTable[[#This Row],[GroupByKey]])*ContinuousStatsTable[Average]))</f>
        <v>0</v>
      </c>
      <c r="U90">
        <f>IF((ContinuousStatsTable[[#This Row],[RepsRequested]]&gt;1),ContinuousStatsTable[[#This Row],[HalfWidth]],ContinuousStatsTable[[#This Row],[BatchMeansHalfWidth]])</f>
        <v>0</v>
      </c>
    </row>
    <row r="91" spans="1:21" x14ac:dyDescent="0.25">
      <c r="A91" t="s">
        <v>67</v>
      </c>
      <c r="B91" t="s">
        <v>69</v>
      </c>
      <c r="C91">
        <v>4</v>
      </c>
      <c r="D91" t="s">
        <v>104</v>
      </c>
      <c r="E91" t="s">
        <v>105</v>
      </c>
      <c r="F91" t="s">
        <v>106</v>
      </c>
      <c r="G91">
        <v>0.54003281556404203</v>
      </c>
      <c r="H91">
        <v>1.31441548382734E-2</v>
      </c>
      <c r="I91">
        <v>0</v>
      </c>
      <c r="J91">
        <v>1</v>
      </c>
      <c r="K91">
        <v>1</v>
      </c>
      <c r="L91">
        <v>0</v>
      </c>
      <c r="M91" t="str">
        <f>ContinuousStatsTable[[#This Row],[ProjectName]]&amp;ContinuousStatsTable[[#This Row],[Name]]&amp;ContinuousStatsTable[[#This Row],[Type]]&amp;ContinuousStatsTable[[#This Row],[Source]]</f>
        <v>Unnamed ProjectNEWPAINTERInstantaneous UtilizationResource</v>
      </c>
      <c r="N91" cm="1">
        <f t="array" ref="N91">MAX(IF((ProjectInfoTable[ProjectName]=ContinuousStatsTable[[#This Row],[ProjectName]]),(ProjectInfoTable[ProjectName]=ContinuousStatsTable[[#This Row],[ProjectName]])*ProjectInfoTable[NumberOfReplications]))</f>
        <v>10</v>
      </c>
      <c r="O91" cm="1">
        <f t="array" ref="O91">IFERROR(AVERAGE(IF((ContinuousStatsTable[GroupByKey]=ContinuousStatsTable[[#This Row],[GroupByKey]]),(ContinuousStatsTable[GroupByKey]=ContinuousStatsTable[[#This Row],[GroupByKey]])*ContinuousStatsTable[Average])),0)</f>
        <v>0.52518723279433455</v>
      </c>
      <c r="P91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8.4087502405714581E-3</v>
      </c>
      <c r="Q91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6.0152575551752803E-3</v>
      </c>
      <c r="S91" cm="1">
        <f t="array" ref="S91">MIN(IF((ContinuousStatsTable[GroupByKey]=ContinuousStatsTable[[#This Row],[GroupByKey]]),(ContinuousStatsTable[GroupByKey]=ContinuousStatsTable[[#This Row],[GroupByKey]])*ContinuousStatsTable[Average]))</f>
        <v>0.51150896826018899</v>
      </c>
      <c r="T91" cm="1">
        <f t="array" ref="T91">MAX(IF((ContinuousStatsTable[GroupByKey]=ContinuousStatsTable[[#This Row],[GroupByKey]]),(ContinuousStatsTable[GroupByKey]=ContinuousStatsTable[[#This Row],[GroupByKey]])*ContinuousStatsTable[Average]))</f>
        <v>0.54003281556404203</v>
      </c>
      <c r="U91">
        <f>IF((ContinuousStatsTable[[#This Row],[RepsRequested]]&gt;1),ContinuousStatsTable[[#This Row],[HalfWidth]],ContinuousStatsTable[[#This Row],[BatchMeansHalfWidth]])</f>
        <v>6.0152575551752803E-3</v>
      </c>
    </row>
    <row r="92" spans="1:21" x14ac:dyDescent="0.25">
      <c r="A92" t="s">
        <v>67</v>
      </c>
      <c r="B92" t="s">
        <v>69</v>
      </c>
      <c r="C92">
        <v>4</v>
      </c>
      <c r="D92" t="s">
        <v>104</v>
      </c>
      <c r="E92" t="s">
        <v>97</v>
      </c>
      <c r="F92" t="s">
        <v>106</v>
      </c>
      <c r="G92">
        <v>0.54003281556404203</v>
      </c>
      <c r="H92">
        <v>1.31441548382734E-2</v>
      </c>
      <c r="I92">
        <v>0</v>
      </c>
      <c r="J92">
        <v>1</v>
      </c>
      <c r="K92">
        <v>1</v>
      </c>
      <c r="L92">
        <v>0</v>
      </c>
      <c r="M92" t="str">
        <f>ContinuousStatsTable[[#This Row],[ProjectName]]&amp;ContinuousStatsTable[[#This Row],[Name]]&amp;ContinuousStatsTable[[#This Row],[Type]]&amp;ContinuousStatsTable[[#This Row],[Source]]</f>
        <v>Unnamed ProjectNEWPAINTERNumber BusyResource</v>
      </c>
      <c r="N92" cm="1">
        <f t="array" ref="N92">MAX(IF((ProjectInfoTable[ProjectName]=ContinuousStatsTable[[#This Row],[ProjectName]]),(ProjectInfoTable[ProjectName]=ContinuousStatsTable[[#This Row],[ProjectName]])*ProjectInfoTable[NumberOfReplications]))</f>
        <v>10</v>
      </c>
      <c r="O92" cm="1">
        <f t="array" ref="O92">IFERROR(AVERAGE(IF((ContinuousStatsTable[GroupByKey]=ContinuousStatsTable[[#This Row],[GroupByKey]]),(ContinuousStatsTable[GroupByKey]=ContinuousStatsTable[[#This Row],[GroupByKey]])*ContinuousStatsTable[Average])),0)</f>
        <v>0.52518723279433455</v>
      </c>
      <c r="P92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8.4087502405714581E-3</v>
      </c>
      <c r="Q92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6.0152575551752803E-3</v>
      </c>
      <c r="S92" cm="1">
        <f t="array" ref="S92">MIN(IF((ContinuousStatsTable[GroupByKey]=ContinuousStatsTable[[#This Row],[GroupByKey]]),(ContinuousStatsTable[GroupByKey]=ContinuousStatsTable[[#This Row],[GroupByKey]])*ContinuousStatsTable[Average]))</f>
        <v>0.51150896826018899</v>
      </c>
      <c r="T92" cm="1">
        <f t="array" ref="T92">MAX(IF((ContinuousStatsTable[GroupByKey]=ContinuousStatsTable[[#This Row],[GroupByKey]]),(ContinuousStatsTable[GroupByKey]=ContinuousStatsTable[[#This Row],[GroupByKey]])*ContinuousStatsTable[Average]))</f>
        <v>0.54003281556404203</v>
      </c>
      <c r="U92">
        <f>IF((ContinuousStatsTable[[#This Row],[RepsRequested]]&gt;1),ContinuousStatsTable[[#This Row],[HalfWidth]],ContinuousStatsTable[[#This Row],[BatchMeansHalfWidth]])</f>
        <v>6.0152575551752803E-3</v>
      </c>
    </row>
    <row r="93" spans="1:21" x14ac:dyDescent="0.25">
      <c r="A93" t="s">
        <v>67</v>
      </c>
      <c r="B93" t="s">
        <v>69</v>
      </c>
      <c r="C93">
        <v>4</v>
      </c>
      <c r="D93" t="s">
        <v>104</v>
      </c>
      <c r="E93" t="s">
        <v>99</v>
      </c>
      <c r="F93" t="s">
        <v>106</v>
      </c>
      <c r="G93">
        <v>1</v>
      </c>
      <c r="H93">
        <v>2E+20</v>
      </c>
      <c r="I93">
        <v>1</v>
      </c>
      <c r="J93">
        <v>1</v>
      </c>
      <c r="K93">
        <v>1</v>
      </c>
      <c r="L93">
        <v>0</v>
      </c>
      <c r="M93" t="str">
        <f>ContinuousStatsTable[[#This Row],[ProjectName]]&amp;ContinuousStatsTable[[#This Row],[Name]]&amp;ContinuousStatsTable[[#This Row],[Type]]&amp;ContinuousStatsTable[[#This Row],[Source]]</f>
        <v>Unnamed ProjectNEWPAINTERNumber ScheduledResource</v>
      </c>
      <c r="N93" cm="1">
        <f t="array" ref="N93">MAX(IF((ProjectInfoTable[ProjectName]=ContinuousStatsTable[[#This Row],[ProjectName]]),(ProjectInfoTable[ProjectName]=ContinuousStatsTable[[#This Row],[ProjectName]])*ProjectInfoTable[NumberOfReplications]))</f>
        <v>10</v>
      </c>
      <c r="O93" cm="1">
        <f t="array" ref="O93">IFERROR(AVERAGE(IF((ContinuousStatsTable[GroupByKey]=ContinuousStatsTable[[#This Row],[GroupByKey]]),(ContinuousStatsTable[GroupByKey]=ContinuousStatsTable[[#This Row],[GroupByKey]])*ContinuousStatsTable[Average])),0)</f>
        <v>1</v>
      </c>
      <c r="P93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0</v>
      </c>
      <c r="Q93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3" cm="1">
        <f t="array" ref="S93">MIN(IF((ContinuousStatsTable[GroupByKey]=ContinuousStatsTable[[#This Row],[GroupByKey]]),(ContinuousStatsTable[GroupByKey]=ContinuousStatsTable[[#This Row],[GroupByKey]])*ContinuousStatsTable[Average]))</f>
        <v>1</v>
      </c>
      <c r="T93" cm="1">
        <f t="array" ref="T93">MAX(IF((ContinuousStatsTable[GroupByKey]=ContinuousStatsTable[[#This Row],[GroupByKey]]),(ContinuousStatsTable[GroupByKey]=ContinuousStatsTable[[#This Row],[GroupByKey]])*ContinuousStatsTable[Average]))</f>
        <v>1</v>
      </c>
      <c r="U93">
        <f>IF((ContinuousStatsTable[[#This Row],[RepsRequested]]&gt;1),ContinuousStatsTable[[#This Row],[HalfWidth]],ContinuousStatsTable[[#This Row],[BatchMeansHalfWidth]])</f>
        <v>0</v>
      </c>
    </row>
    <row r="94" spans="1:21" x14ac:dyDescent="0.25">
      <c r="A94" t="s">
        <v>67</v>
      </c>
      <c r="B94" t="s">
        <v>69</v>
      </c>
      <c r="C94">
        <v>4</v>
      </c>
      <c r="D94" t="s">
        <v>73</v>
      </c>
      <c r="E94" t="s">
        <v>101</v>
      </c>
      <c r="F94" t="s">
        <v>72</v>
      </c>
      <c r="G94">
        <v>0.217869952503708</v>
      </c>
      <c r="H94">
        <v>2.1451887005095701E-2</v>
      </c>
      <c r="I94">
        <v>0</v>
      </c>
      <c r="J94">
        <v>7</v>
      </c>
      <c r="K94">
        <v>0</v>
      </c>
      <c r="L94">
        <v>0</v>
      </c>
      <c r="M94" t="str">
        <f>ContinuousStatsTable[[#This Row],[ProjectName]]&amp;ContinuousStatsTable[[#This Row],[Name]]&amp;ContinuousStatsTable[[#This Row],[Type]]&amp;ContinuousStatsTable[[#This Row],[Source]]</f>
        <v>Unnamed ProjectNewPaintQNumber WaitingQueue</v>
      </c>
      <c r="N94" cm="1">
        <f t="array" ref="N94">MAX(IF((ProjectInfoTable[ProjectName]=ContinuousStatsTable[[#This Row],[ProjectName]]),(ProjectInfoTable[ProjectName]=ContinuousStatsTable[[#This Row],[ProjectName]])*ProjectInfoTable[NumberOfReplications]))</f>
        <v>10</v>
      </c>
      <c r="O94" cm="1">
        <f t="array" ref="O94">IFERROR(AVERAGE(IF((ContinuousStatsTable[GroupByKey]=ContinuousStatsTable[[#This Row],[GroupByKey]]),(ContinuousStatsTable[GroupByKey]=ContinuousStatsTable[[#This Row],[GroupByKey]])*ContinuousStatsTable[Average])),0)</f>
        <v>0.19175082727765341</v>
      </c>
      <c r="P94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1.5966644693782381E-2</v>
      </c>
      <c r="Q94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1.1421849546877095E-2</v>
      </c>
      <c r="S94" cm="1">
        <f t="array" ref="S94">MIN(IF((ContinuousStatsTable[GroupByKey]=ContinuousStatsTable[[#This Row],[GroupByKey]]),(ContinuousStatsTable[GroupByKey]=ContinuousStatsTable[[#This Row],[GroupByKey]])*ContinuousStatsTable[Average]))</f>
        <v>0.17015628683515099</v>
      </c>
      <c r="T94" cm="1">
        <f t="array" ref="T94">MAX(IF((ContinuousStatsTable[GroupByKey]=ContinuousStatsTable[[#This Row],[GroupByKey]]),(ContinuousStatsTable[GroupByKey]=ContinuousStatsTable[[#This Row],[GroupByKey]])*ContinuousStatsTable[Average]))</f>
        <v>0.217869952503708</v>
      </c>
      <c r="U94">
        <f>IF((ContinuousStatsTable[[#This Row],[RepsRequested]]&gt;1),ContinuousStatsTable[[#This Row],[HalfWidth]],ContinuousStatsTable[[#This Row],[BatchMeansHalfWidth]])</f>
        <v>1.1421849546877095E-2</v>
      </c>
    </row>
    <row r="95" spans="1:21" x14ac:dyDescent="0.25">
      <c r="A95" t="s">
        <v>67</v>
      </c>
      <c r="B95" t="s">
        <v>69</v>
      </c>
      <c r="C95">
        <v>4</v>
      </c>
      <c r="D95" t="s">
        <v>74</v>
      </c>
      <c r="E95" t="s">
        <v>101</v>
      </c>
      <c r="F95" t="s">
        <v>72</v>
      </c>
      <c r="G95">
        <v>4.8970817656162902E-3</v>
      </c>
      <c r="H95">
        <v>3.7285605198012899E-4</v>
      </c>
      <c r="I95">
        <v>0</v>
      </c>
      <c r="J95">
        <v>1</v>
      </c>
      <c r="K95">
        <v>0</v>
      </c>
      <c r="L95">
        <v>0</v>
      </c>
      <c r="M95" t="str">
        <f>ContinuousStatsTable[[#This Row],[ProjectName]]&amp;ContinuousStatsTable[[#This Row],[Name]]&amp;ContinuousStatsTable[[#This Row],[Type]]&amp;ContinuousStatsTable[[#This Row],[Source]]</f>
        <v>Unnamed ProjectNewPaintReqQNumber WaitingQueue</v>
      </c>
      <c r="N95" cm="1">
        <f t="array" ref="N95">MAX(IF((ProjectInfoTable[ProjectName]=ContinuousStatsTable[[#This Row],[ProjectName]]),(ProjectInfoTable[ProjectName]=ContinuousStatsTable[[#This Row],[ProjectName]])*ProjectInfoTable[NumberOfReplications]))</f>
        <v>10</v>
      </c>
      <c r="O95" cm="1">
        <f t="array" ref="O95">IFERROR(AVERAGE(IF((ContinuousStatsTable[GroupByKey]=ContinuousStatsTable[[#This Row],[GroupByKey]]),(ContinuousStatsTable[GroupByKey]=ContinuousStatsTable[[#This Row],[GroupByKey]])*ContinuousStatsTable[Average])),0)</f>
        <v>4.7461022101932173E-3</v>
      </c>
      <c r="P9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2.0643575159293872E-4</v>
      </c>
      <c r="Q9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1.4767524054125336E-4</v>
      </c>
      <c r="S95" cm="1">
        <f t="array" ref="S95">MIN(IF((ContinuousStatsTable[GroupByKey]=ContinuousStatsTable[[#This Row],[GroupByKey]]),(ContinuousStatsTable[GroupByKey]=ContinuousStatsTable[[#This Row],[GroupByKey]])*ContinuousStatsTable[Average]))</f>
        <v>4.3438456155572196E-3</v>
      </c>
      <c r="T95" cm="1">
        <f t="array" ref="T95">MAX(IF((ContinuousStatsTable[GroupByKey]=ContinuousStatsTable[[#This Row],[GroupByKey]]),(ContinuousStatsTable[GroupByKey]=ContinuousStatsTable[[#This Row],[GroupByKey]])*ContinuousStatsTable[Average]))</f>
        <v>5.0878342070728201E-3</v>
      </c>
      <c r="U95">
        <f>IF((ContinuousStatsTable[[#This Row],[RepsRequested]]&gt;1),ContinuousStatsTable[[#This Row],[HalfWidth]],ContinuousStatsTable[[#This Row],[BatchMeansHalfWidth]])</f>
        <v>1.4767524054125336E-4</v>
      </c>
    </row>
    <row r="96" spans="1:21" x14ac:dyDescent="0.25">
      <c r="A96" t="s">
        <v>67</v>
      </c>
      <c r="B96" t="s">
        <v>69</v>
      </c>
      <c r="C96">
        <v>4</v>
      </c>
      <c r="D96" t="s">
        <v>75</v>
      </c>
      <c r="E96" t="s">
        <v>103</v>
      </c>
      <c r="F96" t="s">
        <v>77</v>
      </c>
      <c r="G96">
        <v>2.6620431560013098</v>
      </c>
      <c r="H96">
        <v>0.110297806852357</v>
      </c>
      <c r="I96">
        <v>0</v>
      </c>
      <c r="J96">
        <v>12</v>
      </c>
      <c r="K96">
        <v>3</v>
      </c>
      <c r="L96">
        <v>0</v>
      </c>
      <c r="M96" t="str">
        <f>ContinuousStatsTable[[#This Row],[ProjectName]]&amp;ContinuousStatsTable[[#This Row],[Name]]&amp;ContinuousStatsTable[[#This Row],[Type]]&amp;ContinuousStatsTable[[#This Row],[Source]]</f>
        <v>Unnamed ProjectNewPartWIPEntity</v>
      </c>
      <c r="N96" cm="1">
        <f t="array" ref="N96">MAX(IF((ProjectInfoTable[ProjectName]=ContinuousStatsTable[[#This Row],[ProjectName]]),(ProjectInfoTable[ProjectName]=ContinuousStatsTable[[#This Row],[ProjectName]])*ProjectInfoTable[NumberOfReplications]))</f>
        <v>10</v>
      </c>
      <c r="O96" cm="1">
        <f t="array" ref="O96">IFERROR(AVERAGE(IF((ContinuousStatsTable[GroupByKey]=ContinuousStatsTable[[#This Row],[GroupByKey]]),(ContinuousStatsTable[GroupByKey]=ContinuousStatsTable[[#This Row],[GroupByKey]])*ContinuousStatsTable[Average])),0)</f>
        <v>2.5498900061729541</v>
      </c>
      <c r="P96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7.472159430415927E-2</v>
      </c>
      <c r="Q96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5.3452608510618609E-2</v>
      </c>
      <c r="S96" cm="1">
        <f t="array" ref="S96">MIN(IF((ContinuousStatsTable[GroupByKey]=ContinuousStatsTable[[#This Row],[GroupByKey]]),(ContinuousStatsTable[GroupByKey]=ContinuousStatsTable[[#This Row],[GroupByKey]])*ContinuousStatsTable[Average]))</f>
        <v>2.4192292508998099</v>
      </c>
      <c r="T96" cm="1">
        <f t="array" ref="T96">MAX(IF((ContinuousStatsTable[GroupByKey]=ContinuousStatsTable[[#This Row],[GroupByKey]]),(ContinuousStatsTable[GroupByKey]=ContinuousStatsTable[[#This Row],[GroupByKey]])*ContinuousStatsTable[Average]))</f>
        <v>2.6620431560013098</v>
      </c>
      <c r="U96">
        <f>IF((ContinuousStatsTable[[#This Row],[RepsRequested]]&gt;1),ContinuousStatsTable[[#This Row],[HalfWidth]],ContinuousStatsTable[[#This Row],[BatchMeansHalfWidth]])</f>
        <v>5.3452608510618609E-2</v>
      </c>
    </row>
    <row r="97" spans="1:21" x14ac:dyDescent="0.25">
      <c r="A97" t="s">
        <v>67</v>
      </c>
      <c r="B97" t="s">
        <v>69</v>
      </c>
      <c r="C97">
        <v>4</v>
      </c>
      <c r="D97" t="s">
        <v>83</v>
      </c>
      <c r="E97" t="s">
        <v>103</v>
      </c>
      <c r="F97" t="s">
        <v>77</v>
      </c>
      <c r="G97">
        <v>5.1165789280388001</v>
      </c>
      <c r="H97">
        <v>0.20368015516591301</v>
      </c>
      <c r="I97">
        <v>0</v>
      </c>
      <c r="J97">
        <v>23</v>
      </c>
      <c r="K97">
        <v>6</v>
      </c>
      <c r="L97">
        <v>0</v>
      </c>
      <c r="M97" t="str">
        <f>ContinuousStatsTable[[#This Row],[ProjectName]]&amp;ContinuousStatsTable[[#This Row],[Name]]&amp;ContinuousStatsTable[[#This Row],[Type]]&amp;ContinuousStatsTable[[#This Row],[Source]]</f>
        <v>Unnamed ProjectOldPartWIPEntity</v>
      </c>
      <c r="N97" cm="1">
        <f t="array" ref="N97">MAX(IF((ProjectInfoTable[ProjectName]=ContinuousStatsTable[[#This Row],[ProjectName]]),(ProjectInfoTable[ProjectName]=ContinuousStatsTable[[#This Row],[ProjectName]])*ProjectInfoTable[NumberOfReplications]))</f>
        <v>10</v>
      </c>
      <c r="O97" cm="1">
        <f t="array" ref="O97">IFERROR(AVERAGE(IF((ContinuousStatsTable[GroupByKey]=ContinuousStatsTable[[#This Row],[GroupByKey]]),(ContinuousStatsTable[GroupByKey]=ContinuousStatsTable[[#This Row],[GroupByKey]])*ContinuousStatsTable[Average])),0)</f>
        <v>4.9513834264802963</v>
      </c>
      <c r="P97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0.10244397191297382</v>
      </c>
      <c r="Q97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7.3284002783010616E-2</v>
      </c>
      <c r="S97" cm="1">
        <f t="array" ref="S97">MIN(IF((ContinuousStatsTable[GroupByKey]=ContinuousStatsTable[[#This Row],[GroupByKey]]),(ContinuousStatsTable[GroupByKey]=ContinuousStatsTable[[#This Row],[GroupByKey]])*ContinuousStatsTable[Average]))</f>
        <v>4.82855853416822</v>
      </c>
      <c r="T97" cm="1">
        <f t="array" ref="T97">MAX(IF((ContinuousStatsTable[GroupByKey]=ContinuousStatsTable[[#This Row],[GroupByKey]]),(ContinuousStatsTable[GroupByKey]=ContinuousStatsTable[[#This Row],[GroupByKey]])*ContinuousStatsTable[Average]))</f>
        <v>5.1212851674768203</v>
      </c>
      <c r="U97">
        <f>IF((ContinuousStatsTable[[#This Row],[RepsRequested]]&gt;1),ContinuousStatsTable[[#This Row],[HalfWidth]],ContinuousStatsTable[[#This Row],[BatchMeansHalfWidth]])</f>
        <v>7.3284002783010616E-2</v>
      </c>
    </row>
    <row r="98" spans="1:21" x14ac:dyDescent="0.25">
      <c r="A98" t="s">
        <v>67</v>
      </c>
      <c r="B98" t="s">
        <v>69</v>
      </c>
      <c r="C98">
        <v>4</v>
      </c>
      <c r="D98" t="s">
        <v>107</v>
      </c>
      <c r="E98" t="s">
        <v>105</v>
      </c>
      <c r="F98" t="s">
        <v>106</v>
      </c>
      <c r="G98">
        <v>0.82818429749007605</v>
      </c>
      <c r="H98">
        <v>9.4920175409153196E-3</v>
      </c>
      <c r="I98">
        <v>0</v>
      </c>
      <c r="J98">
        <v>1</v>
      </c>
      <c r="K98">
        <v>1</v>
      </c>
      <c r="L98">
        <v>0</v>
      </c>
      <c r="M98" t="str">
        <f>ContinuousStatsTable[[#This Row],[ProjectName]]&amp;ContinuousStatsTable[[#This Row],[Name]]&amp;ContinuousStatsTable[[#This Row],[Type]]&amp;ContinuousStatsTable[[#This Row],[Source]]</f>
        <v>Unnamed ProjectPACKERInstantaneous UtilizationResource</v>
      </c>
      <c r="N98" cm="1">
        <f t="array" ref="N98">MAX(IF((ProjectInfoTable[ProjectName]=ContinuousStatsTable[[#This Row],[ProjectName]]),(ProjectInfoTable[ProjectName]=ContinuousStatsTable[[#This Row],[ProjectName]])*ProjectInfoTable[NumberOfReplications]))</f>
        <v>10</v>
      </c>
      <c r="O98" cm="1">
        <f t="array" ref="O98">IFERROR(AVERAGE(IF((ContinuousStatsTable[GroupByKey]=ContinuousStatsTable[[#This Row],[GroupByKey]]),(ContinuousStatsTable[GroupByKey]=ContinuousStatsTable[[#This Row],[GroupByKey]])*ContinuousStatsTable[Average])),0)</f>
        <v>0.81557194281027567</v>
      </c>
      <c r="P98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6.9416851287817331E-3</v>
      </c>
      <c r="Q98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4.9657823959478754E-3</v>
      </c>
      <c r="S98" cm="1">
        <f t="array" ref="S98">MIN(IF((ContinuousStatsTable[GroupByKey]=ContinuousStatsTable[[#This Row],[GroupByKey]]),(ContinuousStatsTable[GroupByKey]=ContinuousStatsTable[[#This Row],[GroupByKey]])*ContinuousStatsTable[Average]))</f>
        <v>0.80675605099888203</v>
      </c>
      <c r="T98" cm="1">
        <f t="array" ref="T98">MAX(IF((ContinuousStatsTable[GroupByKey]=ContinuousStatsTable[[#This Row],[GroupByKey]]),(ContinuousStatsTable[GroupByKey]=ContinuousStatsTable[[#This Row],[GroupByKey]])*ContinuousStatsTable[Average]))</f>
        <v>0.82818429749007605</v>
      </c>
      <c r="U98">
        <f>IF((ContinuousStatsTable[[#This Row],[RepsRequested]]&gt;1),ContinuousStatsTable[[#This Row],[HalfWidth]],ContinuousStatsTable[[#This Row],[BatchMeansHalfWidth]])</f>
        <v>4.9657823959478754E-3</v>
      </c>
    </row>
    <row r="99" spans="1:21" x14ac:dyDescent="0.25">
      <c r="A99" t="s">
        <v>67</v>
      </c>
      <c r="B99" t="s">
        <v>69</v>
      </c>
      <c r="C99">
        <v>4</v>
      </c>
      <c r="D99" t="s">
        <v>107</v>
      </c>
      <c r="E99" t="s">
        <v>97</v>
      </c>
      <c r="F99" t="s">
        <v>106</v>
      </c>
      <c r="G99">
        <v>0.82818429749007605</v>
      </c>
      <c r="H99">
        <v>9.4920175409153196E-3</v>
      </c>
      <c r="I99">
        <v>0</v>
      </c>
      <c r="J99">
        <v>1</v>
      </c>
      <c r="K99">
        <v>1</v>
      </c>
      <c r="L99">
        <v>0</v>
      </c>
      <c r="M99" t="str">
        <f>ContinuousStatsTable[[#This Row],[ProjectName]]&amp;ContinuousStatsTable[[#This Row],[Name]]&amp;ContinuousStatsTable[[#This Row],[Type]]&amp;ContinuousStatsTable[[#This Row],[Source]]</f>
        <v>Unnamed ProjectPACKERNumber BusyResource</v>
      </c>
      <c r="N99" cm="1">
        <f t="array" ref="N99">MAX(IF((ProjectInfoTable[ProjectName]=ContinuousStatsTable[[#This Row],[ProjectName]]),(ProjectInfoTable[ProjectName]=ContinuousStatsTable[[#This Row],[ProjectName]])*ProjectInfoTable[NumberOfReplications]))</f>
        <v>10</v>
      </c>
      <c r="O99" cm="1">
        <f t="array" ref="O99">IFERROR(AVERAGE(IF((ContinuousStatsTable[GroupByKey]=ContinuousStatsTable[[#This Row],[GroupByKey]]),(ContinuousStatsTable[GroupByKey]=ContinuousStatsTable[[#This Row],[GroupByKey]])*ContinuousStatsTable[Average])),0)</f>
        <v>0.81557194281027567</v>
      </c>
      <c r="P99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6.9416851287817331E-3</v>
      </c>
      <c r="Q99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4.9657823959478754E-3</v>
      </c>
      <c r="S99" cm="1">
        <f t="array" ref="S99">MIN(IF((ContinuousStatsTable[GroupByKey]=ContinuousStatsTable[[#This Row],[GroupByKey]]),(ContinuousStatsTable[GroupByKey]=ContinuousStatsTable[[#This Row],[GroupByKey]])*ContinuousStatsTable[Average]))</f>
        <v>0.80675605099888203</v>
      </c>
      <c r="T99" cm="1">
        <f t="array" ref="T99">MAX(IF((ContinuousStatsTable[GroupByKey]=ContinuousStatsTable[[#This Row],[GroupByKey]]),(ContinuousStatsTable[GroupByKey]=ContinuousStatsTable[[#This Row],[GroupByKey]])*ContinuousStatsTable[Average]))</f>
        <v>0.82818429749007605</v>
      </c>
      <c r="U99">
        <f>IF((ContinuousStatsTable[[#This Row],[RepsRequested]]&gt;1),ContinuousStatsTable[[#This Row],[HalfWidth]],ContinuousStatsTable[[#This Row],[BatchMeansHalfWidth]])</f>
        <v>4.9657823959478754E-3</v>
      </c>
    </row>
    <row r="100" spans="1:21" x14ac:dyDescent="0.25">
      <c r="A100" t="s">
        <v>67</v>
      </c>
      <c r="B100" t="s">
        <v>69</v>
      </c>
      <c r="C100">
        <v>4</v>
      </c>
      <c r="D100" t="s">
        <v>107</v>
      </c>
      <c r="E100" t="s">
        <v>99</v>
      </c>
      <c r="F100" t="s">
        <v>106</v>
      </c>
      <c r="G100">
        <v>1</v>
      </c>
      <c r="H100">
        <v>2E+20</v>
      </c>
      <c r="I100">
        <v>1</v>
      </c>
      <c r="J100">
        <v>1</v>
      </c>
      <c r="K100">
        <v>1</v>
      </c>
      <c r="L100">
        <v>0</v>
      </c>
      <c r="M100" t="str">
        <f>ContinuousStatsTable[[#This Row],[ProjectName]]&amp;ContinuousStatsTable[[#This Row],[Name]]&amp;ContinuousStatsTable[[#This Row],[Type]]&amp;ContinuousStatsTable[[#This Row],[Source]]</f>
        <v>Unnamed ProjectPACKERNumber ScheduledResource</v>
      </c>
      <c r="N100" cm="1">
        <f t="array" ref="N100">MAX(IF((ProjectInfoTable[ProjectName]=ContinuousStatsTable[[#This Row],[ProjectName]]),(ProjectInfoTable[ProjectName]=ContinuousStatsTable[[#This Row],[ProjectName]])*ProjectInfoTable[NumberOfReplications]))</f>
        <v>10</v>
      </c>
      <c r="O100" cm="1">
        <f t="array" ref="O100">IFERROR(AVERAGE(IF((ContinuousStatsTable[GroupByKey]=ContinuousStatsTable[[#This Row],[GroupByKey]]),(ContinuousStatsTable[GroupByKey]=ContinuousStatsTable[[#This Row],[GroupByKey]])*ContinuousStatsTable[Average])),0)</f>
        <v>1</v>
      </c>
      <c r="P100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</v>
      </c>
      <c r="Q100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0" cm="1">
        <f t="array" ref="S100">MIN(IF((ContinuousStatsTable[GroupByKey]=ContinuousStatsTable[[#This Row],[GroupByKey]]),(ContinuousStatsTable[GroupByKey]=ContinuousStatsTable[[#This Row],[GroupByKey]])*ContinuousStatsTable[Average]))</f>
        <v>1</v>
      </c>
      <c r="T100" cm="1">
        <f t="array" ref="T100">MAX(IF((ContinuousStatsTable[GroupByKey]=ContinuousStatsTable[[#This Row],[GroupByKey]]),(ContinuousStatsTable[GroupByKey]=ContinuousStatsTable[[#This Row],[GroupByKey]])*ContinuousStatsTable[Average]))</f>
        <v>1</v>
      </c>
      <c r="U100">
        <f>IF((ContinuousStatsTable[[#This Row],[RepsRequested]]&gt;1),ContinuousStatsTable[[#This Row],[HalfWidth]],ContinuousStatsTable[[#This Row],[BatchMeansHalfWidth]])</f>
        <v>0</v>
      </c>
    </row>
    <row r="101" spans="1:21" x14ac:dyDescent="0.25">
      <c r="A101" t="s">
        <v>67</v>
      </c>
      <c r="B101" t="s">
        <v>69</v>
      </c>
      <c r="C101">
        <v>4</v>
      </c>
      <c r="D101" t="s">
        <v>108</v>
      </c>
      <c r="E101" t="s">
        <v>105</v>
      </c>
      <c r="F101" t="s">
        <v>106</v>
      </c>
      <c r="G101">
        <v>0.55566835138728998</v>
      </c>
      <c r="H101">
        <v>8.9413657783000006E-3</v>
      </c>
      <c r="I101">
        <v>0</v>
      </c>
      <c r="J101">
        <v>1</v>
      </c>
      <c r="K101">
        <v>1</v>
      </c>
      <c r="L101">
        <v>0</v>
      </c>
      <c r="M101" t="str">
        <f>ContinuousStatsTable[[#This Row],[ProjectName]]&amp;ContinuousStatsTable[[#This Row],[Name]]&amp;ContinuousStatsTable[[#This Row],[Type]]&amp;ContinuousStatsTable[[#This Row],[Source]]</f>
        <v>Unnamed ProjectPAINTERInstantaneous UtilizationResource</v>
      </c>
      <c r="N101" cm="1">
        <f t="array" ref="N101">MAX(IF((ProjectInfoTable[ProjectName]=ContinuousStatsTable[[#This Row],[ProjectName]]),(ProjectInfoTable[ProjectName]=ContinuousStatsTable[[#This Row],[ProjectName]])*ProjectInfoTable[NumberOfReplications]))</f>
        <v>10</v>
      </c>
      <c r="O101" cm="1">
        <f t="array" ref="O101">IFERROR(AVERAGE(IF((ContinuousStatsTable[GroupByKey]=ContinuousStatsTable[[#This Row],[GroupByKey]]),(ContinuousStatsTable[GroupByKey]=ContinuousStatsTable[[#This Row],[GroupByKey]])*ContinuousStatsTable[Average])),0)</f>
        <v>0.54938142053560801</v>
      </c>
      <c r="P101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4.5196387022068685E-3</v>
      </c>
      <c r="Q101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3.2331547581159752E-3</v>
      </c>
      <c r="S101" cm="1">
        <f t="array" ref="S101">MIN(IF((ContinuousStatsTable[GroupByKey]=ContinuousStatsTable[[#This Row],[GroupByKey]]),(ContinuousStatsTable[GroupByKey]=ContinuousStatsTable[[#This Row],[GroupByKey]])*ContinuousStatsTable[Average]))</f>
        <v>0.54030874063430001</v>
      </c>
      <c r="T101" cm="1">
        <f t="array" ref="T101">MAX(IF((ContinuousStatsTable[GroupByKey]=ContinuousStatsTable[[#This Row],[GroupByKey]]),(ContinuousStatsTable[GroupByKey]=ContinuousStatsTable[[#This Row],[GroupByKey]])*ContinuousStatsTable[Average]))</f>
        <v>0.55566835138728998</v>
      </c>
      <c r="U101">
        <f>IF((ContinuousStatsTable[[#This Row],[RepsRequested]]&gt;1),ContinuousStatsTable[[#This Row],[HalfWidth]],ContinuousStatsTable[[#This Row],[BatchMeansHalfWidth]])</f>
        <v>3.2331547581159752E-3</v>
      </c>
    </row>
    <row r="102" spans="1:21" x14ac:dyDescent="0.25">
      <c r="A102" t="s">
        <v>67</v>
      </c>
      <c r="B102" t="s">
        <v>69</v>
      </c>
      <c r="C102">
        <v>4</v>
      </c>
      <c r="D102" t="s">
        <v>108</v>
      </c>
      <c r="E102" t="s">
        <v>97</v>
      </c>
      <c r="F102" t="s">
        <v>106</v>
      </c>
      <c r="G102">
        <v>0.55566835138728998</v>
      </c>
      <c r="H102">
        <v>8.9413657783000006E-3</v>
      </c>
      <c r="I102">
        <v>0</v>
      </c>
      <c r="J102">
        <v>1</v>
      </c>
      <c r="K102">
        <v>1</v>
      </c>
      <c r="L102">
        <v>0</v>
      </c>
      <c r="M102" t="str">
        <f>ContinuousStatsTable[[#This Row],[ProjectName]]&amp;ContinuousStatsTable[[#This Row],[Name]]&amp;ContinuousStatsTable[[#This Row],[Type]]&amp;ContinuousStatsTable[[#This Row],[Source]]</f>
        <v>Unnamed ProjectPAINTERNumber BusyResource</v>
      </c>
      <c r="N102" cm="1">
        <f t="array" ref="N102">MAX(IF((ProjectInfoTable[ProjectName]=ContinuousStatsTable[[#This Row],[ProjectName]]),(ProjectInfoTable[ProjectName]=ContinuousStatsTable[[#This Row],[ProjectName]])*ProjectInfoTable[NumberOfReplications]))</f>
        <v>10</v>
      </c>
      <c r="O102" cm="1">
        <f t="array" ref="O102">IFERROR(AVERAGE(IF((ContinuousStatsTable[GroupByKey]=ContinuousStatsTable[[#This Row],[GroupByKey]]),(ContinuousStatsTable[GroupByKey]=ContinuousStatsTable[[#This Row],[GroupByKey]])*ContinuousStatsTable[Average])),0)</f>
        <v>0.54938142053560801</v>
      </c>
      <c r="P102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4.5196387022068685E-3</v>
      </c>
      <c r="Q102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3.2331547581159752E-3</v>
      </c>
      <c r="S102" cm="1">
        <f t="array" ref="S102">MIN(IF((ContinuousStatsTable[GroupByKey]=ContinuousStatsTable[[#This Row],[GroupByKey]]),(ContinuousStatsTable[GroupByKey]=ContinuousStatsTable[[#This Row],[GroupByKey]])*ContinuousStatsTable[Average]))</f>
        <v>0.54030874063430001</v>
      </c>
      <c r="T102" cm="1">
        <f t="array" ref="T102">MAX(IF((ContinuousStatsTable[GroupByKey]=ContinuousStatsTable[[#This Row],[GroupByKey]]),(ContinuousStatsTable[GroupByKey]=ContinuousStatsTable[[#This Row],[GroupByKey]])*ContinuousStatsTable[Average]))</f>
        <v>0.55566835138728998</v>
      </c>
      <c r="U102">
        <f>IF((ContinuousStatsTable[[#This Row],[RepsRequested]]&gt;1),ContinuousStatsTable[[#This Row],[HalfWidth]],ContinuousStatsTable[[#This Row],[BatchMeansHalfWidth]])</f>
        <v>3.2331547581159752E-3</v>
      </c>
    </row>
    <row r="103" spans="1:21" x14ac:dyDescent="0.25">
      <c r="A103" t="s">
        <v>67</v>
      </c>
      <c r="B103" t="s">
        <v>69</v>
      </c>
      <c r="C103">
        <v>4</v>
      </c>
      <c r="D103" t="s">
        <v>108</v>
      </c>
      <c r="E103" t="s">
        <v>99</v>
      </c>
      <c r="F103" t="s">
        <v>106</v>
      </c>
      <c r="G103">
        <v>1</v>
      </c>
      <c r="H103">
        <v>2E+20</v>
      </c>
      <c r="I103">
        <v>1</v>
      </c>
      <c r="J103">
        <v>1</v>
      </c>
      <c r="K103">
        <v>1</v>
      </c>
      <c r="L103">
        <v>0</v>
      </c>
      <c r="M103" t="str">
        <f>ContinuousStatsTable[[#This Row],[ProjectName]]&amp;ContinuousStatsTable[[#This Row],[Name]]&amp;ContinuousStatsTable[[#This Row],[Type]]&amp;ContinuousStatsTable[[#This Row],[Source]]</f>
        <v>Unnamed ProjectPAINTERNumber ScheduledResource</v>
      </c>
      <c r="N103" cm="1">
        <f t="array" ref="N103">MAX(IF((ProjectInfoTable[ProjectName]=ContinuousStatsTable[[#This Row],[ProjectName]]),(ProjectInfoTable[ProjectName]=ContinuousStatsTable[[#This Row],[ProjectName]])*ProjectInfoTable[NumberOfReplications]))</f>
        <v>10</v>
      </c>
      <c r="O103" cm="1">
        <f t="array" ref="O103">IFERROR(AVERAGE(IF((ContinuousStatsTable[GroupByKey]=ContinuousStatsTable[[#This Row],[GroupByKey]]),(ContinuousStatsTable[GroupByKey]=ContinuousStatsTable[[#This Row],[GroupByKey]])*ContinuousStatsTable[Average])),0)</f>
        <v>1</v>
      </c>
      <c r="P103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0</v>
      </c>
      <c r="Q103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3" cm="1">
        <f t="array" ref="S103">MIN(IF((ContinuousStatsTable[GroupByKey]=ContinuousStatsTable[[#This Row],[GroupByKey]]),(ContinuousStatsTable[GroupByKey]=ContinuousStatsTable[[#This Row],[GroupByKey]])*ContinuousStatsTable[Average]))</f>
        <v>1</v>
      </c>
      <c r="T103" cm="1">
        <f t="array" ref="T103">MAX(IF((ContinuousStatsTable[GroupByKey]=ContinuousStatsTable[[#This Row],[GroupByKey]]),(ContinuousStatsTable[GroupByKey]=ContinuousStatsTable[[#This Row],[GroupByKey]])*ContinuousStatsTable[Average]))</f>
        <v>1</v>
      </c>
      <c r="U103">
        <f>IF((ContinuousStatsTable[[#This Row],[RepsRequested]]&gt;1),ContinuousStatsTable[[#This Row],[HalfWidth]],ContinuousStatsTable[[#This Row],[BatchMeansHalfWidth]])</f>
        <v>0</v>
      </c>
    </row>
    <row r="104" spans="1:21" x14ac:dyDescent="0.25">
      <c r="A104" t="s">
        <v>67</v>
      </c>
      <c r="B104" t="s">
        <v>69</v>
      </c>
      <c r="C104">
        <v>4</v>
      </c>
      <c r="D104" t="s">
        <v>84</v>
      </c>
      <c r="E104" t="s">
        <v>101</v>
      </c>
      <c r="F104" t="s">
        <v>72</v>
      </c>
      <c r="G104">
        <v>0.63408009794909104</v>
      </c>
      <c r="H104">
        <v>5.4466837571421199E-2</v>
      </c>
      <c r="I104">
        <v>0</v>
      </c>
      <c r="J104">
        <v>5</v>
      </c>
      <c r="K104">
        <v>0</v>
      </c>
      <c r="L104">
        <v>0</v>
      </c>
      <c r="M104" t="str">
        <f>ContinuousStatsTable[[#This Row],[ProjectName]]&amp;ContinuousStatsTable[[#This Row],[Name]]&amp;ContinuousStatsTable[[#This Row],[Type]]&amp;ContinuousStatsTable[[#This Row],[Source]]</f>
        <v>Unnamed ProjectPackQNumber WaitingQueue</v>
      </c>
      <c r="N104" cm="1">
        <f t="array" ref="N104">MAX(IF((ProjectInfoTable[ProjectName]=ContinuousStatsTable[[#This Row],[ProjectName]]),(ProjectInfoTable[ProjectName]=ContinuousStatsTable[[#This Row],[ProjectName]])*ProjectInfoTable[NumberOfReplications]))</f>
        <v>10</v>
      </c>
      <c r="O104" cm="1">
        <f t="array" ref="O104">IFERROR(AVERAGE(IF((ContinuousStatsTable[GroupByKey]=ContinuousStatsTable[[#This Row],[GroupByKey]]),(ContinuousStatsTable[GroupByKey]=ContinuousStatsTable[[#This Row],[GroupByKey]])*ContinuousStatsTable[Average])),0)</f>
        <v>0.5830563488318371</v>
      </c>
      <c r="P104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3.7349781067397253E-2</v>
      </c>
      <c r="Q104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2.6718423823055008E-2</v>
      </c>
      <c r="S104" cm="1">
        <f t="array" ref="S104">MIN(IF((ContinuousStatsTable[GroupByKey]=ContinuousStatsTable[[#This Row],[GroupByKey]]),(ContinuousStatsTable[GroupByKey]=ContinuousStatsTable[[#This Row],[GroupByKey]])*ContinuousStatsTable[Average]))</f>
        <v>0.51031500523829298</v>
      </c>
      <c r="T104" cm="1">
        <f t="array" ref="T104">MAX(IF((ContinuousStatsTable[GroupByKey]=ContinuousStatsTable[[#This Row],[GroupByKey]]),(ContinuousStatsTable[GroupByKey]=ContinuousStatsTable[[#This Row],[GroupByKey]])*ContinuousStatsTable[Average]))</f>
        <v>0.63800950130876</v>
      </c>
      <c r="U104">
        <f>IF((ContinuousStatsTable[[#This Row],[RepsRequested]]&gt;1),ContinuousStatsTable[[#This Row],[HalfWidth]],ContinuousStatsTable[[#This Row],[BatchMeansHalfWidth]])</f>
        <v>2.6718423823055008E-2</v>
      </c>
    </row>
    <row r="105" spans="1:21" x14ac:dyDescent="0.25">
      <c r="A105" t="s">
        <v>67</v>
      </c>
      <c r="B105" t="s">
        <v>69</v>
      </c>
      <c r="C105">
        <v>4</v>
      </c>
      <c r="D105" t="s">
        <v>85</v>
      </c>
      <c r="E105" t="s">
        <v>101</v>
      </c>
      <c r="F105" t="s">
        <v>72</v>
      </c>
      <c r="G105">
        <v>1.57334948286714E-2</v>
      </c>
      <c r="H105">
        <v>1.1174697050778499E-3</v>
      </c>
      <c r="I105">
        <v>0</v>
      </c>
      <c r="J105">
        <v>1</v>
      </c>
      <c r="K105">
        <v>0</v>
      </c>
      <c r="L105">
        <v>0</v>
      </c>
      <c r="M105" t="str">
        <f>ContinuousStatsTable[[#This Row],[ProjectName]]&amp;ContinuousStatsTable[[#This Row],[Name]]&amp;ContinuousStatsTable[[#This Row],[Type]]&amp;ContinuousStatsTable[[#This Row],[Source]]</f>
        <v>Unnamed ProjectPackReqQNumber WaitingQueue</v>
      </c>
      <c r="N105" cm="1">
        <f t="array" ref="N105">MAX(IF((ProjectInfoTable[ProjectName]=ContinuousStatsTable[[#This Row],[ProjectName]]),(ProjectInfoTable[ProjectName]=ContinuousStatsTable[[#This Row],[ProjectName]])*ProjectInfoTable[NumberOfReplications]))</f>
        <v>10</v>
      </c>
      <c r="O105" cm="1">
        <f t="array" ref="O105">IFERROR(AVERAGE(IF((ContinuousStatsTable[GroupByKey]=ContinuousStatsTable[[#This Row],[GroupByKey]]),(ContinuousStatsTable[GroupByKey]=ContinuousStatsTable[[#This Row],[GroupByKey]])*ContinuousStatsTable[Average])),0)</f>
        <v>1.5083245089254998E-2</v>
      </c>
      <c r="P10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5.836712228493759E-4</v>
      </c>
      <c r="Q10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4.1753324008164384E-4</v>
      </c>
      <c r="S105" cm="1">
        <f t="array" ref="S105">MIN(IF((ContinuousStatsTable[GroupByKey]=ContinuousStatsTable[[#This Row],[GroupByKey]]),(ContinuousStatsTable[GroupByKey]=ContinuousStatsTable[[#This Row],[GroupByKey]])*ContinuousStatsTable[Average]))</f>
        <v>1.41054163109371E-2</v>
      </c>
      <c r="T105" cm="1">
        <f t="array" ref="T105">MAX(IF((ContinuousStatsTable[GroupByKey]=ContinuousStatsTable[[#This Row],[GroupByKey]]),(ContinuousStatsTable[GroupByKey]=ContinuousStatsTable[[#This Row],[GroupByKey]])*ContinuousStatsTable[Average]))</f>
        <v>1.6052913612351699E-2</v>
      </c>
      <c r="U105">
        <f>IF((ContinuousStatsTable[[#This Row],[RepsRequested]]&gt;1),ContinuousStatsTable[[#This Row],[HalfWidth]],ContinuousStatsTable[[#This Row],[BatchMeansHalfWidth]])</f>
        <v>4.1753324008164384E-4</v>
      </c>
    </row>
    <row r="106" spans="1:21" x14ac:dyDescent="0.25">
      <c r="A106" t="s">
        <v>67</v>
      </c>
      <c r="B106" t="s">
        <v>69</v>
      </c>
      <c r="C106">
        <v>4</v>
      </c>
      <c r="D106" t="s">
        <v>86</v>
      </c>
      <c r="E106" t="s">
        <v>101</v>
      </c>
      <c r="F106" t="s">
        <v>72</v>
      </c>
      <c r="G106">
        <v>6.4938397569822504E-2</v>
      </c>
      <c r="H106">
        <v>4.8780584898509196E-3</v>
      </c>
      <c r="I106">
        <v>0</v>
      </c>
      <c r="J106">
        <v>2</v>
      </c>
      <c r="K106">
        <v>0</v>
      </c>
      <c r="L106">
        <v>0</v>
      </c>
      <c r="M106" t="str">
        <f>ContinuousStatsTable[[#This Row],[ProjectName]]&amp;ContinuousStatsTable[[#This Row],[Name]]&amp;ContinuousStatsTable[[#This Row],[Type]]&amp;ContinuousStatsTable[[#This Row],[Source]]</f>
        <v>Unnamed ProjectPaintQNumber WaitingQueue</v>
      </c>
      <c r="N106" cm="1">
        <f t="array" ref="N106">MAX(IF((ProjectInfoTable[ProjectName]=ContinuousStatsTable[[#This Row],[ProjectName]]),(ProjectInfoTable[ProjectName]=ContinuousStatsTable[[#This Row],[ProjectName]])*ProjectInfoTable[NumberOfReplications]))</f>
        <v>10</v>
      </c>
      <c r="O106" cm="1">
        <f t="array" ref="O106">IFERROR(AVERAGE(IF((ContinuousStatsTable[GroupByKey]=ContinuousStatsTable[[#This Row],[GroupByKey]]),(ContinuousStatsTable[GroupByKey]=ContinuousStatsTable[[#This Row],[GroupByKey]])*ContinuousStatsTable[Average])),0)</f>
        <v>6.2655374167183184E-2</v>
      </c>
      <c r="P106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1.297076259729802E-3</v>
      </c>
      <c r="Q106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9.2787245996831338E-4</v>
      </c>
      <c r="S106" cm="1">
        <f t="array" ref="S106">MIN(IF((ContinuousStatsTable[GroupByKey]=ContinuousStatsTable[[#This Row],[GroupByKey]]),(ContinuousStatsTable[GroupByKey]=ContinuousStatsTable[[#This Row],[GroupByKey]])*ContinuousStatsTable[Average]))</f>
        <v>6.05919548276165E-2</v>
      </c>
      <c r="T106" cm="1">
        <f t="array" ref="T106">MAX(IF((ContinuousStatsTable[GroupByKey]=ContinuousStatsTable[[#This Row],[GroupByKey]]),(ContinuousStatsTable[GroupByKey]=ContinuousStatsTable[[#This Row],[GroupByKey]])*ContinuousStatsTable[Average]))</f>
        <v>6.4938397569822504E-2</v>
      </c>
      <c r="U106">
        <f>IF((ContinuousStatsTable[[#This Row],[RepsRequested]]&gt;1),ContinuousStatsTable[[#This Row],[HalfWidth]],ContinuousStatsTable[[#This Row],[BatchMeansHalfWidth]])</f>
        <v>9.2787245996831338E-4</v>
      </c>
    </row>
    <row r="107" spans="1:21" x14ac:dyDescent="0.25">
      <c r="A107" t="s">
        <v>67</v>
      </c>
      <c r="B107" t="s">
        <v>69</v>
      </c>
      <c r="C107">
        <v>4</v>
      </c>
      <c r="D107" t="s">
        <v>87</v>
      </c>
      <c r="E107" t="s">
        <v>101</v>
      </c>
      <c r="F107" t="s">
        <v>72</v>
      </c>
      <c r="G107">
        <v>1.3029195011615801E-2</v>
      </c>
      <c r="H107">
        <v>9.0579081544141997E-4</v>
      </c>
      <c r="I107">
        <v>0</v>
      </c>
      <c r="J107">
        <v>1</v>
      </c>
      <c r="K107">
        <v>0</v>
      </c>
      <c r="L107">
        <v>0</v>
      </c>
      <c r="M107" t="str">
        <f>ContinuousStatsTable[[#This Row],[ProjectName]]&amp;ContinuousStatsTable[[#This Row],[Name]]&amp;ContinuousStatsTable[[#This Row],[Type]]&amp;ContinuousStatsTable[[#This Row],[Source]]</f>
        <v>Unnamed ProjectPaintReqQNumber WaitingQueue</v>
      </c>
      <c r="N107" cm="1">
        <f t="array" ref="N107">MAX(IF((ProjectInfoTable[ProjectName]=ContinuousStatsTable[[#This Row],[ProjectName]]),(ProjectInfoTable[ProjectName]=ContinuousStatsTable[[#This Row],[ProjectName]])*ProjectInfoTable[NumberOfReplications]))</f>
        <v>10</v>
      </c>
      <c r="O107" cm="1">
        <f t="array" ref="O107">IFERROR(AVERAGE(IF((ContinuousStatsTable[GroupByKey]=ContinuousStatsTable[[#This Row],[GroupByKey]]),(ContinuousStatsTable[GroupByKey]=ContinuousStatsTable[[#This Row],[GroupByKey]])*ContinuousStatsTable[Average])),0)</f>
        <v>1.232491804183645E-2</v>
      </c>
      <c r="P107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4.2846031814523761E-4</v>
      </c>
      <c r="Q107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3.0650204751958381E-4</v>
      </c>
      <c r="S107" cm="1">
        <f t="array" ref="S107">MIN(IF((ContinuousStatsTable[GroupByKey]=ContinuousStatsTable[[#This Row],[GroupByKey]]),(ContinuousStatsTable[GroupByKey]=ContinuousStatsTable[[#This Row],[GroupByKey]])*ContinuousStatsTable[Average]))</f>
        <v>1.1842209288638999E-2</v>
      </c>
      <c r="T107" cm="1">
        <f t="array" ref="T107">MAX(IF((ContinuousStatsTable[GroupByKey]=ContinuousStatsTable[[#This Row],[GroupByKey]]),(ContinuousStatsTable[GroupByKey]=ContinuousStatsTable[[#This Row],[GroupByKey]])*ContinuousStatsTable[Average]))</f>
        <v>1.30420022653657E-2</v>
      </c>
      <c r="U107">
        <f>IF((ContinuousStatsTable[[#This Row],[RepsRequested]]&gt;1),ContinuousStatsTable[[#This Row],[HalfWidth]],ContinuousStatsTable[[#This Row],[BatchMeansHalfWidth]])</f>
        <v>3.0650204751958381E-4</v>
      </c>
    </row>
    <row r="108" spans="1:21" x14ac:dyDescent="0.25">
      <c r="A108" t="s">
        <v>67</v>
      </c>
      <c r="B108" t="s">
        <v>69</v>
      </c>
      <c r="C108">
        <v>4</v>
      </c>
      <c r="D108" t="s">
        <v>109</v>
      </c>
      <c r="E108" t="s">
        <v>105</v>
      </c>
      <c r="F108" t="s">
        <v>106</v>
      </c>
      <c r="G108">
        <v>0.832837691284112</v>
      </c>
      <c r="H108">
        <v>9.4023122289677401E-3</v>
      </c>
      <c r="I108">
        <v>0</v>
      </c>
      <c r="J108">
        <v>1</v>
      </c>
      <c r="K108">
        <v>1</v>
      </c>
      <c r="L108">
        <v>0</v>
      </c>
      <c r="M108" t="str">
        <f>ContinuousStatsTable[[#This Row],[ProjectName]]&amp;ContinuousStatsTable[[#This Row],[Name]]&amp;ContinuousStatsTable[[#This Row],[Type]]&amp;ContinuousStatsTable[[#This Row],[Source]]</f>
        <v>Unnamed ProjectWORKERInstantaneous UtilizationResource</v>
      </c>
      <c r="N108" cm="1">
        <f t="array" ref="N108">MAX(IF((ProjectInfoTable[ProjectName]=ContinuousStatsTable[[#This Row],[ProjectName]]),(ProjectInfoTable[ProjectName]=ContinuousStatsTable[[#This Row],[ProjectName]])*ProjectInfoTable[NumberOfReplications]))</f>
        <v>10</v>
      </c>
      <c r="O108" cm="1">
        <f t="array" ref="O108">IFERROR(AVERAGE(IF((ContinuousStatsTable[GroupByKey]=ContinuousStatsTable[[#This Row],[GroupByKey]]),(ContinuousStatsTable[GroupByKey]=ContinuousStatsTable[[#This Row],[GroupByKey]])*ContinuousStatsTable[Average])),0)</f>
        <v>0.82030090075893936</v>
      </c>
      <c r="P108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6.9684713894533476E-3</v>
      </c>
      <c r="Q108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4.9849441325044447E-3</v>
      </c>
      <c r="S108" cm="1">
        <f t="array" ref="S108">MIN(IF((ContinuousStatsTable[GroupByKey]=ContinuousStatsTable[[#This Row],[GroupByKey]]),(ContinuousStatsTable[GroupByKey]=ContinuousStatsTable[[#This Row],[GroupByKey]])*ContinuousStatsTable[Average]))</f>
        <v>0.81151215762737705</v>
      </c>
      <c r="T108" cm="1">
        <f t="array" ref="T108">MAX(IF((ContinuousStatsTable[GroupByKey]=ContinuousStatsTable[[#This Row],[GroupByKey]]),(ContinuousStatsTable[GroupByKey]=ContinuousStatsTable[[#This Row],[GroupByKey]])*ContinuousStatsTable[Average]))</f>
        <v>0.832837691284112</v>
      </c>
      <c r="U108">
        <f>IF((ContinuousStatsTable[[#This Row],[RepsRequested]]&gt;1),ContinuousStatsTable[[#This Row],[HalfWidth]],ContinuousStatsTable[[#This Row],[BatchMeansHalfWidth]])</f>
        <v>4.9849441325044447E-3</v>
      </c>
    </row>
    <row r="109" spans="1:21" x14ac:dyDescent="0.25">
      <c r="A109" t="s">
        <v>67</v>
      </c>
      <c r="B109" t="s">
        <v>69</v>
      </c>
      <c r="C109">
        <v>4</v>
      </c>
      <c r="D109" t="s">
        <v>109</v>
      </c>
      <c r="E109" t="s">
        <v>97</v>
      </c>
      <c r="F109" t="s">
        <v>106</v>
      </c>
      <c r="G109">
        <v>0.832837691284112</v>
      </c>
      <c r="H109">
        <v>9.4023122289677401E-3</v>
      </c>
      <c r="I109">
        <v>0</v>
      </c>
      <c r="J109">
        <v>1</v>
      </c>
      <c r="K109">
        <v>1</v>
      </c>
      <c r="L109">
        <v>0</v>
      </c>
      <c r="M109" t="str">
        <f>ContinuousStatsTable[[#This Row],[ProjectName]]&amp;ContinuousStatsTable[[#This Row],[Name]]&amp;ContinuousStatsTable[[#This Row],[Type]]&amp;ContinuousStatsTable[[#This Row],[Source]]</f>
        <v>Unnamed ProjectWORKERNumber BusyResource</v>
      </c>
      <c r="N109" cm="1">
        <f t="array" ref="N109">MAX(IF((ProjectInfoTable[ProjectName]=ContinuousStatsTable[[#This Row],[ProjectName]]),(ProjectInfoTable[ProjectName]=ContinuousStatsTable[[#This Row],[ProjectName]])*ProjectInfoTable[NumberOfReplications]))</f>
        <v>10</v>
      </c>
      <c r="O109" cm="1">
        <f t="array" ref="O109">IFERROR(AVERAGE(IF((ContinuousStatsTable[GroupByKey]=ContinuousStatsTable[[#This Row],[GroupByKey]]),(ContinuousStatsTable[GroupByKey]=ContinuousStatsTable[[#This Row],[GroupByKey]])*ContinuousStatsTable[Average])),0)</f>
        <v>0.82030090075893936</v>
      </c>
      <c r="P109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6.9684713894533476E-3</v>
      </c>
      <c r="Q109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4.9849441325044447E-3</v>
      </c>
      <c r="S109" cm="1">
        <f t="array" ref="S109">MIN(IF((ContinuousStatsTable[GroupByKey]=ContinuousStatsTable[[#This Row],[GroupByKey]]),(ContinuousStatsTable[GroupByKey]=ContinuousStatsTable[[#This Row],[GroupByKey]])*ContinuousStatsTable[Average]))</f>
        <v>0.81151215762737705</v>
      </c>
      <c r="T109" cm="1">
        <f t="array" ref="T109">MAX(IF((ContinuousStatsTable[GroupByKey]=ContinuousStatsTable[[#This Row],[GroupByKey]]),(ContinuousStatsTable[GroupByKey]=ContinuousStatsTable[[#This Row],[GroupByKey]])*ContinuousStatsTable[Average]))</f>
        <v>0.832837691284112</v>
      </c>
      <c r="U109">
        <f>IF((ContinuousStatsTable[[#This Row],[RepsRequested]]&gt;1),ContinuousStatsTable[[#This Row],[HalfWidth]],ContinuousStatsTable[[#This Row],[BatchMeansHalfWidth]])</f>
        <v>4.9849441325044447E-3</v>
      </c>
    </row>
    <row r="110" spans="1:21" x14ac:dyDescent="0.25">
      <c r="A110" t="s">
        <v>67</v>
      </c>
      <c r="B110" t="s">
        <v>69</v>
      </c>
      <c r="C110">
        <v>4</v>
      </c>
      <c r="D110" t="s">
        <v>109</v>
      </c>
      <c r="E110" t="s">
        <v>99</v>
      </c>
      <c r="F110" t="s">
        <v>106</v>
      </c>
      <c r="G110">
        <v>1</v>
      </c>
      <c r="H110">
        <v>2E+20</v>
      </c>
      <c r="I110">
        <v>1</v>
      </c>
      <c r="J110">
        <v>1</v>
      </c>
      <c r="K110">
        <v>1</v>
      </c>
      <c r="L110">
        <v>0</v>
      </c>
      <c r="M110" t="str">
        <f>ContinuousStatsTable[[#This Row],[ProjectName]]&amp;ContinuousStatsTable[[#This Row],[Name]]&amp;ContinuousStatsTable[[#This Row],[Type]]&amp;ContinuousStatsTable[[#This Row],[Source]]</f>
        <v>Unnamed ProjectWORKERNumber ScheduledResource</v>
      </c>
      <c r="N110" cm="1">
        <f t="array" ref="N110">MAX(IF((ProjectInfoTable[ProjectName]=ContinuousStatsTable[[#This Row],[ProjectName]]),(ProjectInfoTable[ProjectName]=ContinuousStatsTable[[#This Row],[ProjectName]])*ProjectInfoTable[NumberOfReplications]))</f>
        <v>10</v>
      </c>
      <c r="O110" cm="1">
        <f t="array" ref="O110">IFERROR(AVERAGE(IF((ContinuousStatsTable[GroupByKey]=ContinuousStatsTable[[#This Row],[GroupByKey]]),(ContinuousStatsTable[GroupByKey]=ContinuousStatsTable[[#This Row],[GroupByKey]])*ContinuousStatsTable[Average])),0)</f>
        <v>1</v>
      </c>
      <c r="P110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</v>
      </c>
      <c r="Q110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" cm="1">
        <f t="array" ref="S110">MIN(IF((ContinuousStatsTable[GroupByKey]=ContinuousStatsTable[[#This Row],[GroupByKey]]),(ContinuousStatsTable[GroupByKey]=ContinuousStatsTable[[#This Row],[GroupByKey]])*ContinuousStatsTable[Average]))</f>
        <v>1</v>
      </c>
      <c r="T110" cm="1">
        <f t="array" ref="T110">MAX(IF((ContinuousStatsTable[GroupByKey]=ContinuousStatsTable[[#This Row],[GroupByKey]]),(ContinuousStatsTable[GroupByKey]=ContinuousStatsTable[[#This Row],[GroupByKey]])*ContinuousStatsTable[Average]))</f>
        <v>1</v>
      </c>
      <c r="U110">
        <f>IF((ContinuousStatsTable[[#This Row],[RepsRequested]]&gt;1),ContinuousStatsTable[[#This Row],[HalfWidth]],ContinuousStatsTable[[#This Row],[BatchMeansHalfWidth]])</f>
        <v>0</v>
      </c>
    </row>
    <row r="111" spans="1:21" x14ac:dyDescent="0.25">
      <c r="A111" t="s">
        <v>67</v>
      </c>
      <c r="B111" t="s">
        <v>69</v>
      </c>
      <c r="C111">
        <v>4</v>
      </c>
      <c r="D111" t="s">
        <v>94</v>
      </c>
      <c r="E111" t="s">
        <v>101</v>
      </c>
      <c r="F111" t="s">
        <v>72</v>
      </c>
      <c r="G111">
        <v>1.9352092735838999</v>
      </c>
      <c r="H111">
        <v>0.21621789460753299</v>
      </c>
      <c r="I111">
        <v>0</v>
      </c>
      <c r="J111">
        <v>19</v>
      </c>
      <c r="K111">
        <v>1</v>
      </c>
      <c r="L111">
        <v>0</v>
      </c>
      <c r="M111" t="str">
        <f>ContinuousStatsTable[[#This Row],[ProjectName]]&amp;ContinuousStatsTable[[#This Row],[Name]]&amp;ContinuousStatsTable[[#This Row],[Type]]&amp;ContinuousStatsTable[[#This Row],[Source]]</f>
        <v>Unnamed ProjectWorkStationQNumber WaitingQueue</v>
      </c>
      <c r="N111" cm="1">
        <f t="array" ref="N111">MAX(IF((ProjectInfoTable[ProjectName]=ContinuousStatsTable[[#This Row],[ProjectName]]),(ProjectInfoTable[ProjectName]=ContinuousStatsTable[[#This Row],[ProjectName]])*ProjectInfoTable[NumberOfReplications]))</f>
        <v>10</v>
      </c>
      <c r="O111" cm="1">
        <f t="array" ref="O111">IFERROR(AVERAGE(IF((ContinuousStatsTable[GroupByKey]=ContinuousStatsTable[[#This Row],[GroupByKey]]),(ContinuousStatsTable[GroupByKey]=ContinuousStatsTable[[#This Row],[GroupByKey]])*ContinuousStatsTable[Average])),0)</f>
        <v>1.7984099951452888</v>
      </c>
      <c r="P111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9.41481017902569E-2</v>
      </c>
      <c r="Q111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6.7349494799689366E-2</v>
      </c>
      <c r="S111" cm="1">
        <f t="array" ref="S111">MIN(IF((ContinuousStatsTable[GroupByKey]=ContinuousStatsTable[[#This Row],[GroupByKey]]),(ContinuousStatsTable[GroupByKey]=ContinuousStatsTable[[#This Row],[GroupByKey]])*ContinuousStatsTable[Average]))</f>
        <v>1.6808414073062801</v>
      </c>
      <c r="T111" cm="1">
        <f t="array" ref="T111">MAX(IF((ContinuousStatsTable[GroupByKey]=ContinuousStatsTable[[#This Row],[GroupByKey]]),(ContinuousStatsTable[GroupByKey]=ContinuousStatsTable[[#This Row],[GroupByKey]])*ContinuousStatsTable[Average]))</f>
        <v>1.96303981301246</v>
      </c>
      <c r="U111">
        <f>IF((ContinuousStatsTable[[#This Row],[RepsRequested]]&gt;1),ContinuousStatsTable[[#This Row],[HalfWidth]],ContinuousStatsTable[[#This Row],[BatchMeansHalfWidth]])</f>
        <v>6.7349494799689366E-2</v>
      </c>
    </row>
    <row r="112" spans="1:21" x14ac:dyDescent="0.25">
      <c r="A112" t="s">
        <v>67</v>
      </c>
      <c r="B112" t="s">
        <v>69</v>
      </c>
      <c r="C112">
        <v>4</v>
      </c>
      <c r="D112" t="s">
        <v>95</v>
      </c>
      <c r="E112" t="s">
        <v>101</v>
      </c>
      <c r="F112" t="s">
        <v>72</v>
      </c>
      <c r="G112">
        <v>1.34073753437328E-2</v>
      </c>
      <c r="H112">
        <v>6.9966719080714998E-4</v>
      </c>
      <c r="I112">
        <v>0</v>
      </c>
      <c r="J112">
        <v>1</v>
      </c>
      <c r="K112">
        <v>1</v>
      </c>
      <c r="L112">
        <v>0</v>
      </c>
      <c r="M112" t="str">
        <f>ContinuousStatsTable[[#This Row],[ProjectName]]&amp;ContinuousStatsTable[[#This Row],[Name]]&amp;ContinuousStatsTable[[#This Row],[Type]]&amp;ContinuousStatsTable[[#This Row],[Source]]</f>
        <v>Unnamed ProjectWorkStationReqQNumber WaitingQueue</v>
      </c>
      <c r="N112" cm="1">
        <f t="array" ref="N112">MAX(IF((ProjectInfoTable[ProjectName]=ContinuousStatsTable[[#This Row],[ProjectName]]),(ProjectInfoTable[ProjectName]=ContinuousStatsTable[[#This Row],[ProjectName]])*ProjectInfoTable[NumberOfReplications]))</f>
        <v>10</v>
      </c>
      <c r="O112" cm="1">
        <f t="array" ref="O112">IFERROR(AVERAGE(IF((ContinuousStatsTable[GroupByKey]=ContinuousStatsTable[[#This Row],[GroupByKey]]),(ContinuousStatsTable[GroupByKey]=ContinuousStatsTable[[#This Row],[GroupByKey]])*ContinuousStatsTable[Average])),0)</f>
        <v>1.2897450081583859E-2</v>
      </c>
      <c r="P112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4.2374090710035878E-4</v>
      </c>
      <c r="Q112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3.0312598423651549E-4</v>
      </c>
      <c r="S112" cm="1">
        <f t="array" ref="S112">MIN(IF((ContinuousStatsTable[GroupByKey]=ContinuousStatsTable[[#This Row],[GroupByKey]]),(ContinuousStatsTable[GroupByKey]=ContinuousStatsTable[[#This Row],[GroupByKey]])*ContinuousStatsTable[Average]))</f>
        <v>1.2232643269307701E-2</v>
      </c>
      <c r="T112" cm="1">
        <f t="array" ref="T112">MAX(IF((ContinuousStatsTable[GroupByKey]=ContinuousStatsTable[[#This Row],[GroupByKey]]),(ContinuousStatsTable[GroupByKey]=ContinuousStatsTable[[#This Row],[GroupByKey]])*ContinuousStatsTable[Average]))</f>
        <v>1.34073753437328E-2</v>
      </c>
      <c r="U112">
        <f>IF((ContinuousStatsTable[[#This Row],[RepsRequested]]&gt;1),ContinuousStatsTable[[#This Row],[HalfWidth]],ContinuousStatsTable[[#This Row],[BatchMeansHalfWidth]])</f>
        <v>3.0312598423651549E-4</v>
      </c>
    </row>
    <row r="113" spans="1:21" x14ac:dyDescent="0.25">
      <c r="A113" t="s">
        <v>67</v>
      </c>
      <c r="B113" t="s">
        <v>69</v>
      </c>
      <c r="C113">
        <v>4</v>
      </c>
      <c r="D113" t="s">
        <v>110</v>
      </c>
      <c r="E113" t="s">
        <v>111</v>
      </c>
      <c r="F113" t="s">
        <v>90</v>
      </c>
      <c r="G113">
        <v>0.69059318471793496</v>
      </c>
      <c r="H113">
        <v>1.2904340400500701E-2</v>
      </c>
      <c r="I113">
        <v>0</v>
      </c>
      <c r="J113">
        <v>7</v>
      </c>
      <c r="K113">
        <v>2</v>
      </c>
      <c r="L113">
        <v>0</v>
      </c>
      <c r="M113" t="str">
        <f>ContinuousStatsTable[[#This Row],[ProjectName]]&amp;ContinuousStatsTable[[#This Row],[Name]]&amp;ContinuousStatsTable[[#This Row],[Type]]&amp;ContinuousStatsTable[[#This Row],[Source]]</f>
        <v>Unnamed ProjectvNumWaitingRequestsVariableUser Specified</v>
      </c>
      <c r="N113" cm="1">
        <f t="array" ref="N113">MAX(IF((ProjectInfoTable[ProjectName]=ContinuousStatsTable[[#This Row],[ProjectName]]),(ProjectInfoTable[ProjectName]=ContinuousStatsTable[[#This Row],[ProjectName]])*ProjectInfoTable[NumberOfReplications]))</f>
        <v>10</v>
      </c>
      <c r="O113" cm="1">
        <f t="array" ref="O113">IFERROR(AVERAGE(IF((ContinuousStatsTable[GroupByKey]=ContinuousStatsTable[[#This Row],[GroupByKey]]),(ContinuousStatsTable[GroupByKey]=ContinuousStatsTable[[#This Row],[GroupByKey]])*ContinuousStatsTable[Average])),0)</f>
        <v>0.67697821611736619</v>
      </c>
      <c r="P113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6.3714899668086428E-3</v>
      </c>
      <c r="Q113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4.5578893490793634E-3</v>
      </c>
      <c r="S113" cm="1">
        <f t="array" ref="S113">MIN(IF((ContinuousStatsTable[GroupByKey]=ContinuousStatsTable[[#This Row],[GroupByKey]]),(ContinuousStatsTable[GroupByKey]=ContinuousStatsTable[[#This Row],[GroupByKey]])*ContinuousStatsTable[Average]))</f>
        <v>0.66877542384053201</v>
      </c>
      <c r="T113" cm="1">
        <f t="array" ref="T113">MAX(IF((ContinuousStatsTable[GroupByKey]=ContinuousStatsTable[[#This Row],[GroupByKey]]),(ContinuousStatsTable[GroupByKey]=ContinuousStatsTable[[#This Row],[GroupByKey]])*ContinuousStatsTable[Average]))</f>
        <v>0.69059318471793496</v>
      </c>
      <c r="U113">
        <f>IF((ContinuousStatsTable[[#This Row],[RepsRequested]]&gt;1),ContinuousStatsTable[[#This Row],[HalfWidth]],ContinuousStatsTable[[#This Row],[BatchMeansHalfWidth]])</f>
        <v>4.5578893490793634E-3</v>
      </c>
    </row>
    <row r="114" spans="1:21" x14ac:dyDescent="0.25">
      <c r="A114" t="s">
        <v>67</v>
      </c>
      <c r="B114" t="s">
        <v>69</v>
      </c>
      <c r="C114">
        <v>5</v>
      </c>
      <c r="D114" t="s">
        <v>96</v>
      </c>
      <c r="E114" t="s">
        <v>97</v>
      </c>
      <c r="F114" t="s">
        <v>98</v>
      </c>
      <c r="G114">
        <v>2.0792376537549502</v>
      </c>
      <c r="H114">
        <v>8.7666012121340696E-3</v>
      </c>
      <c r="I114">
        <v>0</v>
      </c>
      <c r="J114">
        <v>3</v>
      </c>
      <c r="K114">
        <v>2</v>
      </c>
      <c r="L114">
        <v>0</v>
      </c>
      <c r="M114" t="str">
        <f>ContinuousStatsTable[[#This Row],[ProjectName]]&amp;ContinuousStatsTable[[#This Row],[Name]]&amp;ContinuousStatsTable[[#This Row],[Type]]&amp;ContinuousStatsTable[[#This Row],[Source]]</f>
        <v>Unnamed ProjectAGVNumber BusyTransporter</v>
      </c>
      <c r="N114" cm="1">
        <f t="array" ref="N114">MAX(IF((ProjectInfoTable[ProjectName]=ContinuousStatsTable[[#This Row],[ProjectName]]),(ProjectInfoTable[ProjectName]=ContinuousStatsTable[[#This Row],[ProjectName]])*ProjectInfoTable[NumberOfReplications]))</f>
        <v>10</v>
      </c>
      <c r="O114" cm="1">
        <f t="array" ref="O114">IFERROR(AVERAGE(IF((ContinuousStatsTable[GroupByKey]=ContinuousStatsTable[[#This Row],[GroupByKey]]),(ContinuousStatsTable[GroupByKey]=ContinuousStatsTable[[#This Row],[GroupByKey]])*ContinuousStatsTable[Average])),0)</f>
        <v>2.078872627125893</v>
      </c>
      <c r="P114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5.2787009755182E-3</v>
      </c>
      <c r="Q114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3.7761551973910287E-3</v>
      </c>
      <c r="S114" cm="1">
        <f t="array" ref="S114">MIN(IF((ContinuousStatsTable[GroupByKey]=ContinuousStatsTable[[#This Row],[GroupByKey]]),(ContinuousStatsTable[GroupByKey]=ContinuousStatsTable[[#This Row],[GroupByKey]])*ContinuousStatsTable[Average]))</f>
        <v>2.07228794584704</v>
      </c>
      <c r="T114" cm="1">
        <f t="array" ref="T114">MAX(IF((ContinuousStatsTable[GroupByKey]=ContinuousStatsTable[[#This Row],[GroupByKey]]),(ContinuousStatsTable[GroupByKey]=ContinuousStatsTable[[#This Row],[GroupByKey]])*ContinuousStatsTable[Average]))</f>
        <v>2.08892452747873</v>
      </c>
      <c r="U114">
        <f>IF((ContinuousStatsTable[[#This Row],[RepsRequested]]&gt;1),ContinuousStatsTable[[#This Row],[HalfWidth]],ContinuousStatsTable[[#This Row],[BatchMeansHalfWidth]])</f>
        <v>3.7761551973910287E-3</v>
      </c>
    </row>
    <row r="115" spans="1:21" x14ac:dyDescent="0.25">
      <c r="A115" t="s">
        <v>67</v>
      </c>
      <c r="B115" t="s">
        <v>69</v>
      </c>
      <c r="C115">
        <v>5</v>
      </c>
      <c r="D115" t="s">
        <v>96</v>
      </c>
      <c r="E115" t="s">
        <v>99</v>
      </c>
      <c r="F115" t="s">
        <v>98</v>
      </c>
      <c r="G115">
        <v>3</v>
      </c>
      <c r="H115">
        <v>2E+20</v>
      </c>
      <c r="I115">
        <v>3</v>
      </c>
      <c r="J115">
        <v>3</v>
      </c>
      <c r="K115">
        <v>3</v>
      </c>
      <c r="L115">
        <v>0</v>
      </c>
      <c r="M115" t="str">
        <f>ContinuousStatsTable[[#This Row],[ProjectName]]&amp;ContinuousStatsTable[[#This Row],[Name]]&amp;ContinuousStatsTable[[#This Row],[Type]]&amp;ContinuousStatsTable[[#This Row],[Source]]</f>
        <v>Unnamed ProjectAGVNumber ScheduledTransporter</v>
      </c>
      <c r="N115" cm="1">
        <f t="array" ref="N115">MAX(IF((ProjectInfoTable[ProjectName]=ContinuousStatsTable[[#This Row],[ProjectName]]),(ProjectInfoTable[ProjectName]=ContinuousStatsTable[[#This Row],[ProjectName]])*ProjectInfoTable[NumberOfReplications]))</f>
        <v>10</v>
      </c>
      <c r="O115" cm="1">
        <f t="array" ref="O115">IFERROR(AVERAGE(IF((ContinuousStatsTable[GroupByKey]=ContinuousStatsTable[[#This Row],[GroupByKey]]),(ContinuousStatsTable[GroupByKey]=ContinuousStatsTable[[#This Row],[GroupByKey]])*ContinuousStatsTable[Average])),0)</f>
        <v>3</v>
      </c>
      <c r="P11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</v>
      </c>
      <c r="Q11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5" cm="1">
        <f t="array" ref="S115">MIN(IF((ContinuousStatsTable[GroupByKey]=ContinuousStatsTable[[#This Row],[GroupByKey]]),(ContinuousStatsTable[GroupByKey]=ContinuousStatsTable[[#This Row],[GroupByKey]])*ContinuousStatsTable[Average]))</f>
        <v>3</v>
      </c>
      <c r="T115" cm="1">
        <f t="array" ref="T115">MAX(IF((ContinuousStatsTable[GroupByKey]=ContinuousStatsTable[[#This Row],[GroupByKey]]),(ContinuousStatsTable[GroupByKey]=ContinuousStatsTable[[#This Row],[GroupByKey]])*ContinuousStatsTable[Average]))</f>
        <v>3</v>
      </c>
      <c r="U115">
        <f>IF((ContinuousStatsTable[[#This Row],[RepsRequested]]&gt;1),ContinuousStatsTable[[#This Row],[HalfWidth]],ContinuousStatsTable[[#This Row],[BatchMeansHalfWidth]])</f>
        <v>0</v>
      </c>
    </row>
    <row r="116" spans="1:21" x14ac:dyDescent="0.25">
      <c r="A116" t="s">
        <v>67</v>
      </c>
      <c r="B116" t="s">
        <v>69</v>
      </c>
      <c r="C116">
        <v>5</v>
      </c>
      <c r="D116" t="s">
        <v>96</v>
      </c>
      <c r="E116" t="s">
        <v>100</v>
      </c>
      <c r="F116" t="s">
        <v>98</v>
      </c>
      <c r="G116">
        <v>0.69307921791832405</v>
      </c>
      <c r="H116">
        <v>2.9222004040447302E-3</v>
      </c>
      <c r="I116">
        <v>0</v>
      </c>
      <c r="J116">
        <v>1</v>
      </c>
      <c r="K116">
        <v>0.66666666666666696</v>
      </c>
      <c r="L116">
        <v>0</v>
      </c>
      <c r="M116" t="str">
        <f>ContinuousStatsTable[[#This Row],[ProjectName]]&amp;ContinuousStatsTable[[#This Row],[Name]]&amp;ContinuousStatsTable[[#This Row],[Type]]&amp;ContinuousStatsTable[[#This Row],[Source]]</f>
        <v>Unnamed ProjectAGVUtilizationTransporter</v>
      </c>
      <c r="N116" cm="1">
        <f t="array" ref="N116">MAX(IF((ProjectInfoTable[ProjectName]=ContinuousStatsTable[[#This Row],[ProjectName]]),(ProjectInfoTable[ProjectName]=ContinuousStatsTable[[#This Row],[ProjectName]])*ProjectInfoTable[NumberOfReplications]))</f>
        <v>10</v>
      </c>
      <c r="O116" cm="1">
        <f t="array" ref="O116">IFERROR(AVERAGE(IF((ContinuousStatsTable[GroupByKey]=ContinuousStatsTable[[#This Row],[GroupByKey]]),(ContinuousStatsTable[GroupByKey]=ContinuousStatsTable[[#This Row],[GroupByKey]])*ContinuousStatsTable[Average])),0)</f>
        <v>0.69295754237529772</v>
      </c>
      <c r="P116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1.759566991837834E-3</v>
      </c>
      <c r="Q116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1.2587183991292225E-3</v>
      </c>
      <c r="S116" cm="1">
        <f t="array" ref="S116">MIN(IF((ContinuousStatsTable[GroupByKey]=ContinuousStatsTable[[#This Row],[GroupByKey]]),(ContinuousStatsTable[GroupByKey]=ContinuousStatsTable[[#This Row],[GroupByKey]])*ContinuousStatsTable[Average]))</f>
        <v>0.69076264861567704</v>
      </c>
      <c r="T116" cm="1">
        <f t="array" ref="T116">MAX(IF((ContinuousStatsTable[GroupByKey]=ContinuousStatsTable[[#This Row],[GroupByKey]]),(ContinuousStatsTable[GroupByKey]=ContinuousStatsTable[[#This Row],[GroupByKey]])*ContinuousStatsTable[Average]))</f>
        <v>0.69630817582623705</v>
      </c>
      <c r="U116">
        <f>IF((ContinuousStatsTable[[#This Row],[RepsRequested]]&gt;1),ContinuousStatsTable[[#This Row],[HalfWidth]],ContinuousStatsTable[[#This Row],[BatchMeansHalfWidth]])</f>
        <v>1.2587183991292225E-3</v>
      </c>
    </row>
    <row r="117" spans="1:21" x14ac:dyDescent="0.25">
      <c r="A117" t="s">
        <v>67</v>
      </c>
      <c r="B117" t="s">
        <v>69</v>
      </c>
      <c r="C117">
        <v>5</v>
      </c>
      <c r="D117" t="s">
        <v>70</v>
      </c>
      <c r="E117" t="s">
        <v>101</v>
      </c>
      <c r="F117" t="s">
        <v>72</v>
      </c>
      <c r="G117">
        <v>3.0385003528422001E-2</v>
      </c>
      <c r="H117">
        <v>2.4396522301830502E-3</v>
      </c>
      <c r="I117">
        <v>0</v>
      </c>
      <c r="J117">
        <v>4</v>
      </c>
      <c r="K117">
        <v>0</v>
      </c>
      <c r="L117">
        <v>0</v>
      </c>
      <c r="M117" t="str">
        <f>ContinuousStatsTable[[#This Row],[ProjectName]]&amp;ContinuousStatsTable[[#This Row],[Name]]&amp;ContinuousStatsTable[[#This Row],[Type]]&amp;ContinuousStatsTable[[#This Row],[Source]]</f>
        <v>Unnamed ProjectEnter Request AGV.QueueNumber WaitingQueue</v>
      </c>
      <c r="N117" cm="1">
        <f t="array" ref="N117">MAX(IF((ProjectInfoTable[ProjectName]=ContinuousStatsTable[[#This Row],[ProjectName]]),(ProjectInfoTable[ProjectName]=ContinuousStatsTable[[#This Row],[ProjectName]])*ProjectInfoTable[NumberOfReplications]))</f>
        <v>10</v>
      </c>
      <c r="O117" cm="1">
        <f t="array" ref="O117">IFERROR(AVERAGE(IF((ContinuousStatsTable[GroupByKey]=ContinuousStatsTable[[#This Row],[GroupByKey]]),(ContinuousStatsTable[GroupByKey]=ContinuousStatsTable[[#This Row],[GroupByKey]])*ContinuousStatsTable[Average])),0)</f>
        <v>3.1035047783347335E-2</v>
      </c>
      <c r="P117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1.214427597616889E-3</v>
      </c>
      <c r="Q117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8.6874916875660508E-4</v>
      </c>
      <c r="S117" cm="1">
        <f t="array" ref="S117">MIN(IF((ContinuousStatsTable[GroupByKey]=ContinuousStatsTable[[#This Row],[GroupByKey]]),(ContinuousStatsTable[GroupByKey]=ContinuousStatsTable[[#This Row],[GroupByKey]])*ContinuousStatsTable[Average]))</f>
        <v>2.9772007867277201E-2</v>
      </c>
      <c r="T117" cm="1">
        <f t="array" ref="T117">MAX(IF((ContinuousStatsTable[GroupByKey]=ContinuousStatsTable[[#This Row],[GroupByKey]]),(ContinuousStatsTable[GroupByKey]=ContinuousStatsTable[[#This Row],[GroupByKey]])*ContinuousStatsTable[Average]))</f>
        <v>3.3809532279706102E-2</v>
      </c>
      <c r="U117">
        <f>IF((ContinuousStatsTable[[#This Row],[RepsRequested]]&gt;1),ContinuousStatsTable[[#This Row],[HalfWidth]],ContinuousStatsTable[[#This Row],[BatchMeansHalfWidth]])</f>
        <v>8.6874916875660508E-4</v>
      </c>
    </row>
    <row r="118" spans="1:21" x14ac:dyDescent="0.25">
      <c r="A118" t="s">
        <v>67</v>
      </c>
      <c r="B118" t="s">
        <v>69</v>
      </c>
      <c r="C118">
        <v>5</v>
      </c>
      <c r="D118" t="s">
        <v>102</v>
      </c>
      <c r="E118" t="s">
        <v>103</v>
      </c>
      <c r="F118" t="s">
        <v>77</v>
      </c>
      <c r="G118">
        <v>0</v>
      </c>
      <c r="H118">
        <v>2E+20</v>
      </c>
      <c r="I118">
        <v>0</v>
      </c>
      <c r="J118">
        <v>1</v>
      </c>
      <c r="K118">
        <v>0</v>
      </c>
      <c r="L118">
        <v>0</v>
      </c>
      <c r="M118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118" cm="1">
        <f t="array" ref="N118">MAX(IF((ProjectInfoTable[ProjectName]=ContinuousStatsTable[[#This Row],[ProjectName]]),(ProjectInfoTable[ProjectName]=ContinuousStatsTable[[#This Row],[ProjectName]])*ProjectInfoTable[NumberOfReplications]))</f>
        <v>10</v>
      </c>
      <c r="O118" cm="1">
        <f t="array" ref="O118">IFERROR(AVERAGE(IF((ContinuousStatsTable[GroupByKey]=ContinuousStatsTable[[#This Row],[GroupByKey]]),(ContinuousStatsTable[GroupByKey]=ContinuousStatsTable[[#This Row],[GroupByKey]])*ContinuousStatsTable[Average])),0)</f>
        <v>0</v>
      </c>
      <c r="P118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0</v>
      </c>
      <c r="Q118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8" cm="1">
        <f t="array" ref="S118">MIN(IF((ContinuousStatsTable[GroupByKey]=ContinuousStatsTable[[#This Row],[GroupByKey]]),(ContinuousStatsTable[GroupByKey]=ContinuousStatsTable[[#This Row],[GroupByKey]])*ContinuousStatsTable[Average]))</f>
        <v>0</v>
      </c>
      <c r="T118" cm="1">
        <f t="array" ref="T118">MAX(IF((ContinuousStatsTable[GroupByKey]=ContinuousStatsTable[[#This Row],[GroupByKey]]),(ContinuousStatsTable[GroupByKey]=ContinuousStatsTable[[#This Row],[GroupByKey]])*ContinuousStatsTable[Average]))</f>
        <v>0</v>
      </c>
      <c r="U118">
        <f>IF((ContinuousStatsTable[[#This Row],[RepsRequested]]&gt;1),ContinuousStatsTable[[#This Row],[HalfWidth]],ContinuousStatsTable[[#This Row],[BatchMeansHalfWidth]])</f>
        <v>0</v>
      </c>
    </row>
    <row r="119" spans="1:21" x14ac:dyDescent="0.25">
      <c r="A119" t="s">
        <v>67</v>
      </c>
      <c r="B119" t="s">
        <v>69</v>
      </c>
      <c r="C119">
        <v>5</v>
      </c>
      <c r="D119" t="s">
        <v>104</v>
      </c>
      <c r="E119" t="s">
        <v>105</v>
      </c>
      <c r="F119" t="s">
        <v>106</v>
      </c>
      <c r="G119">
        <v>0.51888120912242897</v>
      </c>
      <c r="H119">
        <v>1.36811010762296E-2</v>
      </c>
      <c r="I119">
        <v>0</v>
      </c>
      <c r="J119">
        <v>1</v>
      </c>
      <c r="K119">
        <v>0</v>
      </c>
      <c r="L119">
        <v>0</v>
      </c>
      <c r="M119" t="str">
        <f>ContinuousStatsTable[[#This Row],[ProjectName]]&amp;ContinuousStatsTable[[#This Row],[Name]]&amp;ContinuousStatsTable[[#This Row],[Type]]&amp;ContinuousStatsTable[[#This Row],[Source]]</f>
        <v>Unnamed ProjectNEWPAINTERInstantaneous UtilizationResource</v>
      </c>
      <c r="N119" cm="1">
        <f t="array" ref="N119">MAX(IF((ProjectInfoTable[ProjectName]=ContinuousStatsTable[[#This Row],[ProjectName]]),(ProjectInfoTable[ProjectName]=ContinuousStatsTable[[#This Row],[ProjectName]])*ProjectInfoTable[NumberOfReplications]))</f>
        <v>10</v>
      </c>
      <c r="O119" cm="1">
        <f t="array" ref="O119">IFERROR(AVERAGE(IF((ContinuousStatsTable[GroupByKey]=ContinuousStatsTable[[#This Row],[GroupByKey]]),(ContinuousStatsTable[GroupByKey]=ContinuousStatsTable[[#This Row],[GroupByKey]])*ContinuousStatsTable[Average])),0)</f>
        <v>0.52518723279433455</v>
      </c>
      <c r="P119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8.4087502405714581E-3</v>
      </c>
      <c r="Q119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6.0152575551752803E-3</v>
      </c>
      <c r="S119" cm="1">
        <f t="array" ref="S119">MIN(IF((ContinuousStatsTable[GroupByKey]=ContinuousStatsTable[[#This Row],[GroupByKey]]),(ContinuousStatsTable[GroupByKey]=ContinuousStatsTable[[#This Row],[GroupByKey]])*ContinuousStatsTable[Average]))</f>
        <v>0.51150896826018899</v>
      </c>
      <c r="T119" cm="1">
        <f t="array" ref="T119">MAX(IF((ContinuousStatsTable[GroupByKey]=ContinuousStatsTable[[#This Row],[GroupByKey]]),(ContinuousStatsTable[GroupByKey]=ContinuousStatsTable[[#This Row],[GroupByKey]])*ContinuousStatsTable[Average]))</f>
        <v>0.54003281556404203</v>
      </c>
      <c r="U119">
        <f>IF((ContinuousStatsTable[[#This Row],[RepsRequested]]&gt;1),ContinuousStatsTable[[#This Row],[HalfWidth]],ContinuousStatsTable[[#This Row],[BatchMeansHalfWidth]])</f>
        <v>6.0152575551752803E-3</v>
      </c>
    </row>
    <row r="120" spans="1:21" x14ac:dyDescent="0.25">
      <c r="A120" t="s">
        <v>67</v>
      </c>
      <c r="B120" t="s">
        <v>69</v>
      </c>
      <c r="C120">
        <v>5</v>
      </c>
      <c r="D120" t="s">
        <v>104</v>
      </c>
      <c r="E120" t="s">
        <v>97</v>
      </c>
      <c r="F120" t="s">
        <v>106</v>
      </c>
      <c r="G120">
        <v>0.51888120912242897</v>
      </c>
      <c r="H120">
        <v>1.36811010762296E-2</v>
      </c>
      <c r="I120">
        <v>0</v>
      </c>
      <c r="J120">
        <v>1</v>
      </c>
      <c r="K120">
        <v>0</v>
      </c>
      <c r="L120">
        <v>0</v>
      </c>
      <c r="M120" t="str">
        <f>ContinuousStatsTable[[#This Row],[ProjectName]]&amp;ContinuousStatsTable[[#This Row],[Name]]&amp;ContinuousStatsTable[[#This Row],[Type]]&amp;ContinuousStatsTable[[#This Row],[Source]]</f>
        <v>Unnamed ProjectNEWPAINTERNumber BusyResource</v>
      </c>
      <c r="N120" cm="1">
        <f t="array" ref="N120">MAX(IF((ProjectInfoTable[ProjectName]=ContinuousStatsTable[[#This Row],[ProjectName]]),(ProjectInfoTable[ProjectName]=ContinuousStatsTable[[#This Row],[ProjectName]])*ProjectInfoTable[NumberOfReplications]))</f>
        <v>10</v>
      </c>
      <c r="O120" cm="1">
        <f t="array" ref="O120">IFERROR(AVERAGE(IF((ContinuousStatsTable[GroupByKey]=ContinuousStatsTable[[#This Row],[GroupByKey]]),(ContinuousStatsTable[GroupByKey]=ContinuousStatsTable[[#This Row],[GroupByKey]])*ContinuousStatsTable[Average])),0)</f>
        <v>0.52518723279433455</v>
      </c>
      <c r="P120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8.4087502405714581E-3</v>
      </c>
      <c r="Q120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6.0152575551752803E-3</v>
      </c>
      <c r="S120" cm="1">
        <f t="array" ref="S120">MIN(IF((ContinuousStatsTable[GroupByKey]=ContinuousStatsTable[[#This Row],[GroupByKey]]),(ContinuousStatsTable[GroupByKey]=ContinuousStatsTable[[#This Row],[GroupByKey]])*ContinuousStatsTable[Average]))</f>
        <v>0.51150896826018899</v>
      </c>
      <c r="T120" cm="1">
        <f t="array" ref="T120">MAX(IF((ContinuousStatsTable[GroupByKey]=ContinuousStatsTable[[#This Row],[GroupByKey]]),(ContinuousStatsTable[GroupByKey]=ContinuousStatsTable[[#This Row],[GroupByKey]])*ContinuousStatsTable[Average]))</f>
        <v>0.54003281556404203</v>
      </c>
      <c r="U120">
        <f>IF((ContinuousStatsTable[[#This Row],[RepsRequested]]&gt;1),ContinuousStatsTable[[#This Row],[HalfWidth]],ContinuousStatsTable[[#This Row],[BatchMeansHalfWidth]])</f>
        <v>6.0152575551752803E-3</v>
      </c>
    </row>
    <row r="121" spans="1:21" x14ac:dyDescent="0.25">
      <c r="A121" t="s">
        <v>67</v>
      </c>
      <c r="B121" t="s">
        <v>69</v>
      </c>
      <c r="C121">
        <v>5</v>
      </c>
      <c r="D121" t="s">
        <v>104</v>
      </c>
      <c r="E121" t="s">
        <v>99</v>
      </c>
      <c r="F121" t="s">
        <v>106</v>
      </c>
      <c r="G121">
        <v>1</v>
      </c>
      <c r="H121">
        <v>2E+20</v>
      </c>
      <c r="I121">
        <v>1</v>
      </c>
      <c r="J121">
        <v>1</v>
      </c>
      <c r="K121">
        <v>1</v>
      </c>
      <c r="L121">
        <v>0</v>
      </c>
      <c r="M121" t="str">
        <f>ContinuousStatsTable[[#This Row],[ProjectName]]&amp;ContinuousStatsTable[[#This Row],[Name]]&amp;ContinuousStatsTable[[#This Row],[Type]]&amp;ContinuousStatsTable[[#This Row],[Source]]</f>
        <v>Unnamed ProjectNEWPAINTERNumber ScheduledResource</v>
      </c>
      <c r="N121" cm="1">
        <f t="array" ref="N121">MAX(IF((ProjectInfoTable[ProjectName]=ContinuousStatsTable[[#This Row],[ProjectName]]),(ProjectInfoTable[ProjectName]=ContinuousStatsTable[[#This Row],[ProjectName]])*ProjectInfoTable[NumberOfReplications]))</f>
        <v>10</v>
      </c>
      <c r="O121" cm="1">
        <f t="array" ref="O121">IFERROR(AVERAGE(IF((ContinuousStatsTable[GroupByKey]=ContinuousStatsTable[[#This Row],[GroupByKey]]),(ContinuousStatsTable[GroupByKey]=ContinuousStatsTable[[#This Row],[GroupByKey]])*ContinuousStatsTable[Average])),0)</f>
        <v>1</v>
      </c>
      <c r="P121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0</v>
      </c>
      <c r="Q121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1" cm="1">
        <f t="array" ref="S121">MIN(IF((ContinuousStatsTable[GroupByKey]=ContinuousStatsTable[[#This Row],[GroupByKey]]),(ContinuousStatsTable[GroupByKey]=ContinuousStatsTable[[#This Row],[GroupByKey]])*ContinuousStatsTable[Average]))</f>
        <v>1</v>
      </c>
      <c r="T121" cm="1">
        <f t="array" ref="T121">MAX(IF((ContinuousStatsTable[GroupByKey]=ContinuousStatsTable[[#This Row],[GroupByKey]]),(ContinuousStatsTable[GroupByKey]=ContinuousStatsTable[[#This Row],[GroupByKey]])*ContinuousStatsTable[Average]))</f>
        <v>1</v>
      </c>
      <c r="U121">
        <f>IF((ContinuousStatsTable[[#This Row],[RepsRequested]]&gt;1),ContinuousStatsTable[[#This Row],[HalfWidth]],ContinuousStatsTable[[#This Row],[BatchMeansHalfWidth]])</f>
        <v>0</v>
      </c>
    </row>
    <row r="122" spans="1:21" x14ac:dyDescent="0.25">
      <c r="A122" t="s">
        <v>67</v>
      </c>
      <c r="B122" t="s">
        <v>69</v>
      </c>
      <c r="C122">
        <v>5</v>
      </c>
      <c r="D122" t="s">
        <v>73</v>
      </c>
      <c r="E122" t="s">
        <v>101</v>
      </c>
      <c r="F122" t="s">
        <v>72</v>
      </c>
      <c r="G122">
        <v>0.18571864926252701</v>
      </c>
      <c r="H122">
        <v>1.9566154024624E-2</v>
      </c>
      <c r="I122">
        <v>0</v>
      </c>
      <c r="J122">
        <v>5</v>
      </c>
      <c r="K122">
        <v>0</v>
      </c>
      <c r="L122">
        <v>0</v>
      </c>
      <c r="M122" t="str">
        <f>ContinuousStatsTable[[#This Row],[ProjectName]]&amp;ContinuousStatsTable[[#This Row],[Name]]&amp;ContinuousStatsTable[[#This Row],[Type]]&amp;ContinuousStatsTable[[#This Row],[Source]]</f>
        <v>Unnamed ProjectNewPaintQNumber WaitingQueue</v>
      </c>
      <c r="N122" cm="1">
        <f t="array" ref="N122">MAX(IF((ProjectInfoTable[ProjectName]=ContinuousStatsTable[[#This Row],[ProjectName]]),(ProjectInfoTable[ProjectName]=ContinuousStatsTable[[#This Row],[ProjectName]])*ProjectInfoTable[NumberOfReplications]))</f>
        <v>10</v>
      </c>
      <c r="O122" cm="1">
        <f t="array" ref="O122">IFERROR(AVERAGE(IF((ContinuousStatsTable[GroupByKey]=ContinuousStatsTable[[#This Row],[GroupByKey]]),(ContinuousStatsTable[GroupByKey]=ContinuousStatsTable[[#This Row],[GroupByKey]])*ContinuousStatsTable[Average])),0)</f>
        <v>0.19175082727765341</v>
      </c>
      <c r="P122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1.5966644693782381E-2</v>
      </c>
      <c r="Q122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1.1421849546877095E-2</v>
      </c>
      <c r="S122" cm="1">
        <f t="array" ref="S122">MIN(IF((ContinuousStatsTable[GroupByKey]=ContinuousStatsTable[[#This Row],[GroupByKey]]),(ContinuousStatsTable[GroupByKey]=ContinuousStatsTable[[#This Row],[GroupByKey]])*ContinuousStatsTable[Average]))</f>
        <v>0.17015628683515099</v>
      </c>
      <c r="T122" cm="1">
        <f t="array" ref="T122">MAX(IF((ContinuousStatsTable[GroupByKey]=ContinuousStatsTable[[#This Row],[GroupByKey]]),(ContinuousStatsTable[GroupByKey]=ContinuousStatsTable[[#This Row],[GroupByKey]])*ContinuousStatsTable[Average]))</f>
        <v>0.217869952503708</v>
      </c>
      <c r="U122">
        <f>IF((ContinuousStatsTable[[#This Row],[RepsRequested]]&gt;1),ContinuousStatsTable[[#This Row],[HalfWidth]],ContinuousStatsTable[[#This Row],[BatchMeansHalfWidth]])</f>
        <v>1.1421849546877095E-2</v>
      </c>
    </row>
    <row r="123" spans="1:21" x14ac:dyDescent="0.25">
      <c r="A123" t="s">
        <v>67</v>
      </c>
      <c r="B123" t="s">
        <v>69</v>
      </c>
      <c r="C123">
        <v>5</v>
      </c>
      <c r="D123" t="s">
        <v>74</v>
      </c>
      <c r="E123" t="s">
        <v>101</v>
      </c>
      <c r="F123" t="s">
        <v>72</v>
      </c>
      <c r="G123">
        <v>4.6579112687443504E-3</v>
      </c>
      <c r="H123">
        <v>4.0153798829135098E-4</v>
      </c>
      <c r="I123">
        <v>0</v>
      </c>
      <c r="J123">
        <v>1</v>
      </c>
      <c r="K123">
        <v>0</v>
      </c>
      <c r="L123">
        <v>0</v>
      </c>
      <c r="M123" t="str">
        <f>ContinuousStatsTable[[#This Row],[ProjectName]]&amp;ContinuousStatsTable[[#This Row],[Name]]&amp;ContinuousStatsTable[[#This Row],[Type]]&amp;ContinuousStatsTable[[#This Row],[Source]]</f>
        <v>Unnamed ProjectNewPaintReqQNumber WaitingQueue</v>
      </c>
      <c r="N123" cm="1">
        <f t="array" ref="N123">MAX(IF((ProjectInfoTable[ProjectName]=ContinuousStatsTable[[#This Row],[ProjectName]]),(ProjectInfoTable[ProjectName]=ContinuousStatsTable[[#This Row],[ProjectName]])*ProjectInfoTable[NumberOfReplications]))</f>
        <v>10</v>
      </c>
      <c r="O123" cm="1">
        <f t="array" ref="O123">IFERROR(AVERAGE(IF((ContinuousStatsTable[GroupByKey]=ContinuousStatsTable[[#This Row],[GroupByKey]]),(ContinuousStatsTable[GroupByKey]=ContinuousStatsTable[[#This Row],[GroupByKey]])*ContinuousStatsTable[Average])),0)</f>
        <v>4.7461022101932173E-3</v>
      </c>
      <c r="P123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2.0643575159293872E-4</v>
      </c>
      <c r="Q123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1.4767524054125336E-4</v>
      </c>
      <c r="S123" cm="1">
        <f t="array" ref="S123">MIN(IF((ContinuousStatsTable[GroupByKey]=ContinuousStatsTable[[#This Row],[GroupByKey]]),(ContinuousStatsTable[GroupByKey]=ContinuousStatsTable[[#This Row],[GroupByKey]])*ContinuousStatsTable[Average]))</f>
        <v>4.3438456155572196E-3</v>
      </c>
      <c r="T123" cm="1">
        <f t="array" ref="T123">MAX(IF((ContinuousStatsTable[GroupByKey]=ContinuousStatsTable[[#This Row],[GroupByKey]]),(ContinuousStatsTable[GroupByKey]=ContinuousStatsTable[[#This Row],[GroupByKey]])*ContinuousStatsTable[Average]))</f>
        <v>5.0878342070728201E-3</v>
      </c>
      <c r="U123">
        <f>IF((ContinuousStatsTable[[#This Row],[RepsRequested]]&gt;1),ContinuousStatsTable[[#This Row],[HalfWidth]],ContinuousStatsTable[[#This Row],[BatchMeansHalfWidth]])</f>
        <v>1.4767524054125336E-4</v>
      </c>
    </row>
    <row r="124" spans="1:21" x14ac:dyDescent="0.25">
      <c r="A124" t="s">
        <v>67</v>
      </c>
      <c r="B124" t="s">
        <v>69</v>
      </c>
      <c r="C124">
        <v>5</v>
      </c>
      <c r="D124" t="s">
        <v>75</v>
      </c>
      <c r="E124" t="s">
        <v>103</v>
      </c>
      <c r="F124" t="s">
        <v>77</v>
      </c>
      <c r="G124">
        <v>2.5477865384754801</v>
      </c>
      <c r="H124">
        <v>0.167138713785802</v>
      </c>
      <c r="I124">
        <v>0</v>
      </c>
      <c r="J124">
        <v>15</v>
      </c>
      <c r="K124">
        <v>1</v>
      </c>
      <c r="L124">
        <v>0</v>
      </c>
      <c r="M124" t="str">
        <f>ContinuousStatsTable[[#This Row],[ProjectName]]&amp;ContinuousStatsTable[[#This Row],[Name]]&amp;ContinuousStatsTable[[#This Row],[Type]]&amp;ContinuousStatsTable[[#This Row],[Source]]</f>
        <v>Unnamed ProjectNewPartWIPEntity</v>
      </c>
      <c r="N124" cm="1">
        <f t="array" ref="N124">MAX(IF((ProjectInfoTable[ProjectName]=ContinuousStatsTable[[#This Row],[ProjectName]]),(ProjectInfoTable[ProjectName]=ContinuousStatsTable[[#This Row],[ProjectName]])*ProjectInfoTable[NumberOfReplications]))</f>
        <v>10</v>
      </c>
      <c r="O124" cm="1">
        <f t="array" ref="O124">IFERROR(AVERAGE(IF((ContinuousStatsTable[GroupByKey]=ContinuousStatsTable[[#This Row],[GroupByKey]]),(ContinuousStatsTable[GroupByKey]=ContinuousStatsTable[[#This Row],[GroupByKey]])*ContinuousStatsTable[Average])),0)</f>
        <v>2.5498900061729541</v>
      </c>
      <c r="P124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7.472159430415927E-2</v>
      </c>
      <c r="Q124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5.3452608510618609E-2</v>
      </c>
      <c r="S124" cm="1">
        <f t="array" ref="S124">MIN(IF((ContinuousStatsTable[GroupByKey]=ContinuousStatsTable[[#This Row],[GroupByKey]]),(ContinuousStatsTable[GroupByKey]=ContinuousStatsTable[[#This Row],[GroupByKey]])*ContinuousStatsTable[Average]))</f>
        <v>2.4192292508998099</v>
      </c>
      <c r="T124" cm="1">
        <f t="array" ref="T124">MAX(IF((ContinuousStatsTable[GroupByKey]=ContinuousStatsTable[[#This Row],[GroupByKey]]),(ContinuousStatsTable[GroupByKey]=ContinuousStatsTable[[#This Row],[GroupByKey]])*ContinuousStatsTable[Average]))</f>
        <v>2.6620431560013098</v>
      </c>
      <c r="U124">
        <f>IF((ContinuousStatsTable[[#This Row],[RepsRequested]]&gt;1),ContinuousStatsTable[[#This Row],[HalfWidth]],ContinuousStatsTable[[#This Row],[BatchMeansHalfWidth]])</f>
        <v>5.3452608510618609E-2</v>
      </c>
    </row>
    <row r="125" spans="1:21" x14ac:dyDescent="0.25">
      <c r="A125" t="s">
        <v>67</v>
      </c>
      <c r="B125" t="s">
        <v>69</v>
      </c>
      <c r="C125">
        <v>5</v>
      </c>
      <c r="D125" t="s">
        <v>83</v>
      </c>
      <c r="E125" t="s">
        <v>103</v>
      </c>
      <c r="F125" t="s">
        <v>77</v>
      </c>
      <c r="G125">
        <v>4.9818609634118598</v>
      </c>
      <c r="H125">
        <v>0.29855907284878302</v>
      </c>
      <c r="I125">
        <v>0</v>
      </c>
      <c r="J125">
        <v>26</v>
      </c>
      <c r="K125">
        <v>2</v>
      </c>
      <c r="L125">
        <v>0</v>
      </c>
      <c r="M125" t="str">
        <f>ContinuousStatsTable[[#This Row],[ProjectName]]&amp;ContinuousStatsTable[[#This Row],[Name]]&amp;ContinuousStatsTable[[#This Row],[Type]]&amp;ContinuousStatsTable[[#This Row],[Source]]</f>
        <v>Unnamed ProjectOldPartWIPEntity</v>
      </c>
      <c r="N125" cm="1">
        <f t="array" ref="N125">MAX(IF((ProjectInfoTable[ProjectName]=ContinuousStatsTable[[#This Row],[ProjectName]]),(ProjectInfoTable[ProjectName]=ContinuousStatsTable[[#This Row],[ProjectName]])*ProjectInfoTable[NumberOfReplications]))</f>
        <v>10</v>
      </c>
      <c r="O125" cm="1">
        <f t="array" ref="O125">IFERROR(AVERAGE(IF((ContinuousStatsTable[GroupByKey]=ContinuousStatsTable[[#This Row],[GroupByKey]]),(ContinuousStatsTable[GroupByKey]=ContinuousStatsTable[[#This Row],[GroupByKey]])*ContinuousStatsTable[Average])),0)</f>
        <v>4.9513834264802963</v>
      </c>
      <c r="P12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0.10244397191297382</v>
      </c>
      <c r="Q12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7.3284002783010616E-2</v>
      </c>
      <c r="S125" cm="1">
        <f t="array" ref="S125">MIN(IF((ContinuousStatsTable[GroupByKey]=ContinuousStatsTable[[#This Row],[GroupByKey]]),(ContinuousStatsTable[GroupByKey]=ContinuousStatsTable[[#This Row],[GroupByKey]])*ContinuousStatsTable[Average]))</f>
        <v>4.82855853416822</v>
      </c>
      <c r="T125" cm="1">
        <f t="array" ref="T125">MAX(IF((ContinuousStatsTable[GroupByKey]=ContinuousStatsTable[[#This Row],[GroupByKey]]),(ContinuousStatsTable[GroupByKey]=ContinuousStatsTable[[#This Row],[GroupByKey]])*ContinuousStatsTable[Average]))</f>
        <v>5.1212851674768203</v>
      </c>
      <c r="U125">
        <f>IF((ContinuousStatsTable[[#This Row],[RepsRequested]]&gt;1),ContinuousStatsTable[[#This Row],[HalfWidth]],ContinuousStatsTable[[#This Row],[BatchMeansHalfWidth]])</f>
        <v>7.3284002783010616E-2</v>
      </c>
    </row>
    <row r="126" spans="1:21" x14ac:dyDescent="0.25">
      <c r="A126" t="s">
        <v>67</v>
      </c>
      <c r="B126" t="s">
        <v>69</v>
      </c>
      <c r="C126">
        <v>5</v>
      </c>
      <c r="D126" t="s">
        <v>107</v>
      </c>
      <c r="E126" t="s">
        <v>105</v>
      </c>
      <c r="F126" t="s">
        <v>106</v>
      </c>
      <c r="G126">
        <v>0.81071013184483298</v>
      </c>
      <c r="H126">
        <v>1.0994126075742299E-2</v>
      </c>
      <c r="I126">
        <v>0</v>
      </c>
      <c r="J126">
        <v>1</v>
      </c>
      <c r="K126">
        <v>0</v>
      </c>
      <c r="L126">
        <v>0</v>
      </c>
      <c r="M126" t="str">
        <f>ContinuousStatsTable[[#This Row],[ProjectName]]&amp;ContinuousStatsTable[[#This Row],[Name]]&amp;ContinuousStatsTable[[#This Row],[Type]]&amp;ContinuousStatsTable[[#This Row],[Source]]</f>
        <v>Unnamed ProjectPACKERInstantaneous UtilizationResource</v>
      </c>
      <c r="N126" cm="1">
        <f t="array" ref="N126">MAX(IF((ProjectInfoTable[ProjectName]=ContinuousStatsTable[[#This Row],[ProjectName]]),(ProjectInfoTable[ProjectName]=ContinuousStatsTable[[#This Row],[ProjectName]])*ProjectInfoTable[NumberOfReplications]))</f>
        <v>10</v>
      </c>
      <c r="O126" cm="1">
        <f t="array" ref="O126">IFERROR(AVERAGE(IF((ContinuousStatsTable[GroupByKey]=ContinuousStatsTable[[#This Row],[GroupByKey]]),(ContinuousStatsTable[GroupByKey]=ContinuousStatsTable[[#This Row],[GroupByKey]])*ContinuousStatsTable[Average])),0)</f>
        <v>0.81557194281027567</v>
      </c>
      <c r="P126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6.9416851287817331E-3</v>
      </c>
      <c r="Q126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4.9657823959478754E-3</v>
      </c>
      <c r="S126" cm="1">
        <f t="array" ref="S126">MIN(IF((ContinuousStatsTable[GroupByKey]=ContinuousStatsTable[[#This Row],[GroupByKey]]),(ContinuousStatsTable[GroupByKey]=ContinuousStatsTable[[#This Row],[GroupByKey]])*ContinuousStatsTable[Average]))</f>
        <v>0.80675605099888203</v>
      </c>
      <c r="T126" cm="1">
        <f t="array" ref="T126">MAX(IF((ContinuousStatsTable[GroupByKey]=ContinuousStatsTable[[#This Row],[GroupByKey]]),(ContinuousStatsTable[GroupByKey]=ContinuousStatsTable[[#This Row],[GroupByKey]])*ContinuousStatsTable[Average]))</f>
        <v>0.82818429749007605</v>
      </c>
      <c r="U126">
        <f>IF((ContinuousStatsTable[[#This Row],[RepsRequested]]&gt;1),ContinuousStatsTable[[#This Row],[HalfWidth]],ContinuousStatsTable[[#This Row],[BatchMeansHalfWidth]])</f>
        <v>4.9657823959478754E-3</v>
      </c>
    </row>
    <row r="127" spans="1:21" x14ac:dyDescent="0.25">
      <c r="A127" t="s">
        <v>67</v>
      </c>
      <c r="B127" t="s">
        <v>69</v>
      </c>
      <c r="C127">
        <v>5</v>
      </c>
      <c r="D127" t="s">
        <v>107</v>
      </c>
      <c r="E127" t="s">
        <v>97</v>
      </c>
      <c r="F127" t="s">
        <v>106</v>
      </c>
      <c r="G127">
        <v>0.81071013184483298</v>
      </c>
      <c r="H127">
        <v>1.0994126075742299E-2</v>
      </c>
      <c r="I127">
        <v>0</v>
      </c>
      <c r="J127">
        <v>1</v>
      </c>
      <c r="K127">
        <v>0</v>
      </c>
      <c r="L127">
        <v>0</v>
      </c>
      <c r="M127" t="str">
        <f>ContinuousStatsTable[[#This Row],[ProjectName]]&amp;ContinuousStatsTable[[#This Row],[Name]]&amp;ContinuousStatsTable[[#This Row],[Type]]&amp;ContinuousStatsTable[[#This Row],[Source]]</f>
        <v>Unnamed ProjectPACKERNumber BusyResource</v>
      </c>
      <c r="N127" cm="1">
        <f t="array" ref="N127">MAX(IF((ProjectInfoTable[ProjectName]=ContinuousStatsTable[[#This Row],[ProjectName]]),(ProjectInfoTable[ProjectName]=ContinuousStatsTable[[#This Row],[ProjectName]])*ProjectInfoTable[NumberOfReplications]))</f>
        <v>10</v>
      </c>
      <c r="O127" cm="1">
        <f t="array" ref="O127">IFERROR(AVERAGE(IF((ContinuousStatsTable[GroupByKey]=ContinuousStatsTable[[#This Row],[GroupByKey]]),(ContinuousStatsTable[GroupByKey]=ContinuousStatsTable[[#This Row],[GroupByKey]])*ContinuousStatsTable[Average])),0)</f>
        <v>0.81557194281027567</v>
      </c>
      <c r="P127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6.9416851287817331E-3</v>
      </c>
      <c r="Q127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4.9657823959478754E-3</v>
      </c>
      <c r="S127" cm="1">
        <f t="array" ref="S127">MIN(IF((ContinuousStatsTable[GroupByKey]=ContinuousStatsTable[[#This Row],[GroupByKey]]),(ContinuousStatsTable[GroupByKey]=ContinuousStatsTable[[#This Row],[GroupByKey]])*ContinuousStatsTable[Average]))</f>
        <v>0.80675605099888203</v>
      </c>
      <c r="T127" cm="1">
        <f t="array" ref="T127">MAX(IF((ContinuousStatsTable[GroupByKey]=ContinuousStatsTable[[#This Row],[GroupByKey]]),(ContinuousStatsTable[GroupByKey]=ContinuousStatsTable[[#This Row],[GroupByKey]])*ContinuousStatsTable[Average]))</f>
        <v>0.82818429749007605</v>
      </c>
      <c r="U127">
        <f>IF((ContinuousStatsTable[[#This Row],[RepsRequested]]&gt;1),ContinuousStatsTable[[#This Row],[HalfWidth]],ContinuousStatsTable[[#This Row],[BatchMeansHalfWidth]])</f>
        <v>4.9657823959478754E-3</v>
      </c>
    </row>
    <row r="128" spans="1:21" x14ac:dyDescent="0.25">
      <c r="A128" t="s">
        <v>67</v>
      </c>
      <c r="B128" t="s">
        <v>69</v>
      </c>
      <c r="C128">
        <v>5</v>
      </c>
      <c r="D128" t="s">
        <v>107</v>
      </c>
      <c r="E128" t="s">
        <v>99</v>
      </c>
      <c r="F128" t="s">
        <v>106</v>
      </c>
      <c r="G128">
        <v>1</v>
      </c>
      <c r="H128">
        <v>2E+20</v>
      </c>
      <c r="I128">
        <v>1</v>
      </c>
      <c r="J128">
        <v>1</v>
      </c>
      <c r="K128">
        <v>1</v>
      </c>
      <c r="L128">
        <v>0</v>
      </c>
      <c r="M128" t="str">
        <f>ContinuousStatsTable[[#This Row],[ProjectName]]&amp;ContinuousStatsTable[[#This Row],[Name]]&amp;ContinuousStatsTable[[#This Row],[Type]]&amp;ContinuousStatsTable[[#This Row],[Source]]</f>
        <v>Unnamed ProjectPACKERNumber ScheduledResource</v>
      </c>
      <c r="N128" cm="1">
        <f t="array" ref="N128">MAX(IF((ProjectInfoTable[ProjectName]=ContinuousStatsTable[[#This Row],[ProjectName]]),(ProjectInfoTable[ProjectName]=ContinuousStatsTable[[#This Row],[ProjectName]])*ProjectInfoTable[NumberOfReplications]))</f>
        <v>10</v>
      </c>
      <c r="O128" cm="1">
        <f t="array" ref="O128">IFERROR(AVERAGE(IF((ContinuousStatsTable[GroupByKey]=ContinuousStatsTable[[#This Row],[GroupByKey]]),(ContinuousStatsTable[GroupByKey]=ContinuousStatsTable[[#This Row],[GroupByKey]])*ContinuousStatsTable[Average])),0)</f>
        <v>1</v>
      </c>
      <c r="P128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0</v>
      </c>
      <c r="Q128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8" cm="1">
        <f t="array" ref="S128">MIN(IF((ContinuousStatsTable[GroupByKey]=ContinuousStatsTable[[#This Row],[GroupByKey]]),(ContinuousStatsTable[GroupByKey]=ContinuousStatsTable[[#This Row],[GroupByKey]])*ContinuousStatsTable[Average]))</f>
        <v>1</v>
      </c>
      <c r="T128" cm="1">
        <f t="array" ref="T128">MAX(IF((ContinuousStatsTable[GroupByKey]=ContinuousStatsTable[[#This Row],[GroupByKey]]),(ContinuousStatsTable[GroupByKey]=ContinuousStatsTable[[#This Row],[GroupByKey]])*ContinuousStatsTable[Average]))</f>
        <v>1</v>
      </c>
      <c r="U128">
        <f>IF((ContinuousStatsTable[[#This Row],[RepsRequested]]&gt;1),ContinuousStatsTable[[#This Row],[HalfWidth]],ContinuousStatsTable[[#This Row],[BatchMeansHalfWidth]])</f>
        <v>0</v>
      </c>
    </row>
    <row r="129" spans="1:21" x14ac:dyDescent="0.25">
      <c r="A129" t="s">
        <v>67</v>
      </c>
      <c r="B129" t="s">
        <v>69</v>
      </c>
      <c r="C129">
        <v>5</v>
      </c>
      <c r="D129" t="s">
        <v>108</v>
      </c>
      <c r="E129" t="s">
        <v>105</v>
      </c>
      <c r="F129" t="s">
        <v>106</v>
      </c>
      <c r="G129">
        <v>0.54726193256515798</v>
      </c>
      <c r="H129">
        <v>7.9358027693312606E-3</v>
      </c>
      <c r="I129">
        <v>0</v>
      </c>
      <c r="J129">
        <v>1</v>
      </c>
      <c r="K129">
        <v>1</v>
      </c>
      <c r="L129">
        <v>0</v>
      </c>
      <c r="M129" t="str">
        <f>ContinuousStatsTable[[#This Row],[ProjectName]]&amp;ContinuousStatsTable[[#This Row],[Name]]&amp;ContinuousStatsTable[[#This Row],[Type]]&amp;ContinuousStatsTable[[#This Row],[Source]]</f>
        <v>Unnamed ProjectPAINTERInstantaneous UtilizationResource</v>
      </c>
      <c r="N129" cm="1">
        <f t="array" ref="N129">MAX(IF((ProjectInfoTable[ProjectName]=ContinuousStatsTable[[#This Row],[ProjectName]]),(ProjectInfoTable[ProjectName]=ContinuousStatsTable[[#This Row],[ProjectName]])*ProjectInfoTable[NumberOfReplications]))</f>
        <v>10</v>
      </c>
      <c r="O129" cm="1">
        <f t="array" ref="O129">IFERROR(AVERAGE(IF((ContinuousStatsTable[GroupByKey]=ContinuousStatsTable[[#This Row],[GroupByKey]]),(ContinuousStatsTable[GroupByKey]=ContinuousStatsTable[[#This Row],[GroupByKey]])*ContinuousStatsTable[Average])),0)</f>
        <v>0.54938142053560801</v>
      </c>
      <c r="P129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4.5196387022068685E-3</v>
      </c>
      <c r="Q129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3.2331547581159752E-3</v>
      </c>
      <c r="S129" cm="1">
        <f t="array" ref="S129">MIN(IF((ContinuousStatsTable[GroupByKey]=ContinuousStatsTable[[#This Row],[GroupByKey]]),(ContinuousStatsTable[GroupByKey]=ContinuousStatsTable[[#This Row],[GroupByKey]])*ContinuousStatsTable[Average]))</f>
        <v>0.54030874063430001</v>
      </c>
      <c r="T129" cm="1">
        <f t="array" ref="T129">MAX(IF((ContinuousStatsTable[GroupByKey]=ContinuousStatsTable[[#This Row],[GroupByKey]]),(ContinuousStatsTable[GroupByKey]=ContinuousStatsTable[[#This Row],[GroupByKey]])*ContinuousStatsTable[Average]))</f>
        <v>0.55566835138728998</v>
      </c>
      <c r="U129">
        <f>IF((ContinuousStatsTable[[#This Row],[RepsRequested]]&gt;1),ContinuousStatsTable[[#This Row],[HalfWidth]],ContinuousStatsTable[[#This Row],[BatchMeansHalfWidth]])</f>
        <v>3.2331547581159752E-3</v>
      </c>
    </row>
    <row r="130" spans="1:21" x14ac:dyDescent="0.25">
      <c r="A130" t="s">
        <v>67</v>
      </c>
      <c r="B130" t="s">
        <v>69</v>
      </c>
      <c r="C130">
        <v>5</v>
      </c>
      <c r="D130" t="s">
        <v>108</v>
      </c>
      <c r="E130" t="s">
        <v>97</v>
      </c>
      <c r="F130" t="s">
        <v>106</v>
      </c>
      <c r="G130">
        <v>0.54726193256515798</v>
      </c>
      <c r="H130">
        <v>7.9358027693312606E-3</v>
      </c>
      <c r="I130">
        <v>0</v>
      </c>
      <c r="J130">
        <v>1</v>
      </c>
      <c r="K130">
        <v>1</v>
      </c>
      <c r="L130">
        <v>0</v>
      </c>
      <c r="M130" t="str">
        <f>ContinuousStatsTable[[#This Row],[ProjectName]]&amp;ContinuousStatsTable[[#This Row],[Name]]&amp;ContinuousStatsTable[[#This Row],[Type]]&amp;ContinuousStatsTable[[#This Row],[Source]]</f>
        <v>Unnamed ProjectPAINTERNumber BusyResource</v>
      </c>
      <c r="N130" cm="1">
        <f t="array" ref="N130">MAX(IF((ProjectInfoTable[ProjectName]=ContinuousStatsTable[[#This Row],[ProjectName]]),(ProjectInfoTable[ProjectName]=ContinuousStatsTable[[#This Row],[ProjectName]])*ProjectInfoTable[NumberOfReplications]))</f>
        <v>10</v>
      </c>
      <c r="O130" cm="1">
        <f t="array" ref="O130">IFERROR(AVERAGE(IF((ContinuousStatsTable[GroupByKey]=ContinuousStatsTable[[#This Row],[GroupByKey]]),(ContinuousStatsTable[GroupByKey]=ContinuousStatsTable[[#This Row],[GroupByKey]])*ContinuousStatsTable[Average])),0)</f>
        <v>0.54938142053560801</v>
      </c>
      <c r="P130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4.5196387022068685E-3</v>
      </c>
      <c r="Q130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3.2331547581159752E-3</v>
      </c>
      <c r="S130" cm="1">
        <f t="array" ref="S130">MIN(IF((ContinuousStatsTable[GroupByKey]=ContinuousStatsTable[[#This Row],[GroupByKey]]),(ContinuousStatsTable[GroupByKey]=ContinuousStatsTable[[#This Row],[GroupByKey]])*ContinuousStatsTable[Average]))</f>
        <v>0.54030874063430001</v>
      </c>
      <c r="T130" cm="1">
        <f t="array" ref="T130">MAX(IF((ContinuousStatsTable[GroupByKey]=ContinuousStatsTable[[#This Row],[GroupByKey]]),(ContinuousStatsTable[GroupByKey]=ContinuousStatsTable[[#This Row],[GroupByKey]])*ContinuousStatsTable[Average]))</f>
        <v>0.55566835138728998</v>
      </c>
      <c r="U130">
        <f>IF((ContinuousStatsTable[[#This Row],[RepsRequested]]&gt;1),ContinuousStatsTable[[#This Row],[HalfWidth]],ContinuousStatsTable[[#This Row],[BatchMeansHalfWidth]])</f>
        <v>3.2331547581159752E-3</v>
      </c>
    </row>
    <row r="131" spans="1:21" x14ac:dyDescent="0.25">
      <c r="A131" t="s">
        <v>67</v>
      </c>
      <c r="B131" t="s">
        <v>69</v>
      </c>
      <c r="C131">
        <v>5</v>
      </c>
      <c r="D131" t="s">
        <v>108</v>
      </c>
      <c r="E131" t="s">
        <v>99</v>
      </c>
      <c r="F131" t="s">
        <v>106</v>
      </c>
      <c r="G131">
        <v>1</v>
      </c>
      <c r="H131">
        <v>2E+20</v>
      </c>
      <c r="I131">
        <v>1</v>
      </c>
      <c r="J131">
        <v>1</v>
      </c>
      <c r="K131">
        <v>1</v>
      </c>
      <c r="L131">
        <v>0</v>
      </c>
      <c r="M131" t="str">
        <f>ContinuousStatsTable[[#This Row],[ProjectName]]&amp;ContinuousStatsTable[[#This Row],[Name]]&amp;ContinuousStatsTable[[#This Row],[Type]]&amp;ContinuousStatsTable[[#This Row],[Source]]</f>
        <v>Unnamed ProjectPAINTERNumber ScheduledResource</v>
      </c>
      <c r="N131" cm="1">
        <f t="array" ref="N131">MAX(IF((ProjectInfoTable[ProjectName]=ContinuousStatsTable[[#This Row],[ProjectName]]),(ProjectInfoTable[ProjectName]=ContinuousStatsTable[[#This Row],[ProjectName]])*ProjectInfoTable[NumberOfReplications]))</f>
        <v>10</v>
      </c>
      <c r="O131" cm="1">
        <f t="array" ref="O131">IFERROR(AVERAGE(IF((ContinuousStatsTable[GroupByKey]=ContinuousStatsTable[[#This Row],[GroupByKey]]),(ContinuousStatsTable[GroupByKey]=ContinuousStatsTable[[#This Row],[GroupByKey]])*ContinuousStatsTable[Average])),0)</f>
        <v>1</v>
      </c>
      <c r="P131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0</v>
      </c>
      <c r="Q131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1" cm="1">
        <f t="array" ref="S131">MIN(IF((ContinuousStatsTable[GroupByKey]=ContinuousStatsTable[[#This Row],[GroupByKey]]),(ContinuousStatsTable[GroupByKey]=ContinuousStatsTable[[#This Row],[GroupByKey]])*ContinuousStatsTable[Average]))</f>
        <v>1</v>
      </c>
      <c r="T131" cm="1">
        <f t="array" ref="T131">MAX(IF((ContinuousStatsTable[GroupByKey]=ContinuousStatsTable[[#This Row],[GroupByKey]]),(ContinuousStatsTable[GroupByKey]=ContinuousStatsTable[[#This Row],[GroupByKey]])*ContinuousStatsTable[Average]))</f>
        <v>1</v>
      </c>
      <c r="U131">
        <f>IF((ContinuousStatsTable[[#This Row],[RepsRequested]]&gt;1),ContinuousStatsTable[[#This Row],[HalfWidth]],ContinuousStatsTable[[#This Row],[BatchMeansHalfWidth]])</f>
        <v>0</v>
      </c>
    </row>
    <row r="132" spans="1:21" x14ac:dyDescent="0.25">
      <c r="A132" t="s">
        <v>67</v>
      </c>
      <c r="B132" t="s">
        <v>69</v>
      </c>
      <c r="C132">
        <v>5</v>
      </c>
      <c r="D132" t="s">
        <v>84</v>
      </c>
      <c r="E132" t="s">
        <v>101</v>
      </c>
      <c r="F132" t="s">
        <v>72</v>
      </c>
      <c r="G132">
        <v>0.57085887662766899</v>
      </c>
      <c r="H132">
        <v>4.9239408831063099E-2</v>
      </c>
      <c r="I132">
        <v>0</v>
      </c>
      <c r="J132">
        <v>4</v>
      </c>
      <c r="K132">
        <v>0</v>
      </c>
      <c r="L132">
        <v>0</v>
      </c>
      <c r="M132" t="str">
        <f>ContinuousStatsTable[[#This Row],[ProjectName]]&amp;ContinuousStatsTable[[#This Row],[Name]]&amp;ContinuousStatsTable[[#This Row],[Type]]&amp;ContinuousStatsTable[[#This Row],[Source]]</f>
        <v>Unnamed ProjectPackQNumber WaitingQueue</v>
      </c>
      <c r="N132" cm="1">
        <f t="array" ref="N132">MAX(IF((ProjectInfoTable[ProjectName]=ContinuousStatsTable[[#This Row],[ProjectName]]),(ProjectInfoTable[ProjectName]=ContinuousStatsTable[[#This Row],[ProjectName]])*ProjectInfoTable[NumberOfReplications]))</f>
        <v>10</v>
      </c>
      <c r="O132" cm="1">
        <f t="array" ref="O132">IFERROR(AVERAGE(IF((ContinuousStatsTable[GroupByKey]=ContinuousStatsTable[[#This Row],[GroupByKey]]),(ContinuousStatsTable[GroupByKey]=ContinuousStatsTable[[#This Row],[GroupByKey]])*ContinuousStatsTable[Average])),0)</f>
        <v>0.5830563488318371</v>
      </c>
      <c r="P132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3.7349781067397253E-2</v>
      </c>
      <c r="Q132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2.6718423823055008E-2</v>
      </c>
      <c r="S132" cm="1">
        <f t="array" ref="S132">MIN(IF((ContinuousStatsTable[GroupByKey]=ContinuousStatsTable[[#This Row],[GroupByKey]]),(ContinuousStatsTable[GroupByKey]=ContinuousStatsTable[[#This Row],[GroupByKey]])*ContinuousStatsTable[Average]))</f>
        <v>0.51031500523829298</v>
      </c>
      <c r="T132" cm="1">
        <f t="array" ref="T132">MAX(IF((ContinuousStatsTable[GroupByKey]=ContinuousStatsTable[[#This Row],[GroupByKey]]),(ContinuousStatsTable[GroupByKey]=ContinuousStatsTable[[#This Row],[GroupByKey]])*ContinuousStatsTable[Average]))</f>
        <v>0.63800950130876</v>
      </c>
      <c r="U132">
        <f>IF((ContinuousStatsTable[[#This Row],[RepsRequested]]&gt;1),ContinuousStatsTable[[#This Row],[HalfWidth]],ContinuousStatsTable[[#This Row],[BatchMeansHalfWidth]])</f>
        <v>2.6718423823055008E-2</v>
      </c>
    </row>
    <row r="133" spans="1:21" x14ac:dyDescent="0.25">
      <c r="A133" t="s">
        <v>67</v>
      </c>
      <c r="B133" t="s">
        <v>69</v>
      </c>
      <c r="C133">
        <v>5</v>
      </c>
      <c r="D133" t="s">
        <v>85</v>
      </c>
      <c r="E133" t="s">
        <v>101</v>
      </c>
      <c r="F133" t="s">
        <v>72</v>
      </c>
      <c r="G133">
        <v>1.49737108336188E-2</v>
      </c>
      <c r="H133">
        <v>9.93905209829483E-4</v>
      </c>
      <c r="I133">
        <v>0</v>
      </c>
      <c r="J133">
        <v>1</v>
      </c>
      <c r="K133">
        <v>0</v>
      </c>
      <c r="L133">
        <v>0</v>
      </c>
      <c r="M133" t="str">
        <f>ContinuousStatsTable[[#This Row],[ProjectName]]&amp;ContinuousStatsTable[[#This Row],[Name]]&amp;ContinuousStatsTable[[#This Row],[Type]]&amp;ContinuousStatsTable[[#This Row],[Source]]</f>
        <v>Unnamed ProjectPackReqQNumber WaitingQueue</v>
      </c>
      <c r="N133" cm="1">
        <f t="array" ref="N133">MAX(IF((ProjectInfoTable[ProjectName]=ContinuousStatsTable[[#This Row],[ProjectName]]),(ProjectInfoTable[ProjectName]=ContinuousStatsTable[[#This Row],[ProjectName]])*ProjectInfoTable[NumberOfReplications]))</f>
        <v>10</v>
      </c>
      <c r="O133" cm="1">
        <f t="array" ref="O133">IFERROR(AVERAGE(IF((ContinuousStatsTable[GroupByKey]=ContinuousStatsTable[[#This Row],[GroupByKey]]),(ContinuousStatsTable[GroupByKey]=ContinuousStatsTable[[#This Row],[GroupByKey]])*ContinuousStatsTable[Average])),0)</f>
        <v>1.5083245089254998E-2</v>
      </c>
      <c r="P133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5.836712228493759E-4</v>
      </c>
      <c r="Q133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4.1753324008164384E-4</v>
      </c>
      <c r="S133" cm="1">
        <f t="array" ref="S133">MIN(IF((ContinuousStatsTable[GroupByKey]=ContinuousStatsTable[[#This Row],[GroupByKey]]),(ContinuousStatsTable[GroupByKey]=ContinuousStatsTable[[#This Row],[GroupByKey]])*ContinuousStatsTable[Average]))</f>
        <v>1.41054163109371E-2</v>
      </c>
      <c r="T133" cm="1">
        <f t="array" ref="T133">MAX(IF((ContinuousStatsTable[GroupByKey]=ContinuousStatsTable[[#This Row],[GroupByKey]]),(ContinuousStatsTable[GroupByKey]=ContinuousStatsTable[[#This Row],[GroupByKey]])*ContinuousStatsTable[Average]))</f>
        <v>1.6052913612351699E-2</v>
      </c>
      <c r="U133">
        <f>IF((ContinuousStatsTable[[#This Row],[RepsRequested]]&gt;1),ContinuousStatsTable[[#This Row],[HalfWidth]],ContinuousStatsTable[[#This Row],[BatchMeansHalfWidth]])</f>
        <v>4.1753324008164384E-4</v>
      </c>
    </row>
    <row r="134" spans="1:21" x14ac:dyDescent="0.25">
      <c r="A134" t="s">
        <v>67</v>
      </c>
      <c r="B134" t="s">
        <v>69</v>
      </c>
      <c r="C134">
        <v>5</v>
      </c>
      <c r="D134" t="s">
        <v>86</v>
      </c>
      <c r="E134" t="s">
        <v>101</v>
      </c>
      <c r="F134" t="s">
        <v>72</v>
      </c>
      <c r="G134">
        <v>6.2737197148405005E-2</v>
      </c>
      <c r="H134">
        <v>3.8208619427841498E-3</v>
      </c>
      <c r="I134">
        <v>0</v>
      </c>
      <c r="J134">
        <v>3</v>
      </c>
      <c r="K134">
        <v>0</v>
      </c>
      <c r="L134">
        <v>0</v>
      </c>
      <c r="M134" t="str">
        <f>ContinuousStatsTable[[#This Row],[ProjectName]]&amp;ContinuousStatsTable[[#This Row],[Name]]&amp;ContinuousStatsTable[[#This Row],[Type]]&amp;ContinuousStatsTable[[#This Row],[Source]]</f>
        <v>Unnamed ProjectPaintQNumber WaitingQueue</v>
      </c>
      <c r="N134" cm="1">
        <f t="array" ref="N134">MAX(IF((ProjectInfoTable[ProjectName]=ContinuousStatsTable[[#This Row],[ProjectName]]),(ProjectInfoTable[ProjectName]=ContinuousStatsTable[[#This Row],[ProjectName]])*ProjectInfoTable[NumberOfReplications]))</f>
        <v>10</v>
      </c>
      <c r="O134" cm="1">
        <f t="array" ref="O134">IFERROR(AVERAGE(IF((ContinuousStatsTable[GroupByKey]=ContinuousStatsTable[[#This Row],[GroupByKey]]),(ContinuousStatsTable[GroupByKey]=ContinuousStatsTable[[#This Row],[GroupByKey]])*ContinuousStatsTable[Average])),0)</f>
        <v>6.2655374167183184E-2</v>
      </c>
      <c r="P134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1.297076259729802E-3</v>
      </c>
      <c r="Q134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9.2787245996831338E-4</v>
      </c>
      <c r="S134" cm="1">
        <f t="array" ref="S134">MIN(IF((ContinuousStatsTable[GroupByKey]=ContinuousStatsTable[[#This Row],[GroupByKey]]),(ContinuousStatsTable[GroupByKey]=ContinuousStatsTable[[#This Row],[GroupByKey]])*ContinuousStatsTable[Average]))</f>
        <v>6.05919548276165E-2</v>
      </c>
      <c r="T134" cm="1">
        <f t="array" ref="T134">MAX(IF((ContinuousStatsTable[GroupByKey]=ContinuousStatsTable[[#This Row],[GroupByKey]]),(ContinuousStatsTable[GroupByKey]=ContinuousStatsTable[[#This Row],[GroupByKey]])*ContinuousStatsTable[Average]))</f>
        <v>6.4938397569822504E-2</v>
      </c>
      <c r="U134">
        <f>IF((ContinuousStatsTable[[#This Row],[RepsRequested]]&gt;1),ContinuousStatsTable[[#This Row],[HalfWidth]],ContinuousStatsTable[[#This Row],[BatchMeansHalfWidth]])</f>
        <v>9.2787245996831338E-4</v>
      </c>
    </row>
    <row r="135" spans="1:21" x14ac:dyDescent="0.25">
      <c r="A135" t="s">
        <v>67</v>
      </c>
      <c r="B135" t="s">
        <v>69</v>
      </c>
      <c r="C135">
        <v>5</v>
      </c>
      <c r="D135" t="s">
        <v>87</v>
      </c>
      <c r="E135" t="s">
        <v>101</v>
      </c>
      <c r="F135" t="s">
        <v>72</v>
      </c>
      <c r="G135">
        <v>1.24283877799877E-2</v>
      </c>
      <c r="H135">
        <v>6.6580464158781801E-4</v>
      </c>
      <c r="I135">
        <v>0</v>
      </c>
      <c r="J135">
        <v>1</v>
      </c>
      <c r="K135">
        <v>0</v>
      </c>
      <c r="L135">
        <v>0</v>
      </c>
      <c r="M135" t="str">
        <f>ContinuousStatsTable[[#This Row],[ProjectName]]&amp;ContinuousStatsTable[[#This Row],[Name]]&amp;ContinuousStatsTable[[#This Row],[Type]]&amp;ContinuousStatsTable[[#This Row],[Source]]</f>
        <v>Unnamed ProjectPaintReqQNumber WaitingQueue</v>
      </c>
      <c r="N135" cm="1">
        <f t="array" ref="N135">MAX(IF((ProjectInfoTable[ProjectName]=ContinuousStatsTable[[#This Row],[ProjectName]]),(ProjectInfoTable[ProjectName]=ContinuousStatsTable[[#This Row],[ProjectName]])*ProjectInfoTable[NumberOfReplications]))</f>
        <v>10</v>
      </c>
      <c r="O135" cm="1">
        <f t="array" ref="O135">IFERROR(AVERAGE(IF((ContinuousStatsTable[GroupByKey]=ContinuousStatsTable[[#This Row],[GroupByKey]]),(ContinuousStatsTable[GroupByKey]=ContinuousStatsTable[[#This Row],[GroupByKey]])*ContinuousStatsTable[Average])),0)</f>
        <v>1.232491804183645E-2</v>
      </c>
      <c r="P13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4.2846031814523761E-4</v>
      </c>
      <c r="Q13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3.0650204751958381E-4</v>
      </c>
      <c r="S135" cm="1">
        <f t="array" ref="S135">MIN(IF((ContinuousStatsTable[GroupByKey]=ContinuousStatsTable[[#This Row],[GroupByKey]]),(ContinuousStatsTable[GroupByKey]=ContinuousStatsTable[[#This Row],[GroupByKey]])*ContinuousStatsTable[Average]))</f>
        <v>1.1842209288638999E-2</v>
      </c>
      <c r="T135" cm="1">
        <f t="array" ref="T135">MAX(IF((ContinuousStatsTable[GroupByKey]=ContinuousStatsTable[[#This Row],[GroupByKey]]),(ContinuousStatsTable[GroupByKey]=ContinuousStatsTable[[#This Row],[GroupByKey]])*ContinuousStatsTable[Average]))</f>
        <v>1.30420022653657E-2</v>
      </c>
      <c r="U135">
        <f>IF((ContinuousStatsTable[[#This Row],[RepsRequested]]&gt;1),ContinuousStatsTable[[#This Row],[HalfWidth]],ContinuousStatsTable[[#This Row],[BatchMeansHalfWidth]])</f>
        <v>3.0650204751958381E-4</v>
      </c>
    </row>
    <row r="136" spans="1:21" x14ac:dyDescent="0.25">
      <c r="A136" t="s">
        <v>67</v>
      </c>
      <c r="B136" t="s">
        <v>69</v>
      </c>
      <c r="C136">
        <v>5</v>
      </c>
      <c r="D136" t="s">
        <v>109</v>
      </c>
      <c r="E136" t="s">
        <v>105</v>
      </c>
      <c r="F136" t="s">
        <v>106</v>
      </c>
      <c r="G136">
        <v>0.814901604024725</v>
      </c>
      <c r="H136">
        <v>1.08795277348536E-2</v>
      </c>
      <c r="I136">
        <v>0</v>
      </c>
      <c r="J136">
        <v>1</v>
      </c>
      <c r="K136">
        <v>0</v>
      </c>
      <c r="L136">
        <v>0</v>
      </c>
      <c r="M136" t="str">
        <f>ContinuousStatsTable[[#This Row],[ProjectName]]&amp;ContinuousStatsTable[[#This Row],[Name]]&amp;ContinuousStatsTable[[#This Row],[Type]]&amp;ContinuousStatsTable[[#This Row],[Source]]</f>
        <v>Unnamed ProjectWORKERInstantaneous UtilizationResource</v>
      </c>
      <c r="N136" cm="1">
        <f t="array" ref="N136">MAX(IF((ProjectInfoTable[ProjectName]=ContinuousStatsTable[[#This Row],[ProjectName]]),(ProjectInfoTable[ProjectName]=ContinuousStatsTable[[#This Row],[ProjectName]])*ProjectInfoTable[NumberOfReplications]))</f>
        <v>10</v>
      </c>
      <c r="O136" cm="1">
        <f t="array" ref="O136">IFERROR(AVERAGE(IF((ContinuousStatsTable[GroupByKey]=ContinuousStatsTable[[#This Row],[GroupByKey]]),(ContinuousStatsTable[GroupByKey]=ContinuousStatsTable[[#This Row],[GroupByKey]])*ContinuousStatsTable[Average])),0)</f>
        <v>0.82030090075893936</v>
      </c>
      <c r="P136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6.9684713894533476E-3</v>
      </c>
      <c r="Q136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4.9849441325044447E-3</v>
      </c>
      <c r="S136" cm="1">
        <f t="array" ref="S136">MIN(IF((ContinuousStatsTable[GroupByKey]=ContinuousStatsTable[[#This Row],[GroupByKey]]),(ContinuousStatsTable[GroupByKey]=ContinuousStatsTable[[#This Row],[GroupByKey]])*ContinuousStatsTable[Average]))</f>
        <v>0.81151215762737705</v>
      </c>
      <c r="T136" cm="1">
        <f t="array" ref="T136">MAX(IF((ContinuousStatsTable[GroupByKey]=ContinuousStatsTable[[#This Row],[GroupByKey]]),(ContinuousStatsTable[GroupByKey]=ContinuousStatsTable[[#This Row],[GroupByKey]])*ContinuousStatsTable[Average]))</f>
        <v>0.832837691284112</v>
      </c>
      <c r="U136">
        <f>IF((ContinuousStatsTable[[#This Row],[RepsRequested]]&gt;1),ContinuousStatsTable[[#This Row],[HalfWidth]],ContinuousStatsTable[[#This Row],[BatchMeansHalfWidth]])</f>
        <v>4.9849441325044447E-3</v>
      </c>
    </row>
    <row r="137" spans="1:21" x14ac:dyDescent="0.25">
      <c r="A137" t="s">
        <v>67</v>
      </c>
      <c r="B137" t="s">
        <v>69</v>
      </c>
      <c r="C137">
        <v>5</v>
      </c>
      <c r="D137" t="s">
        <v>109</v>
      </c>
      <c r="E137" t="s">
        <v>97</v>
      </c>
      <c r="F137" t="s">
        <v>106</v>
      </c>
      <c r="G137">
        <v>0.814901604024725</v>
      </c>
      <c r="H137">
        <v>1.08795277348536E-2</v>
      </c>
      <c r="I137">
        <v>0</v>
      </c>
      <c r="J137">
        <v>1</v>
      </c>
      <c r="K137">
        <v>0</v>
      </c>
      <c r="L137">
        <v>0</v>
      </c>
      <c r="M137" t="str">
        <f>ContinuousStatsTable[[#This Row],[ProjectName]]&amp;ContinuousStatsTable[[#This Row],[Name]]&amp;ContinuousStatsTable[[#This Row],[Type]]&amp;ContinuousStatsTable[[#This Row],[Source]]</f>
        <v>Unnamed ProjectWORKERNumber BusyResource</v>
      </c>
      <c r="N137" cm="1">
        <f t="array" ref="N137">MAX(IF((ProjectInfoTable[ProjectName]=ContinuousStatsTable[[#This Row],[ProjectName]]),(ProjectInfoTable[ProjectName]=ContinuousStatsTable[[#This Row],[ProjectName]])*ProjectInfoTable[NumberOfReplications]))</f>
        <v>10</v>
      </c>
      <c r="O137" cm="1">
        <f t="array" ref="O137">IFERROR(AVERAGE(IF((ContinuousStatsTable[GroupByKey]=ContinuousStatsTable[[#This Row],[GroupByKey]]),(ContinuousStatsTable[GroupByKey]=ContinuousStatsTable[[#This Row],[GroupByKey]])*ContinuousStatsTable[Average])),0)</f>
        <v>0.82030090075893936</v>
      </c>
      <c r="P137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6.9684713894533476E-3</v>
      </c>
      <c r="Q137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4.9849441325044447E-3</v>
      </c>
      <c r="S137" cm="1">
        <f t="array" ref="S137">MIN(IF((ContinuousStatsTable[GroupByKey]=ContinuousStatsTable[[#This Row],[GroupByKey]]),(ContinuousStatsTable[GroupByKey]=ContinuousStatsTable[[#This Row],[GroupByKey]])*ContinuousStatsTable[Average]))</f>
        <v>0.81151215762737705</v>
      </c>
      <c r="T137" cm="1">
        <f t="array" ref="T137">MAX(IF((ContinuousStatsTable[GroupByKey]=ContinuousStatsTable[[#This Row],[GroupByKey]]),(ContinuousStatsTable[GroupByKey]=ContinuousStatsTable[[#This Row],[GroupByKey]])*ContinuousStatsTable[Average]))</f>
        <v>0.832837691284112</v>
      </c>
      <c r="U137">
        <f>IF((ContinuousStatsTable[[#This Row],[RepsRequested]]&gt;1),ContinuousStatsTable[[#This Row],[HalfWidth]],ContinuousStatsTable[[#This Row],[BatchMeansHalfWidth]])</f>
        <v>4.9849441325044447E-3</v>
      </c>
    </row>
    <row r="138" spans="1:21" x14ac:dyDescent="0.25">
      <c r="A138" t="s">
        <v>67</v>
      </c>
      <c r="B138" t="s">
        <v>69</v>
      </c>
      <c r="C138">
        <v>5</v>
      </c>
      <c r="D138" t="s">
        <v>109</v>
      </c>
      <c r="E138" t="s">
        <v>99</v>
      </c>
      <c r="F138" t="s">
        <v>106</v>
      </c>
      <c r="G138">
        <v>1</v>
      </c>
      <c r="H138">
        <v>2E+20</v>
      </c>
      <c r="I138">
        <v>1</v>
      </c>
      <c r="J138">
        <v>1</v>
      </c>
      <c r="K138">
        <v>1</v>
      </c>
      <c r="L138">
        <v>0</v>
      </c>
      <c r="M138" t="str">
        <f>ContinuousStatsTable[[#This Row],[ProjectName]]&amp;ContinuousStatsTable[[#This Row],[Name]]&amp;ContinuousStatsTable[[#This Row],[Type]]&amp;ContinuousStatsTable[[#This Row],[Source]]</f>
        <v>Unnamed ProjectWORKERNumber ScheduledResource</v>
      </c>
      <c r="N138" cm="1">
        <f t="array" ref="N138">MAX(IF((ProjectInfoTable[ProjectName]=ContinuousStatsTable[[#This Row],[ProjectName]]),(ProjectInfoTable[ProjectName]=ContinuousStatsTable[[#This Row],[ProjectName]])*ProjectInfoTable[NumberOfReplications]))</f>
        <v>10</v>
      </c>
      <c r="O138" cm="1">
        <f t="array" ref="O138">IFERROR(AVERAGE(IF((ContinuousStatsTable[GroupByKey]=ContinuousStatsTable[[#This Row],[GroupByKey]]),(ContinuousStatsTable[GroupByKey]=ContinuousStatsTable[[#This Row],[GroupByKey]])*ContinuousStatsTable[Average])),0)</f>
        <v>1</v>
      </c>
      <c r="P138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0</v>
      </c>
      <c r="Q138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8" cm="1">
        <f t="array" ref="S138">MIN(IF((ContinuousStatsTable[GroupByKey]=ContinuousStatsTable[[#This Row],[GroupByKey]]),(ContinuousStatsTable[GroupByKey]=ContinuousStatsTable[[#This Row],[GroupByKey]])*ContinuousStatsTable[Average]))</f>
        <v>1</v>
      </c>
      <c r="T138" cm="1">
        <f t="array" ref="T138">MAX(IF((ContinuousStatsTable[GroupByKey]=ContinuousStatsTable[[#This Row],[GroupByKey]]),(ContinuousStatsTable[GroupByKey]=ContinuousStatsTable[[#This Row],[GroupByKey]])*ContinuousStatsTable[Average]))</f>
        <v>1</v>
      </c>
      <c r="U138">
        <f>IF((ContinuousStatsTable[[#This Row],[RepsRequested]]&gt;1),ContinuousStatsTable[[#This Row],[HalfWidth]],ContinuousStatsTable[[#This Row],[BatchMeansHalfWidth]])</f>
        <v>0</v>
      </c>
    </row>
    <row r="139" spans="1:21" x14ac:dyDescent="0.25">
      <c r="A139" t="s">
        <v>67</v>
      </c>
      <c r="B139" t="s">
        <v>69</v>
      </c>
      <c r="C139">
        <v>5</v>
      </c>
      <c r="D139" t="s">
        <v>94</v>
      </c>
      <c r="E139" t="s">
        <v>101</v>
      </c>
      <c r="F139" t="s">
        <v>72</v>
      </c>
      <c r="G139">
        <v>1.8641769252650999</v>
      </c>
      <c r="H139">
        <v>0.372376311859202</v>
      </c>
      <c r="I139">
        <v>0</v>
      </c>
      <c r="J139">
        <v>28</v>
      </c>
      <c r="K139">
        <v>0</v>
      </c>
      <c r="L139">
        <v>0</v>
      </c>
      <c r="M139" t="str">
        <f>ContinuousStatsTable[[#This Row],[ProjectName]]&amp;ContinuousStatsTable[[#This Row],[Name]]&amp;ContinuousStatsTable[[#This Row],[Type]]&amp;ContinuousStatsTable[[#This Row],[Source]]</f>
        <v>Unnamed ProjectWorkStationQNumber WaitingQueue</v>
      </c>
      <c r="N139" cm="1">
        <f t="array" ref="N139">MAX(IF((ProjectInfoTable[ProjectName]=ContinuousStatsTable[[#This Row],[ProjectName]]),(ProjectInfoTable[ProjectName]=ContinuousStatsTable[[#This Row],[ProjectName]])*ProjectInfoTable[NumberOfReplications]))</f>
        <v>10</v>
      </c>
      <c r="O139" cm="1">
        <f t="array" ref="O139">IFERROR(AVERAGE(IF((ContinuousStatsTable[GroupByKey]=ContinuousStatsTable[[#This Row],[GroupByKey]]),(ContinuousStatsTable[GroupByKey]=ContinuousStatsTable[[#This Row],[GroupByKey]])*ContinuousStatsTable[Average])),0)</f>
        <v>1.7984099951452888</v>
      </c>
      <c r="P139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9.41481017902569E-2</v>
      </c>
      <c r="Q139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6.7349494799689366E-2</v>
      </c>
      <c r="S139" cm="1">
        <f t="array" ref="S139">MIN(IF((ContinuousStatsTable[GroupByKey]=ContinuousStatsTable[[#This Row],[GroupByKey]]),(ContinuousStatsTable[GroupByKey]=ContinuousStatsTable[[#This Row],[GroupByKey]])*ContinuousStatsTable[Average]))</f>
        <v>1.6808414073062801</v>
      </c>
      <c r="T139" cm="1">
        <f t="array" ref="T139">MAX(IF((ContinuousStatsTable[GroupByKey]=ContinuousStatsTable[[#This Row],[GroupByKey]]),(ContinuousStatsTable[GroupByKey]=ContinuousStatsTable[[#This Row],[GroupByKey]])*ContinuousStatsTable[Average]))</f>
        <v>1.96303981301246</v>
      </c>
      <c r="U139">
        <f>IF((ContinuousStatsTable[[#This Row],[RepsRequested]]&gt;1),ContinuousStatsTable[[#This Row],[HalfWidth]],ContinuousStatsTable[[#This Row],[BatchMeansHalfWidth]])</f>
        <v>6.7349494799689366E-2</v>
      </c>
    </row>
    <row r="140" spans="1:21" x14ac:dyDescent="0.25">
      <c r="A140" t="s">
        <v>67</v>
      </c>
      <c r="B140" t="s">
        <v>69</v>
      </c>
      <c r="C140">
        <v>5</v>
      </c>
      <c r="D140" t="s">
        <v>95</v>
      </c>
      <c r="E140" t="s">
        <v>101</v>
      </c>
      <c r="F140" t="s">
        <v>72</v>
      </c>
      <c r="G140">
        <v>1.27183088606762E-2</v>
      </c>
      <c r="H140">
        <v>8.4054554196470797E-4</v>
      </c>
      <c r="I140">
        <v>0</v>
      </c>
      <c r="J140">
        <v>1</v>
      </c>
      <c r="K140">
        <v>0</v>
      </c>
      <c r="L140">
        <v>0</v>
      </c>
      <c r="M140" t="str">
        <f>ContinuousStatsTable[[#This Row],[ProjectName]]&amp;ContinuousStatsTable[[#This Row],[Name]]&amp;ContinuousStatsTable[[#This Row],[Type]]&amp;ContinuousStatsTable[[#This Row],[Source]]</f>
        <v>Unnamed ProjectWorkStationReqQNumber WaitingQueue</v>
      </c>
      <c r="N140" cm="1">
        <f t="array" ref="N140">MAX(IF((ProjectInfoTable[ProjectName]=ContinuousStatsTable[[#This Row],[ProjectName]]),(ProjectInfoTable[ProjectName]=ContinuousStatsTable[[#This Row],[ProjectName]])*ProjectInfoTable[NumberOfReplications]))</f>
        <v>10</v>
      </c>
      <c r="O140" cm="1">
        <f t="array" ref="O140">IFERROR(AVERAGE(IF((ContinuousStatsTable[GroupByKey]=ContinuousStatsTable[[#This Row],[GroupByKey]]),(ContinuousStatsTable[GroupByKey]=ContinuousStatsTable[[#This Row],[GroupByKey]])*ContinuousStatsTable[Average])),0)</f>
        <v>1.2897450081583859E-2</v>
      </c>
      <c r="P140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4.2374090710035878E-4</v>
      </c>
      <c r="Q140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3.0312598423651549E-4</v>
      </c>
      <c r="S140" cm="1">
        <f t="array" ref="S140">MIN(IF((ContinuousStatsTable[GroupByKey]=ContinuousStatsTable[[#This Row],[GroupByKey]]),(ContinuousStatsTable[GroupByKey]=ContinuousStatsTable[[#This Row],[GroupByKey]])*ContinuousStatsTable[Average]))</f>
        <v>1.2232643269307701E-2</v>
      </c>
      <c r="T140" cm="1">
        <f t="array" ref="T140">MAX(IF((ContinuousStatsTable[GroupByKey]=ContinuousStatsTable[[#This Row],[GroupByKey]]),(ContinuousStatsTable[GroupByKey]=ContinuousStatsTable[[#This Row],[GroupByKey]])*ContinuousStatsTable[Average]))</f>
        <v>1.34073753437328E-2</v>
      </c>
      <c r="U140">
        <f>IF((ContinuousStatsTable[[#This Row],[RepsRequested]]&gt;1),ContinuousStatsTable[[#This Row],[HalfWidth]],ContinuousStatsTable[[#This Row],[BatchMeansHalfWidth]])</f>
        <v>3.0312598423651549E-4</v>
      </c>
    </row>
    <row r="141" spans="1:21" x14ac:dyDescent="0.25">
      <c r="A141" t="s">
        <v>67</v>
      </c>
      <c r="B141" t="s">
        <v>69</v>
      </c>
      <c r="C141">
        <v>5</v>
      </c>
      <c r="D141" t="s">
        <v>110</v>
      </c>
      <c r="E141" t="s">
        <v>111</v>
      </c>
      <c r="F141" t="s">
        <v>90</v>
      </c>
      <c r="G141">
        <v>0.67554894532282606</v>
      </c>
      <c r="H141">
        <v>1.606533884571E-2</v>
      </c>
      <c r="I141">
        <v>0</v>
      </c>
      <c r="J141">
        <v>7</v>
      </c>
      <c r="K141">
        <v>1</v>
      </c>
      <c r="L141">
        <v>0</v>
      </c>
      <c r="M141" t="str">
        <f>ContinuousStatsTable[[#This Row],[ProjectName]]&amp;ContinuousStatsTable[[#This Row],[Name]]&amp;ContinuousStatsTable[[#This Row],[Type]]&amp;ContinuousStatsTable[[#This Row],[Source]]</f>
        <v>Unnamed ProjectvNumWaitingRequestsVariableUser Specified</v>
      </c>
      <c r="N141" cm="1">
        <f t="array" ref="N141">MAX(IF((ProjectInfoTable[ProjectName]=ContinuousStatsTable[[#This Row],[ProjectName]]),(ProjectInfoTable[ProjectName]=ContinuousStatsTable[[#This Row],[ProjectName]])*ProjectInfoTable[NumberOfReplications]))</f>
        <v>10</v>
      </c>
      <c r="O141" cm="1">
        <f t="array" ref="O141">IFERROR(AVERAGE(IF((ContinuousStatsTable[GroupByKey]=ContinuousStatsTable[[#This Row],[GroupByKey]]),(ContinuousStatsTable[GroupByKey]=ContinuousStatsTable[[#This Row],[GroupByKey]])*ContinuousStatsTable[Average])),0)</f>
        <v>0.67697821611736619</v>
      </c>
      <c r="P141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6.3714899668086428E-3</v>
      </c>
      <c r="Q141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4.5578893490793634E-3</v>
      </c>
      <c r="S141" cm="1">
        <f t="array" ref="S141">MIN(IF((ContinuousStatsTable[GroupByKey]=ContinuousStatsTable[[#This Row],[GroupByKey]]),(ContinuousStatsTable[GroupByKey]=ContinuousStatsTable[[#This Row],[GroupByKey]])*ContinuousStatsTable[Average]))</f>
        <v>0.66877542384053201</v>
      </c>
      <c r="T141" cm="1">
        <f t="array" ref="T141">MAX(IF((ContinuousStatsTable[GroupByKey]=ContinuousStatsTable[[#This Row],[GroupByKey]]),(ContinuousStatsTable[GroupByKey]=ContinuousStatsTable[[#This Row],[GroupByKey]])*ContinuousStatsTable[Average]))</f>
        <v>0.69059318471793496</v>
      </c>
      <c r="U141">
        <f>IF((ContinuousStatsTable[[#This Row],[RepsRequested]]&gt;1),ContinuousStatsTable[[#This Row],[HalfWidth]],ContinuousStatsTable[[#This Row],[BatchMeansHalfWidth]])</f>
        <v>4.5578893490793634E-3</v>
      </c>
    </row>
    <row r="142" spans="1:21" x14ac:dyDescent="0.25">
      <c r="A142" t="s">
        <v>67</v>
      </c>
      <c r="B142" t="s">
        <v>69</v>
      </c>
      <c r="C142">
        <v>6</v>
      </c>
      <c r="D142" t="s">
        <v>96</v>
      </c>
      <c r="E142" t="s">
        <v>97</v>
      </c>
      <c r="F142" t="s">
        <v>98</v>
      </c>
      <c r="G142">
        <v>2.0852372958757099</v>
      </c>
      <c r="H142">
        <v>1.06627894145179E-2</v>
      </c>
      <c r="I142">
        <v>0</v>
      </c>
      <c r="J142">
        <v>3</v>
      </c>
      <c r="K142">
        <v>2</v>
      </c>
      <c r="L142">
        <v>0</v>
      </c>
      <c r="M142" t="str">
        <f>ContinuousStatsTable[[#This Row],[ProjectName]]&amp;ContinuousStatsTable[[#This Row],[Name]]&amp;ContinuousStatsTable[[#This Row],[Type]]&amp;ContinuousStatsTable[[#This Row],[Source]]</f>
        <v>Unnamed ProjectAGVNumber BusyTransporter</v>
      </c>
      <c r="N142" cm="1">
        <f t="array" ref="N142">MAX(IF((ProjectInfoTable[ProjectName]=ContinuousStatsTable[[#This Row],[ProjectName]]),(ProjectInfoTable[ProjectName]=ContinuousStatsTable[[#This Row],[ProjectName]])*ProjectInfoTable[NumberOfReplications]))</f>
        <v>10</v>
      </c>
      <c r="O142" cm="1">
        <f t="array" ref="O142">IFERROR(AVERAGE(IF((ContinuousStatsTable[GroupByKey]=ContinuousStatsTable[[#This Row],[GroupByKey]]),(ContinuousStatsTable[GroupByKey]=ContinuousStatsTable[[#This Row],[GroupByKey]])*ContinuousStatsTable[Average])),0)</f>
        <v>2.078872627125893</v>
      </c>
      <c r="P142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5.2787009755182E-3</v>
      </c>
      <c r="Q142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3.7761551973910287E-3</v>
      </c>
      <c r="S142" cm="1">
        <f t="array" ref="S142">MIN(IF((ContinuousStatsTable[GroupByKey]=ContinuousStatsTable[[#This Row],[GroupByKey]]),(ContinuousStatsTable[GroupByKey]=ContinuousStatsTable[[#This Row],[GroupByKey]])*ContinuousStatsTable[Average]))</f>
        <v>2.07228794584704</v>
      </c>
      <c r="T142" cm="1">
        <f t="array" ref="T142">MAX(IF((ContinuousStatsTable[GroupByKey]=ContinuousStatsTable[[#This Row],[GroupByKey]]),(ContinuousStatsTable[GroupByKey]=ContinuousStatsTable[[#This Row],[GroupByKey]])*ContinuousStatsTable[Average]))</f>
        <v>2.08892452747873</v>
      </c>
      <c r="U142">
        <f>IF((ContinuousStatsTable[[#This Row],[RepsRequested]]&gt;1),ContinuousStatsTable[[#This Row],[HalfWidth]],ContinuousStatsTable[[#This Row],[BatchMeansHalfWidth]])</f>
        <v>3.7761551973910287E-3</v>
      </c>
    </row>
    <row r="143" spans="1:21" x14ac:dyDescent="0.25">
      <c r="A143" t="s">
        <v>67</v>
      </c>
      <c r="B143" t="s">
        <v>69</v>
      </c>
      <c r="C143">
        <v>6</v>
      </c>
      <c r="D143" t="s">
        <v>96</v>
      </c>
      <c r="E143" t="s">
        <v>99</v>
      </c>
      <c r="F143" t="s">
        <v>98</v>
      </c>
      <c r="G143">
        <v>3</v>
      </c>
      <c r="H143">
        <v>2E+20</v>
      </c>
      <c r="I143">
        <v>3</v>
      </c>
      <c r="J143">
        <v>3</v>
      </c>
      <c r="K143">
        <v>3</v>
      </c>
      <c r="L143">
        <v>0</v>
      </c>
      <c r="M143" t="str">
        <f>ContinuousStatsTable[[#This Row],[ProjectName]]&amp;ContinuousStatsTable[[#This Row],[Name]]&amp;ContinuousStatsTable[[#This Row],[Type]]&amp;ContinuousStatsTable[[#This Row],[Source]]</f>
        <v>Unnamed ProjectAGVNumber ScheduledTransporter</v>
      </c>
      <c r="N143" cm="1">
        <f t="array" ref="N143">MAX(IF((ProjectInfoTable[ProjectName]=ContinuousStatsTable[[#This Row],[ProjectName]]),(ProjectInfoTable[ProjectName]=ContinuousStatsTable[[#This Row],[ProjectName]])*ProjectInfoTable[NumberOfReplications]))</f>
        <v>10</v>
      </c>
      <c r="O143" cm="1">
        <f t="array" ref="O143">IFERROR(AVERAGE(IF((ContinuousStatsTable[GroupByKey]=ContinuousStatsTable[[#This Row],[GroupByKey]]),(ContinuousStatsTable[GroupByKey]=ContinuousStatsTable[[#This Row],[GroupByKey]])*ContinuousStatsTable[Average])),0)</f>
        <v>3</v>
      </c>
      <c r="P143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0</v>
      </c>
      <c r="Q143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3" cm="1">
        <f t="array" ref="S143">MIN(IF((ContinuousStatsTable[GroupByKey]=ContinuousStatsTable[[#This Row],[GroupByKey]]),(ContinuousStatsTable[GroupByKey]=ContinuousStatsTable[[#This Row],[GroupByKey]])*ContinuousStatsTable[Average]))</f>
        <v>3</v>
      </c>
      <c r="T143" cm="1">
        <f t="array" ref="T143">MAX(IF((ContinuousStatsTable[GroupByKey]=ContinuousStatsTable[[#This Row],[GroupByKey]]),(ContinuousStatsTable[GroupByKey]=ContinuousStatsTable[[#This Row],[GroupByKey]])*ContinuousStatsTable[Average]))</f>
        <v>3</v>
      </c>
      <c r="U143">
        <f>IF((ContinuousStatsTable[[#This Row],[RepsRequested]]&gt;1),ContinuousStatsTable[[#This Row],[HalfWidth]],ContinuousStatsTable[[#This Row],[BatchMeansHalfWidth]])</f>
        <v>0</v>
      </c>
    </row>
    <row r="144" spans="1:21" x14ac:dyDescent="0.25">
      <c r="A144" t="s">
        <v>67</v>
      </c>
      <c r="B144" t="s">
        <v>69</v>
      </c>
      <c r="C144">
        <v>6</v>
      </c>
      <c r="D144" t="s">
        <v>96</v>
      </c>
      <c r="E144" t="s">
        <v>100</v>
      </c>
      <c r="F144" t="s">
        <v>98</v>
      </c>
      <c r="G144">
        <v>0.69507909862523998</v>
      </c>
      <c r="H144">
        <v>3.5542631381726298E-3</v>
      </c>
      <c r="I144">
        <v>0</v>
      </c>
      <c r="J144">
        <v>1</v>
      </c>
      <c r="K144">
        <v>0.66666666666666696</v>
      </c>
      <c r="L144">
        <v>0</v>
      </c>
      <c r="M144" t="str">
        <f>ContinuousStatsTable[[#This Row],[ProjectName]]&amp;ContinuousStatsTable[[#This Row],[Name]]&amp;ContinuousStatsTable[[#This Row],[Type]]&amp;ContinuousStatsTable[[#This Row],[Source]]</f>
        <v>Unnamed ProjectAGVUtilizationTransporter</v>
      </c>
      <c r="N144" cm="1">
        <f t="array" ref="N144">MAX(IF((ProjectInfoTable[ProjectName]=ContinuousStatsTable[[#This Row],[ProjectName]]),(ProjectInfoTable[ProjectName]=ContinuousStatsTable[[#This Row],[ProjectName]])*ProjectInfoTable[NumberOfReplications]))</f>
        <v>10</v>
      </c>
      <c r="O144" cm="1">
        <f t="array" ref="O144">IFERROR(AVERAGE(IF((ContinuousStatsTable[GroupByKey]=ContinuousStatsTable[[#This Row],[GroupByKey]]),(ContinuousStatsTable[GroupByKey]=ContinuousStatsTable[[#This Row],[GroupByKey]])*ContinuousStatsTable[Average])),0)</f>
        <v>0.69295754237529772</v>
      </c>
      <c r="P144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1.759566991837834E-3</v>
      </c>
      <c r="Q144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1.2587183991292225E-3</v>
      </c>
      <c r="S144" cm="1">
        <f t="array" ref="S144">MIN(IF((ContinuousStatsTable[GroupByKey]=ContinuousStatsTable[[#This Row],[GroupByKey]]),(ContinuousStatsTable[GroupByKey]=ContinuousStatsTable[[#This Row],[GroupByKey]])*ContinuousStatsTable[Average]))</f>
        <v>0.69076264861567704</v>
      </c>
      <c r="T144" cm="1">
        <f t="array" ref="T144">MAX(IF((ContinuousStatsTable[GroupByKey]=ContinuousStatsTable[[#This Row],[GroupByKey]]),(ContinuousStatsTable[GroupByKey]=ContinuousStatsTable[[#This Row],[GroupByKey]])*ContinuousStatsTable[Average]))</f>
        <v>0.69630817582623705</v>
      </c>
      <c r="U144">
        <f>IF((ContinuousStatsTable[[#This Row],[RepsRequested]]&gt;1),ContinuousStatsTable[[#This Row],[HalfWidth]],ContinuousStatsTable[[#This Row],[BatchMeansHalfWidth]])</f>
        <v>1.2587183991292225E-3</v>
      </c>
    </row>
    <row r="145" spans="1:21" x14ac:dyDescent="0.25">
      <c r="A145" t="s">
        <v>67</v>
      </c>
      <c r="B145" t="s">
        <v>69</v>
      </c>
      <c r="C145">
        <v>6</v>
      </c>
      <c r="D145" t="s">
        <v>70</v>
      </c>
      <c r="E145" t="s">
        <v>101</v>
      </c>
      <c r="F145" t="s">
        <v>72</v>
      </c>
      <c r="G145">
        <v>3.1526773130254801E-2</v>
      </c>
      <c r="H145">
        <v>2.6488649404284902E-3</v>
      </c>
      <c r="I145">
        <v>0</v>
      </c>
      <c r="J145">
        <v>5</v>
      </c>
      <c r="K145">
        <v>0</v>
      </c>
      <c r="L145">
        <v>0</v>
      </c>
      <c r="M145" t="str">
        <f>ContinuousStatsTable[[#This Row],[ProjectName]]&amp;ContinuousStatsTable[[#This Row],[Name]]&amp;ContinuousStatsTable[[#This Row],[Type]]&amp;ContinuousStatsTable[[#This Row],[Source]]</f>
        <v>Unnamed ProjectEnter Request AGV.QueueNumber WaitingQueue</v>
      </c>
      <c r="N145" cm="1">
        <f t="array" ref="N145">MAX(IF((ProjectInfoTable[ProjectName]=ContinuousStatsTable[[#This Row],[ProjectName]]),(ProjectInfoTable[ProjectName]=ContinuousStatsTable[[#This Row],[ProjectName]])*ProjectInfoTable[NumberOfReplications]))</f>
        <v>10</v>
      </c>
      <c r="O145" cm="1">
        <f t="array" ref="O145">IFERROR(AVERAGE(IF((ContinuousStatsTable[GroupByKey]=ContinuousStatsTable[[#This Row],[GroupByKey]]),(ContinuousStatsTable[GroupByKey]=ContinuousStatsTable[[#This Row],[GroupByKey]])*ContinuousStatsTable[Average])),0)</f>
        <v>3.1035047783347335E-2</v>
      </c>
      <c r="P14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1.214427597616889E-3</v>
      </c>
      <c r="Q14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8.6874916875660508E-4</v>
      </c>
      <c r="S145" cm="1">
        <f t="array" ref="S145">MIN(IF((ContinuousStatsTable[GroupByKey]=ContinuousStatsTable[[#This Row],[GroupByKey]]),(ContinuousStatsTable[GroupByKey]=ContinuousStatsTable[[#This Row],[GroupByKey]])*ContinuousStatsTable[Average]))</f>
        <v>2.9772007867277201E-2</v>
      </c>
      <c r="T145" cm="1">
        <f t="array" ref="T145">MAX(IF((ContinuousStatsTable[GroupByKey]=ContinuousStatsTable[[#This Row],[GroupByKey]]),(ContinuousStatsTable[GroupByKey]=ContinuousStatsTable[[#This Row],[GroupByKey]])*ContinuousStatsTable[Average]))</f>
        <v>3.3809532279706102E-2</v>
      </c>
      <c r="U145">
        <f>IF((ContinuousStatsTable[[#This Row],[RepsRequested]]&gt;1),ContinuousStatsTable[[#This Row],[HalfWidth]],ContinuousStatsTable[[#This Row],[BatchMeansHalfWidth]])</f>
        <v>8.6874916875660508E-4</v>
      </c>
    </row>
    <row r="146" spans="1:21" x14ac:dyDescent="0.25">
      <c r="A146" t="s">
        <v>67</v>
      </c>
      <c r="B146" t="s">
        <v>69</v>
      </c>
      <c r="C146">
        <v>6</v>
      </c>
      <c r="D146" t="s">
        <v>102</v>
      </c>
      <c r="E146" t="s">
        <v>103</v>
      </c>
      <c r="F146" t="s">
        <v>77</v>
      </c>
      <c r="G146">
        <v>0</v>
      </c>
      <c r="H146">
        <v>2E+20</v>
      </c>
      <c r="I146">
        <v>0</v>
      </c>
      <c r="J146">
        <v>1</v>
      </c>
      <c r="K146">
        <v>0</v>
      </c>
      <c r="L146">
        <v>0</v>
      </c>
      <c r="M146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146" cm="1">
        <f t="array" ref="N146">MAX(IF((ProjectInfoTable[ProjectName]=ContinuousStatsTable[[#This Row],[ProjectName]]),(ProjectInfoTable[ProjectName]=ContinuousStatsTable[[#This Row],[ProjectName]])*ProjectInfoTable[NumberOfReplications]))</f>
        <v>10</v>
      </c>
      <c r="O146" cm="1">
        <f t="array" ref="O146">IFERROR(AVERAGE(IF((ContinuousStatsTable[GroupByKey]=ContinuousStatsTable[[#This Row],[GroupByKey]]),(ContinuousStatsTable[GroupByKey]=ContinuousStatsTable[[#This Row],[GroupByKey]])*ContinuousStatsTable[Average])),0)</f>
        <v>0</v>
      </c>
      <c r="P146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0</v>
      </c>
      <c r="Q146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6" cm="1">
        <f t="array" ref="S146">MIN(IF((ContinuousStatsTable[GroupByKey]=ContinuousStatsTable[[#This Row],[GroupByKey]]),(ContinuousStatsTable[GroupByKey]=ContinuousStatsTable[[#This Row],[GroupByKey]])*ContinuousStatsTable[Average]))</f>
        <v>0</v>
      </c>
      <c r="T146" cm="1">
        <f t="array" ref="T146">MAX(IF((ContinuousStatsTable[GroupByKey]=ContinuousStatsTable[[#This Row],[GroupByKey]]),(ContinuousStatsTable[GroupByKey]=ContinuousStatsTable[[#This Row],[GroupByKey]])*ContinuousStatsTable[Average]))</f>
        <v>0</v>
      </c>
      <c r="U146">
        <f>IF((ContinuousStatsTable[[#This Row],[RepsRequested]]&gt;1),ContinuousStatsTable[[#This Row],[HalfWidth]],ContinuousStatsTable[[#This Row],[BatchMeansHalfWidth]])</f>
        <v>0</v>
      </c>
    </row>
    <row r="147" spans="1:21" x14ac:dyDescent="0.25">
      <c r="A147" t="s">
        <v>67</v>
      </c>
      <c r="B147" t="s">
        <v>69</v>
      </c>
      <c r="C147">
        <v>6</v>
      </c>
      <c r="D147" t="s">
        <v>104</v>
      </c>
      <c r="E147" t="s">
        <v>105</v>
      </c>
      <c r="F147" t="s">
        <v>106</v>
      </c>
      <c r="G147">
        <v>0.53340234367730699</v>
      </c>
      <c r="H147">
        <v>1.6374919692767598E-2</v>
      </c>
      <c r="I147">
        <v>0</v>
      </c>
      <c r="J147">
        <v>1</v>
      </c>
      <c r="K147">
        <v>1</v>
      </c>
      <c r="L147">
        <v>0</v>
      </c>
      <c r="M147" t="str">
        <f>ContinuousStatsTable[[#This Row],[ProjectName]]&amp;ContinuousStatsTable[[#This Row],[Name]]&amp;ContinuousStatsTable[[#This Row],[Type]]&amp;ContinuousStatsTable[[#This Row],[Source]]</f>
        <v>Unnamed ProjectNEWPAINTERInstantaneous UtilizationResource</v>
      </c>
      <c r="N147" cm="1">
        <f t="array" ref="N147">MAX(IF((ProjectInfoTable[ProjectName]=ContinuousStatsTable[[#This Row],[ProjectName]]),(ProjectInfoTable[ProjectName]=ContinuousStatsTable[[#This Row],[ProjectName]])*ProjectInfoTable[NumberOfReplications]))</f>
        <v>10</v>
      </c>
      <c r="O147" cm="1">
        <f t="array" ref="O147">IFERROR(AVERAGE(IF((ContinuousStatsTable[GroupByKey]=ContinuousStatsTable[[#This Row],[GroupByKey]]),(ContinuousStatsTable[GroupByKey]=ContinuousStatsTable[[#This Row],[GroupByKey]])*ContinuousStatsTable[Average])),0)</f>
        <v>0.52518723279433455</v>
      </c>
      <c r="P147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8.4087502405714581E-3</v>
      </c>
      <c r="Q147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6.0152575551752803E-3</v>
      </c>
      <c r="S147" cm="1">
        <f t="array" ref="S147">MIN(IF((ContinuousStatsTable[GroupByKey]=ContinuousStatsTable[[#This Row],[GroupByKey]]),(ContinuousStatsTable[GroupByKey]=ContinuousStatsTable[[#This Row],[GroupByKey]])*ContinuousStatsTable[Average]))</f>
        <v>0.51150896826018899</v>
      </c>
      <c r="T147" cm="1">
        <f t="array" ref="T147">MAX(IF((ContinuousStatsTable[GroupByKey]=ContinuousStatsTable[[#This Row],[GroupByKey]]),(ContinuousStatsTable[GroupByKey]=ContinuousStatsTable[[#This Row],[GroupByKey]])*ContinuousStatsTable[Average]))</f>
        <v>0.54003281556404203</v>
      </c>
      <c r="U147">
        <f>IF((ContinuousStatsTable[[#This Row],[RepsRequested]]&gt;1),ContinuousStatsTable[[#This Row],[HalfWidth]],ContinuousStatsTable[[#This Row],[BatchMeansHalfWidth]])</f>
        <v>6.0152575551752803E-3</v>
      </c>
    </row>
    <row r="148" spans="1:21" x14ac:dyDescent="0.25">
      <c r="A148" t="s">
        <v>67</v>
      </c>
      <c r="B148" t="s">
        <v>69</v>
      </c>
      <c r="C148">
        <v>6</v>
      </c>
      <c r="D148" t="s">
        <v>104</v>
      </c>
      <c r="E148" t="s">
        <v>97</v>
      </c>
      <c r="F148" t="s">
        <v>106</v>
      </c>
      <c r="G148">
        <v>0.53340234367730699</v>
      </c>
      <c r="H148">
        <v>1.6374919692767598E-2</v>
      </c>
      <c r="I148">
        <v>0</v>
      </c>
      <c r="J148">
        <v>1</v>
      </c>
      <c r="K148">
        <v>1</v>
      </c>
      <c r="L148">
        <v>0</v>
      </c>
      <c r="M148" t="str">
        <f>ContinuousStatsTable[[#This Row],[ProjectName]]&amp;ContinuousStatsTable[[#This Row],[Name]]&amp;ContinuousStatsTable[[#This Row],[Type]]&amp;ContinuousStatsTable[[#This Row],[Source]]</f>
        <v>Unnamed ProjectNEWPAINTERNumber BusyResource</v>
      </c>
      <c r="N148" cm="1">
        <f t="array" ref="N148">MAX(IF((ProjectInfoTable[ProjectName]=ContinuousStatsTable[[#This Row],[ProjectName]]),(ProjectInfoTable[ProjectName]=ContinuousStatsTable[[#This Row],[ProjectName]])*ProjectInfoTable[NumberOfReplications]))</f>
        <v>10</v>
      </c>
      <c r="O148" cm="1">
        <f t="array" ref="O148">IFERROR(AVERAGE(IF((ContinuousStatsTable[GroupByKey]=ContinuousStatsTable[[#This Row],[GroupByKey]]),(ContinuousStatsTable[GroupByKey]=ContinuousStatsTable[[#This Row],[GroupByKey]])*ContinuousStatsTable[Average])),0)</f>
        <v>0.52518723279433455</v>
      </c>
      <c r="P148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8.4087502405714581E-3</v>
      </c>
      <c r="Q148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6.0152575551752803E-3</v>
      </c>
      <c r="S148" cm="1">
        <f t="array" ref="S148">MIN(IF((ContinuousStatsTable[GroupByKey]=ContinuousStatsTable[[#This Row],[GroupByKey]]),(ContinuousStatsTable[GroupByKey]=ContinuousStatsTable[[#This Row],[GroupByKey]])*ContinuousStatsTable[Average]))</f>
        <v>0.51150896826018899</v>
      </c>
      <c r="T148" cm="1">
        <f t="array" ref="T148">MAX(IF((ContinuousStatsTable[GroupByKey]=ContinuousStatsTable[[#This Row],[GroupByKey]]),(ContinuousStatsTable[GroupByKey]=ContinuousStatsTable[[#This Row],[GroupByKey]])*ContinuousStatsTable[Average]))</f>
        <v>0.54003281556404203</v>
      </c>
      <c r="U148">
        <f>IF((ContinuousStatsTable[[#This Row],[RepsRequested]]&gt;1),ContinuousStatsTable[[#This Row],[HalfWidth]],ContinuousStatsTable[[#This Row],[BatchMeansHalfWidth]])</f>
        <v>6.0152575551752803E-3</v>
      </c>
    </row>
    <row r="149" spans="1:21" x14ac:dyDescent="0.25">
      <c r="A149" t="s">
        <v>67</v>
      </c>
      <c r="B149" t="s">
        <v>69</v>
      </c>
      <c r="C149">
        <v>6</v>
      </c>
      <c r="D149" t="s">
        <v>104</v>
      </c>
      <c r="E149" t="s">
        <v>99</v>
      </c>
      <c r="F149" t="s">
        <v>106</v>
      </c>
      <c r="G149">
        <v>1</v>
      </c>
      <c r="H149">
        <v>2E+20</v>
      </c>
      <c r="I149">
        <v>1</v>
      </c>
      <c r="J149">
        <v>1</v>
      </c>
      <c r="K149">
        <v>1</v>
      </c>
      <c r="L149">
        <v>0</v>
      </c>
      <c r="M149" t="str">
        <f>ContinuousStatsTable[[#This Row],[ProjectName]]&amp;ContinuousStatsTable[[#This Row],[Name]]&amp;ContinuousStatsTable[[#This Row],[Type]]&amp;ContinuousStatsTable[[#This Row],[Source]]</f>
        <v>Unnamed ProjectNEWPAINTERNumber ScheduledResource</v>
      </c>
      <c r="N149" cm="1">
        <f t="array" ref="N149">MAX(IF((ProjectInfoTable[ProjectName]=ContinuousStatsTable[[#This Row],[ProjectName]]),(ProjectInfoTable[ProjectName]=ContinuousStatsTable[[#This Row],[ProjectName]])*ProjectInfoTable[NumberOfReplications]))</f>
        <v>10</v>
      </c>
      <c r="O149" cm="1">
        <f t="array" ref="O149">IFERROR(AVERAGE(IF((ContinuousStatsTable[GroupByKey]=ContinuousStatsTable[[#This Row],[GroupByKey]]),(ContinuousStatsTable[GroupByKey]=ContinuousStatsTable[[#This Row],[GroupByKey]])*ContinuousStatsTable[Average])),0)</f>
        <v>1</v>
      </c>
      <c r="P149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0</v>
      </c>
      <c r="Q149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9" cm="1">
        <f t="array" ref="S149">MIN(IF((ContinuousStatsTable[GroupByKey]=ContinuousStatsTable[[#This Row],[GroupByKey]]),(ContinuousStatsTable[GroupByKey]=ContinuousStatsTable[[#This Row],[GroupByKey]])*ContinuousStatsTable[Average]))</f>
        <v>1</v>
      </c>
      <c r="T149" cm="1">
        <f t="array" ref="T149">MAX(IF((ContinuousStatsTable[GroupByKey]=ContinuousStatsTable[[#This Row],[GroupByKey]]),(ContinuousStatsTable[GroupByKey]=ContinuousStatsTable[[#This Row],[GroupByKey]])*ContinuousStatsTable[Average]))</f>
        <v>1</v>
      </c>
      <c r="U149">
        <f>IF((ContinuousStatsTable[[#This Row],[RepsRequested]]&gt;1),ContinuousStatsTable[[#This Row],[HalfWidth]],ContinuousStatsTable[[#This Row],[BatchMeansHalfWidth]])</f>
        <v>0</v>
      </c>
    </row>
    <row r="150" spans="1:21" x14ac:dyDescent="0.25">
      <c r="A150" t="s">
        <v>67</v>
      </c>
      <c r="B150" t="s">
        <v>69</v>
      </c>
      <c r="C150">
        <v>6</v>
      </c>
      <c r="D150" t="s">
        <v>73</v>
      </c>
      <c r="E150" t="s">
        <v>101</v>
      </c>
      <c r="F150" t="s">
        <v>72</v>
      </c>
      <c r="G150">
        <v>0.20721028610620801</v>
      </c>
      <c r="H150">
        <v>2.3211767608432399E-2</v>
      </c>
      <c r="I150">
        <v>0</v>
      </c>
      <c r="J150">
        <v>5</v>
      </c>
      <c r="K150">
        <v>0</v>
      </c>
      <c r="L150">
        <v>0</v>
      </c>
      <c r="M150" t="str">
        <f>ContinuousStatsTable[[#This Row],[ProjectName]]&amp;ContinuousStatsTable[[#This Row],[Name]]&amp;ContinuousStatsTable[[#This Row],[Type]]&amp;ContinuousStatsTable[[#This Row],[Source]]</f>
        <v>Unnamed ProjectNewPaintQNumber WaitingQueue</v>
      </c>
      <c r="N150" cm="1">
        <f t="array" ref="N150">MAX(IF((ProjectInfoTable[ProjectName]=ContinuousStatsTable[[#This Row],[ProjectName]]),(ProjectInfoTable[ProjectName]=ContinuousStatsTable[[#This Row],[ProjectName]])*ProjectInfoTable[NumberOfReplications]))</f>
        <v>10</v>
      </c>
      <c r="O150" cm="1">
        <f t="array" ref="O150">IFERROR(AVERAGE(IF((ContinuousStatsTable[GroupByKey]=ContinuousStatsTable[[#This Row],[GroupByKey]]),(ContinuousStatsTable[GroupByKey]=ContinuousStatsTable[[#This Row],[GroupByKey]])*ContinuousStatsTable[Average])),0)</f>
        <v>0.19175082727765341</v>
      </c>
      <c r="P150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1.5966644693782381E-2</v>
      </c>
      <c r="Q150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1.1421849546877095E-2</v>
      </c>
      <c r="S150" cm="1">
        <f t="array" ref="S150">MIN(IF((ContinuousStatsTable[GroupByKey]=ContinuousStatsTable[[#This Row],[GroupByKey]]),(ContinuousStatsTable[GroupByKey]=ContinuousStatsTable[[#This Row],[GroupByKey]])*ContinuousStatsTable[Average]))</f>
        <v>0.17015628683515099</v>
      </c>
      <c r="T150" cm="1">
        <f t="array" ref="T150">MAX(IF((ContinuousStatsTable[GroupByKey]=ContinuousStatsTable[[#This Row],[GroupByKey]]),(ContinuousStatsTable[GroupByKey]=ContinuousStatsTable[[#This Row],[GroupByKey]])*ContinuousStatsTable[Average]))</f>
        <v>0.217869952503708</v>
      </c>
      <c r="U150">
        <f>IF((ContinuousStatsTable[[#This Row],[RepsRequested]]&gt;1),ContinuousStatsTable[[#This Row],[HalfWidth]],ContinuousStatsTable[[#This Row],[BatchMeansHalfWidth]])</f>
        <v>1.1421849546877095E-2</v>
      </c>
    </row>
    <row r="151" spans="1:21" x14ac:dyDescent="0.25">
      <c r="A151" t="s">
        <v>67</v>
      </c>
      <c r="B151" t="s">
        <v>69</v>
      </c>
      <c r="C151">
        <v>6</v>
      </c>
      <c r="D151" t="s">
        <v>74</v>
      </c>
      <c r="E151" t="s">
        <v>101</v>
      </c>
      <c r="F151" t="s">
        <v>72</v>
      </c>
      <c r="G151">
        <v>4.9073526616410998E-3</v>
      </c>
      <c r="H151">
        <v>4.95382644807772E-4</v>
      </c>
      <c r="I151">
        <v>0</v>
      </c>
      <c r="J151">
        <v>1</v>
      </c>
      <c r="K151">
        <v>0</v>
      </c>
      <c r="L151">
        <v>0</v>
      </c>
      <c r="M151" t="str">
        <f>ContinuousStatsTable[[#This Row],[ProjectName]]&amp;ContinuousStatsTable[[#This Row],[Name]]&amp;ContinuousStatsTable[[#This Row],[Type]]&amp;ContinuousStatsTable[[#This Row],[Source]]</f>
        <v>Unnamed ProjectNewPaintReqQNumber WaitingQueue</v>
      </c>
      <c r="N151" cm="1">
        <f t="array" ref="N151">MAX(IF((ProjectInfoTable[ProjectName]=ContinuousStatsTable[[#This Row],[ProjectName]]),(ProjectInfoTable[ProjectName]=ContinuousStatsTable[[#This Row],[ProjectName]])*ProjectInfoTable[NumberOfReplications]))</f>
        <v>10</v>
      </c>
      <c r="O151" cm="1">
        <f t="array" ref="O151">IFERROR(AVERAGE(IF((ContinuousStatsTable[GroupByKey]=ContinuousStatsTable[[#This Row],[GroupByKey]]),(ContinuousStatsTable[GroupByKey]=ContinuousStatsTable[[#This Row],[GroupByKey]])*ContinuousStatsTable[Average])),0)</f>
        <v>4.7461022101932173E-3</v>
      </c>
      <c r="P151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2.0643575159293872E-4</v>
      </c>
      <c r="Q151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1.4767524054125336E-4</v>
      </c>
      <c r="S151" cm="1">
        <f t="array" ref="S151">MIN(IF((ContinuousStatsTable[GroupByKey]=ContinuousStatsTable[[#This Row],[GroupByKey]]),(ContinuousStatsTable[GroupByKey]=ContinuousStatsTable[[#This Row],[GroupByKey]])*ContinuousStatsTable[Average]))</f>
        <v>4.3438456155572196E-3</v>
      </c>
      <c r="T151" cm="1">
        <f t="array" ref="T151">MAX(IF((ContinuousStatsTable[GroupByKey]=ContinuousStatsTable[[#This Row],[GroupByKey]]),(ContinuousStatsTable[GroupByKey]=ContinuousStatsTable[[#This Row],[GroupByKey]])*ContinuousStatsTable[Average]))</f>
        <v>5.0878342070728201E-3</v>
      </c>
      <c r="U151">
        <f>IF((ContinuousStatsTable[[#This Row],[RepsRequested]]&gt;1),ContinuousStatsTable[[#This Row],[HalfWidth]],ContinuousStatsTable[[#This Row],[BatchMeansHalfWidth]])</f>
        <v>1.4767524054125336E-4</v>
      </c>
    </row>
    <row r="152" spans="1:21" x14ac:dyDescent="0.25">
      <c r="A152" t="s">
        <v>67</v>
      </c>
      <c r="B152" t="s">
        <v>69</v>
      </c>
      <c r="C152">
        <v>6</v>
      </c>
      <c r="D152" t="s">
        <v>75</v>
      </c>
      <c r="E152" t="s">
        <v>103</v>
      </c>
      <c r="F152" t="s">
        <v>77</v>
      </c>
      <c r="G152">
        <v>2.6578937699381</v>
      </c>
      <c r="H152">
        <v>0.13935844181360099</v>
      </c>
      <c r="I152">
        <v>0</v>
      </c>
      <c r="J152">
        <v>15</v>
      </c>
      <c r="K152">
        <v>5</v>
      </c>
      <c r="L152">
        <v>0</v>
      </c>
      <c r="M152" t="str">
        <f>ContinuousStatsTable[[#This Row],[ProjectName]]&amp;ContinuousStatsTable[[#This Row],[Name]]&amp;ContinuousStatsTable[[#This Row],[Type]]&amp;ContinuousStatsTable[[#This Row],[Source]]</f>
        <v>Unnamed ProjectNewPartWIPEntity</v>
      </c>
      <c r="N152" cm="1">
        <f t="array" ref="N152">MAX(IF((ProjectInfoTable[ProjectName]=ContinuousStatsTable[[#This Row],[ProjectName]]),(ProjectInfoTable[ProjectName]=ContinuousStatsTable[[#This Row],[ProjectName]])*ProjectInfoTable[NumberOfReplications]))</f>
        <v>10</v>
      </c>
      <c r="O152" cm="1">
        <f t="array" ref="O152">IFERROR(AVERAGE(IF((ContinuousStatsTable[GroupByKey]=ContinuousStatsTable[[#This Row],[GroupByKey]]),(ContinuousStatsTable[GroupByKey]=ContinuousStatsTable[[#This Row],[GroupByKey]])*ContinuousStatsTable[Average])),0)</f>
        <v>2.5498900061729541</v>
      </c>
      <c r="P152" cm="1">
        <f t="array" ref="P152">IFERROR(_xlfn.STDEV.S(IF((ContinuousStatsTable[GroupByKey]=ContinuousStatsTable[[#This Row],[GroupByKey]]),(ContinuousStatsTable[GroupByKey]=ContinuousStatsTable[[#This Row],[GroupByKey]])*ContinuousStatsTable[Average])),0)</f>
        <v>7.472159430415927E-2</v>
      </c>
      <c r="Q152" cm="1">
        <f t="array" ref="Q152">MAX(IF((ProjectInfoTable[ProjectName]=ContinuousStatsTable[[#This Row],[ProjectName]]),(ProjectInfoTable[ProjectName]=ContinuousStatsTable[[#This Row],[ProjectName]])*ProjectInfoTable[ConfidenceInterval]))</f>
        <v>0.95</v>
      </c>
      <c r="R1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5.3452608510618609E-2</v>
      </c>
      <c r="S152" cm="1">
        <f t="array" ref="S152">MIN(IF((ContinuousStatsTable[GroupByKey]=ContinuousStatsTable[[#This Row],[GroupByKey]]),(ContinuousStatsTable[GroupByKey]=ContinuousStatsTable[[#This Row],[GroupByKey]])*ContinuousStatsTable[Average]))</f>
        <v>2.4192292508998099</v>
      </c>
      <c r="T152" cm="1">
        <f t="array" ref="T152">MAX(IF((ContinuousStatsTable[GroupByKey]=ContinuousStatsTable[[#This Row],[GroupByKey]]),(ContinuousStatsTable[GroupByKey]=ContinuousStatsTable[[#This Row],[GroupByKey]])*ContinuousStatsTable[Average]))</f>
        <v>2.6620431560013098</v>
      </c>
      <c r="U152">
        <f>IF((ContinuousStatsTable[[#This Row],[RepsRequested]]&gt;1),ContinuousStatsTable[[#This Row],[HalfWidth]],ContinuousStatsTable[[#This Row],[BatchMeansHalfWidth]])</f>
        <v>5.3452608510618609E-2</v>
      </c>
    </row>
    <row r="153" spans="1:21" x14ac:dyDescent="0.25">
      <c r="A153" t="s">
        <v>67</v>
      </c>
      <c r="B153" t="s">
        <v>69</v>
      </c>
      <c r="C153">
        <v>6</v>
      </c>
      <c r="D153" t="s">
        <v>83</v>
      </c>
      <c r="E153" t="s">
        <v>103</v>
      </c>
      <c r="F153" t="s">
        <v>77</v>
      </c>
      <c r="G153">
        <v>5.1212851674768203</v>
      </c>
      <c r="H153">
        <v>0.18979132390419801</v>
      </c>
      <c r="I153">
        <v>0</v>
      </c>
      <c r="J153">
        <v>20</v>
      </c>
      <c r="K153">
        <v>9</v>
      </c>
      <c r="L153">
        <v>0</v>
      </c>
      <c r="M153" t="str">
        <f>ContinuousStatsTable[[#This Row],[ProjectName]]&amp;ContinuousStatsTable[[#This Row],[Name]]&amp;ContinuousStatsTable[[#This Row],[Type]]&amp;ContinuousStatsTable[[#This Row],[Source]]</f>
        <v>Unnamed ProjectOldPartWIPEntity</v>
      </c>
      <c r="N153" cm="1">
        <f t="array" ref="N153">MAX(IF((ProjectInfoTable[ProjectName]=ContinuousStatsTable[[#This Row],[ProjectName]]),(ProjectInfoTable[ProjectName]=ContinuousStatsTable[[#This Row],[ProjectName]])*ProjectInfoTable[NumberOfReplications]))</f>
        <v>10</v>
      </c>
      <c r="O153" cm="1">
        <f t="array" ref="O153">IFERROR(AVERAGE(IF((ContinuousStatsTable[GroupByKey]=ContinuousStatsTable[[#This Row],[GroupByKey]]),(ContinuousStatsTable[GroupByKey]=ContinuousStatsTable[[#This Row],[GroupByKey]])*ContinuousStatsTable[Average])),0)</f>
        <v>4.9513834264802963</v>
      </c>
      <c r="P153" cm="1">
        <f t="array" ref="P153">IFERROR(_xlfn.STDEV.S(IF((ContinuousStatsTable[GroupByKey]=ContinuousStatsTable[[#This Row],[GroupByKey]]),(ContinuousStatsTable[GroupByKey]=ContinuousStatsTable[[#This Row],[GroupByKey]])*ContinuousStatsTable[Average])),0)</f>
        <v>0.10244397191297382</v>
      </c>
      <c r="Q153" cm="1">
        <f t="array" ref="Q153">MAX(IF((ProjectInfoTable[ProjectName]=ContinuousStatsTable[[#This Row],[ProjectName]]),(ProjectInfoTable[ProjectName]=ContinuousStatsTable[[#This Row],[ProjectName]])*ProjectInfoTable[ConfidenceInterval]))</f>
        <v>0.95</v>
      </c>
      <c r="R1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7.3284002783010616E-2</v>
      </c>
      <c r="S153" cm="1">
        <f t="array" ref="S153">MIN(IF((ContinuousStatsTable[GroupByKey]=ContinuousStatsTable[[#This Row],[GroupByKey]]),(ContinuousStatsTable[GroupByKey]=ContinuousStatsTable[[#This Row],[GroupByKey]])*ContinuousStatsTable[Average]))</f>
        <v>4.82855853416822</v>
      </c>
      <c r="T153" cm="1">
        <f t="array" ref="T153">MAX(IF((ContinuousStatsTable[GroupByKey]=ContinuousStatsTable[[#This Row],[GroupByKey]]),(ContinuousStatsTable[GroupByKey]=ContinuousStatsTable[[#This Row],[GroupByKey]])*ContinuousStatsTable[Average]))</f>
        <v>5.1212851674768203</v>
      </c>
      <c r="U153">
        <f>IF((ContinuousStatsTable[[#This Row],[RepsRequested]]&gt;1),ContinuousStatsTable[[#This Row],[HalfWidth]],ContinuousStatsTable[[#This Row],[BatchMeansHalfWidth]])</f>
        <v>7.3284002783010616E-2</v>
      </c>
    </row>
    <row r="154" spans="1:21" x14ac:dyDescent="0.25">
      <c r="A154" t="s">
        <v>67</v>
      </c>
      <c r="B154" t="s">
        <v>69</v>
      </c>
      <c r="C154">
        <v>6</v>
      </c>
      <c r="D154" t="s">
        <v>107</v>
      </c>
      <c r="E154" t="s">
        <v>105</v>
      </c>
      <c r="F154" t="s">
        <v>106</v>
      </c>
      <c r="G154">
        <v>0.82572369910156995</v>
      </c>
      <c r="H154">
        <v>1.19044688860446E-2</v>
      </c>
      <c r="I154">
        <v>0</v>
      </c>
      <c r="J154">
        <v>1</v>
      </c>
      <c r="K154">
        <v>1</v>
      </c>
      <c r="L154">
        <v>0</v>
      </c>
      <c r="M154" t="str">
        <f>ContinuousStatsTable[[#This Row],[ProjectName]]&amp;ContinuousStatsTable[[#This Row],[Name]]&amp;ContinuousStatsTable[[#This Row],[Type]]&amp;ContinuousStatsTable[[#This Row],[Source]]</f>
        <v>Unnamed ProjectPACKERInstantaneous UtilizationResource</v>
      </c>
      <c r="N154" cm="1">
        <f t="array" ref="N154">MAX(IF((ProjectInfoTable[ProjectName]=ContinuousStatsTable[[#This Row],[ProjectName]]),(ProjectInfoTable[ProjectName]=ContinuousStatsTable[[#This Row],[ProjectName]])*ProjectInfoTable[NumberOfReplications]))</f>
        <v>10</v>
      </c>
      <c r="O154" cm="1">
        <f t="array" ref="O154">IFERROR(AVERAGE(IF((ContinuousStatsTable[GroupByKey]=ContinuousStatsTable[[#This Row],[GroupByKey]]),(ContinuousStatsTable[GroupByKey]=ContinuousStatsTable[[#This Row],[GroupByKey]])*ContinuousStatsTable[Average])),0)</f>
        <v>0.81557194281027567</v>
      </c>
      <c r="P154" cm="1">
        <f t="array" ref="P154">IFERROR(_xlfn.STDEV.S(IF((ContinuousStatsTable[GroupByKey]=ContinuousStatsTable[[#This Row],[GroupByKey]]),(ContinuousStatsTable[GroupByKey]=ContinuousStatsTable[[#This Row],[GroupByKey]])*ContinuousStatsTable[Average])),0)</f>
        <v>6.9416851287817331E-3</v>
      </c>
      <c r="Q154" cm="1">
        <f t="array" ref="Q154">MAX(IF((ProjectInfoTable[ProjectName]=ContinuousStatsTable[[#This Row],[ProjectName]]),(ProjectInfoTable[ProjectName]=ContinuousStatsTable[[#This Row],[ProjectName]])*ProjectInfoTable[ConfidenceInterval]))</f>
        <v>0.95</v>
      </c>
      <c r="R1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4.9657823959478754E-3</v>
      </c>
      <c r="S154" cm="1">
        <f t="array" ref="S154">MIN(IF((ContinuousStatsTable[GroupByKey]=ContinuousStatsTable[[#This Row],[GroupByKey]]),(ContinuousStatsTable[GroupByKey]=ContinuousStatsTable[[#This Row],[GroupByKey]])*ContinuousStatsTable[Average]))</f>
        <v>0.80675605099888203</v>
      </c>
      <c r="T154" cm="1">
        <f t="array" ref="T154">MAX(IF((ContinuousStatsTable[GroupByKey]=ContinuousStatsTable[[#This Row],[GroupByKey]]),(ContinuousStatsTable[GroupByKey]=ContinuousStatsTable[[#This Row],[GroupByKey]])*ContinuousStatsTable[Average]))</f>
        <v>0.82818429749007605</v>
      </c>
      <c r="U154">
        <f>IF((ContinuousStatsTable[[#This Row],[RepsRequested]]&gt;1),ContinuousStatsTable[[#This Row],[HalfWidth]],ContinuousStatsTable[[#This Row],[BatchMeansHalfWidth]])</f>
        <v>4.9657823959478754E-3</v>
      </c>
    </row>
    <row r="155" spans="1:21" x14ac:dyDescent="0.25">
      <c r="A155" t="s">
        <v>67</v>
      </c>
      <c r="B155" t="s">
        <v>69</v>
      </c>
      <c r="C155">
        <v>6</v>
      </c>
      <c r="D155" t="s">
        <v>107</v>
      </c>
      <c r="E155" t="s">
        <v>97</v>
      </c>
      <c r="F155" t="s">
        <v>106</v>
      </c>
      <c r="G155">
        <v>0.82572369910156995</v>
      </c>
      <c r="H155">
        <v>1.19044688860446E-2</v>
      </c>
      <c r="I155">
        <v>0</v>
      </c>
      <c r="J155">
        <v>1</v>
      </c>
      <c r="K155">
        <v>1</v>
      </c>
      <c r="L155">
        <v>0</v>
      </c>
      <c r="M155" t="str">
        <f>ContinuousStatsTable[[#This Row],[ProjectName]]&amp;ContinuousStatsTable[[#This Row],[Name]]&amp;ContinuousStatsTable[[#This Row],[Type]]&amp;ContinuousStatsTable[[#This Row],[Source]]</f>
        <v>Unnamed ProjectPACKERNumber BusyResource</v>
      </c>
      <c r="N155" cm="1">
        <f t="array" ref="N155">MAX(IF((ProjectInfoTable[ProjectName]=ContinuousStatsTable[[#This Row],[ProjectName]]),(ProjectInfoTable[ProjectName]=ContinuousStatsTable[[#This Row],[ProjectName]])*ProjectInfoTable[NumberOfReplications]))</f>
        <v>10</v>
      </c>
      <c r="O155" cm="1">
        <f t="array" ref="O155">IFERROR(AVERAGE(IF((ContinuousStatsTable[GroupByKey]=ContinuousStatsTable[[#This Row],[GroupByKey]]),(ContinuousStatsTable[GroupByKey]=ContinuousStatsTable[[#This Row],[GroupByKey]])*ContinuousStatsTable[Average])),0)</f>
        <v>0.81557194281027567</v>
      </c>
      <c r="P155" cm="1">
        <f t="array" ref="P155">IFERROR(_xlfn.STDEV.S(IF((ContinuousStatsTable[GroupByKey]=ContinuousStatsTable[[#This Row],[GroupByKey]]),(ContinuousStatsTable[GroupByKey]=ContinuousStatsTable[[#This Row],[GroupByKey]])*ContinuousStatsTable[Average])),0)</f>
        <v>6.9416851287817331E-3</v>
      </c>
      <c r="Q155" cm="1">
        <f t="array" ref="Q155">MAX(IF((ProjectInfoTable[ProjectName]=ContinuousStatsTable[[#This Row],[ProjectName]]),(ProjectInfoTable[ProjectName]=ContinuousStatsTable[[#This Row],[ProjectName]])*ProjectInfoTable[ConfidenceInterval]))</f>
        <v>0.95</v>
      </c>
      <c r="R1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4.9657823959478754E-3</v>
      </c>
      <c r="S155" cm="1">
        <f t="array" ref="S155">MIN(IF((ContinuousStatsTable[GroupByKey]=ContinuousStatsTable[[#This Row],[GroupByKey]]),(ContinuousStatsTable[GroupByKey]=ContinuousStatsTable[[#This Row],[GroupByKey]])*ContinuousStatsTable[Average]))</f>
        <v>0.80675605099888203</v>
      </c>
      <c r="T155" cm="1">
        <f t="array" ref="T155">MAX(IF((ContinuousStatsTable[GroupByKey]=ContinuousStatsTable[[#This Row],[GroupByKey]]),(ContinuousStatsTable[GroupByKey]=ContinuousStatsTable[[#This Row],[GroupByKey]])*ContinuousStatsTable[Average]))</f>
        <v>0.82818429749007605</v>
      </c>
      <c r="U155">
        <f>IF((ContinuousStatsTable[[#This Row],[RepsRequested]]&gt;1),ContinuousStatsTable[[#This Row],[HalfWidth]],ContinuousStatsTable[[#This Row],[BatchMeansHalfWidth]])</f>
        <v>4.9657823959478754E-3</v>
      </c>
    </row>
    <row r="156" spans="1:21" x14ac:dyDescent="0.25">
      <c r="A156" t="s">
        <v>67</v>
      </c>
      <c r="B156" t="s">
        <v>69</v>
      </c>
      <c r="C156">
        <v>6</v>
      </c>
      <c r="D156" t="s">
        <v>107</v>
      </c>
      <c r="E156" t="s">
        <v>99</v>
      </c>
      <c r="F156" t="s">
        <v>106</v>
      </c>
      <c r="G156">
        <v>1</v>
      </c>
      <c r="H156">
        <v>2E+20</v>
      </c>
      <c r="I156">
        <v>1</v>
      </c>
      <c r="J156">
        <v>1</v>
      </c>
      <c r="K156">
        <v>1</v>
      </c>
      <c r="L156">
        <v>0</v>
      </c>
      <c r="M156" t="str">
        <f>ContinuousStatsTable[[#This Row],[ProjectName]]&amp;ContinuousStatsTable[[#This Row],[Name]]&amp;ContinuousStatsTable[[#This Row],[Type]]&amp;ContinuousStatsTable[[#This Row],[Source]]</f>
        <v>Unnamed ProjectPACKERNumber ScheduledResource</v>
      </c>
      <c r="N156" cm="1">
        <f t="array" ref="N156">MAX(IF((ProjectInfoTable[ProjectName]=ContinuousStatsTable[[#This Row],[ProjectName]]),(ProjectInfoTable[ProjectName]=ContinuousStatsTable[[#This Row],[ProjectName]])*ProjectInfoTable[NumberOfReplications]))</f>
        <v>10</v>
      </c>
      <c r="O156" cm="1">
        <f t="array" ref="O156">IFERROR(AVERAGE(IF((ContinuousStatsTable[GroupByKey]=ContinuousStatsTable[[#This Row],[GroupByKey]]),(ContinuousStatsTable[GroupByKey]=ContinuousStatsTable[[#This Row],[GroupByKey]])*ContinuousStatsTable[Average])),0)</f>
        <v>1</v>
      </c>
      <c r="P156" cm="1">
        <f t="array" ref="P156">IFERROR(_xlfn.STDEV.S(IF((ContinuousStatsTable[GroupByKey]=ContinuousStatsTable[[#This Row],[GroupByKey]]),(ContinuousStatsTable[GroupByKey]=ContinuousStatsTable[[#This Row],[GroupByKey]])*ContinuousStatsTable[Average])),0)</f>
        <v>0</v>
      </c>
      <c r="Q156" cm="1">
        <f t="array" ref="Q156">MAX(IF((ProjectInfoTable[ProjectName]=ContinuousStatsTable[[#This Row],[ProjectName]]),(ProjectInfoTable[ProjectName]=ContinuousStatsTable[[#This Row],[ProjectName]])*ProjectInfoTable[ConfidenceInterval]))</f>
        <v>0.95</v>
      </c>
      <c r="R1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6" cm="1">
        <f t="array" ref="S156">MIN(IF((ContinuousStatsTable[GroupByKey]=ContinuousStatsTable[[#This Row],[GroupByKey]]),(ContinuousStatsTable[GroupByKey]=ContinuousStatsTable[[#This Row],[GroupByKey]])*ContinuousStatsTable[Average]))</f>
        <v>1</v>
      </c>
      <c r="T156" cm="1">
        <f t="array" ref="T156">MAX(IF((ContinuousStatsTable[GroupByKey]=ContinuousStatsTable[[#This Row],[GroupByKey]]),(ContinuousStatsTable[GroupByKey]=ContinuousStatsTable[[#This Row],[GroupByKey]])*ContinuousStatsTable[Average]))</f>
        <v>1</v>
      </c>
      <c r="U156">
        <f>IF((ContinuousStatsTable[[#This Row],[RepsRequested]]&gt;1),ContinuousStatsTable[[#This Row],[HalfWidth]],ContinuousStatsTable[[#This Row],[BatchMeansHalfWidth]])</f>
        <v>0</v>
      </c>
    </row>
    <row r="157" spans="1:21" x14ac:dyDescent="0.25">
      <c r="A157" t="s">
        <v>67</v>
      </c>
      <c r="B157" t="s">
        <v>69</v>
      </c>
      <c r="C157">
        <v>6</v>
      </c>
      <c r="D157" t="s">
        <v>108</v>
      </c>
      <c r="E157" t="s">
        <v>105</v>
      </c>
      <c r="F157" t="s">
        <v>106</v>
      </c>
      <c r="G157">
        <v>0.55480881547008698</v>
      </c>
      <c r="H157">
        <v>8.6778511355980505E-3</v>
      </c>
      <c r="I157">
        <v>0</v>
      </c>
      <c r="J157">
        <v>1</v>
      </c>
      <c r="K157">
        <v>0</v>
      </c>
      <c r="L157">
        <v>0</v>
      </c>
      <c r="M157" t="str">
        <f>ContinuousStatsTable[[#This Row],[ProjectName]]&amp;ContinuousStatsTable[[#This Row],[Name]]&amp;ContinuousStatsTable[[#This Row],[Type]]&amp;ContinuousStatsTable[[#This Row],[Source]]</f>
        <v>Unnamed ProjectPAINTERInstantaneous UtilizationResource</v>
      </c>
      <c r="N157" cm="1">
        <f t="array" ref="N157">MAX(IF((ProjectInfoTable[ProjectName]=ContinuousStatsTable[[#This Row],[ProjectName]]),(ProjectInfoTable[ProjectName]=ContinuousStatsTable[[#This Row],[ProjectName]])*ProjectInfoTable[NumberOfReplications]))</f>
        <v>10</v>
      </c>
      <c r="O157" cm="1">
        <f t="array" ref="O157">IFERROR(AVERAGE(IF((ContinuousStatsTable[GroupByKey]=ContinuousStatsTable[[#This Row],[GroupByKey]]),(ContinuousStatsTable[GroupByKey]=ContinuousStatsTable[[#This Row],[GroupByKey]])*ContinuousStatsTable[Average])),0)</f>
        <v>0.54938142053560801</v>
      </c>
      <c r="P157" cm="1">
        <f t="array" ref="P157">IFERROR(_xlfn.STDEV.S(IF((ContinuousStatsTable[GroupByKey]=ContinuousStatsTable[[#This Row],[GroupByKey]]),(ContinuousStatsTable[GroupByKey]=ContinuousStatsTable[[#This Row],[GroupByKey]])*ContinuousStatsTable[Average])),0)</f>
        <v>4.5196387022068685E-3</v>
      </c>
      <c r="Q157" cm="1">
        <f t="array" ref="Q157">MAX(IF((ProjectInfoTable[ProjectName]=ContinuousStatsTable[[#This Row],[ProjectName]]),(ProjectInfoTable[ProjectName]=ContinuousStatsTable[[#This Row],[ProjectName]])*ProjectInfoTable[ConfidenceInterval]))</f>
        <v>0.95</v>
      </c>
      <c r="R1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3.2331547581159752E-3</v>
      </c>
      <c r="S157" cm="1">
        <f t="array" ref="S157">MIN(IF((ContinuousStatsTable[GroupByKey]=ContinuousStatsTable[[#This Row],[GroupByKey]]),(ContinuousStatsTable[GroupByKey]=ContinuousStatsTable[[#This Row],[GroupByKey]])*ContinuousStatsTable[Average]))</f>
        <v>0.54030874063430001</v>
      </c>
      <c r="T157" cm="1">
        <f t="array" ref="T157">MAX(IF((ContinuousStatsTable[GroupByKey]=ContinuousStatsTable[[#This Row],[GroupByKey]]),(ContinuousStatsTable[GroupByKey]=ContinuousStatsTable[[#This Row],[GroupByKey]])*ContinuousStatsTable[Average]))</f>
        <v>0.55566835138728998</v>
      </c>
      <c r="U157">
        <f>IF((ContinuousStatsTable[[#This Row],[RepsRequested]]&gt;1),ContinuousStatsTable[[#This Row],[HalfWidth]],ContinuousStatsTable[[#This Row],[BatchMeansHalfWidth]])</f>
        <v>3.2331547581159752E-3</v>
      </c>
    </row>
    <row r="158" spans="1:21" x14ac:dyDescent="0.25">
      <c r="A158" t="s">
        <v>67</v>
      </c>
      <c r="B158" t="s">
        <v>69</v>
      </c>
      <c r="C158">
        <v>6</v>
      </c>
      <c r="D158" t="s">
        <v>108</v>
      </c>
      <c r="E158" t="s">
        <v>97</v>
      </c>
      <c r="F158" t="s">
        <v>106</v>
      </c>
      <c r="G158">
        <v>0.55480881547008698</v>
      </c>
      <c r="H158">
        <v>8.6778511355980505E-3</v>
      </c>
      <c r="I158">
        <v>0</v>
      </c>
      <c r="J158">
        <v>1</v>
      </c>
      <c r="K158">
        <v>0</v>
      </c>
      <c r="L158">
        <v>0</v>
      </c>
      <c r="M158" t="str">
        <f>ContinuousStatsTable[[#This Row],[ProjectName]]&amp;ContinuousStatsTable[[#This Row],[Name]]&amp;ContinuousStatsTable[[#This Row],[Type]]&amp;ContinuousStatsTable[[#This Row],[Source]]</f>
        <v>Unnamed ProjectPAINTERNumber BusyResource</v>
      </c>
      <c r="N158" cm="1">
        <f t="array" ref="N158">MAX(IF((ProjectInfoTable[ProjectName]=ContinuousStatsTable[[#This Row],[ProjectName]]),(ProjectInfoTable[ProjectName]=ContinuousStatsTable[[#This Row],[ProjectName]])*ProjectInfoTable[NumberOfReplications]))</f>
        <v>10</v>
      </c>
      <c r="O158" cm="1">
        <f t="array" ref="O158">IFERROR(AVERAGE(IF((ContinuousStatsTable[GroupByKey]=ContinuousStatsTable[[#This Row],[GroupByKey]]),(ContinuousStatsTable[GroupByKey]=ContinuousStatsTable[[#This Row],[GroupByKey]])*ContinuousStatsTable[Average])),0)</f>
        <v>0.54938142053560801</v>
      </c>
      <c r="P158" cm="1">
        <f t="array" ref="P158">IFERROR(_xlfn.STDEV.S(IF((ContinuousStatsTable[GroupByKey]=ContinuousStatsTable[[#This Row],[GroupByKey]]),(ContinuousStatsTable[GroupByKey]=ContinuousStatsTable[[#This Row],[GroupByKey]])*ContinuousStatsTable[Average])),0)</f>
        <v>4.5196387022068685E-3</v>
      </c>
      <c r="Q158" cm="1">
        <f t="array" ref="Q158">MAX(IF((ProjectInfoTable[ProjectName]=ContinuousStatsTable[[#This Row],[ProjectName]]),(ProjectInfoTable[ProjectName]=ContinuousStatsTable[[#This Row],[ProjectName]])*ProjectInfoTable[ConfidenceInterval]))</f>
        <v>0.95</v>
      </c>
      <c r="R1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3.2331547581159752E-3</v>
      </c>
      <c r="S158" cm="1">
        <f t="array" ref="S158">MIN(IF((ContinuousStatsTable[GroupByKey]=ContinuousStatsTable[[#This Row],[GroupByKey]]),(ContinuousStatsTable[GroupByKey]=ContinuousStatsTable[[#This Row],[GroupByKey]])*ContinuousStatsTable[Average]))</f>
        <v>0.54030874063430001</v>
      </c>
      <c r="T158" cm="1">
        <f t="array" ref="T158">MAX(IF((ContinuousStatsTable[GroupByKey]=ContinuousStatsTable[[#This Row],[GroupByKey]]),(ContinuousStatsTable[GroupByKey]=ContinuousStatsTable[[#This Row],[GroupByKey]])*ContinuousStatsTable[Average]))</f>
        <v>0.55566835138728998</v>
      </c>
      <c r="U158">
        <f>IF((ContinuousStatsTable[[#This Row],[RepsRequested]]&gt;1),ContinuousStatsTable[[#This Row],[HalfWidth]],ContinuousStatsTable[[#This Row],[BatchMeansHalfWidth]])</f>
        <v>3.2331547581159752E-3</v>
      </c>
    </row>
    <row r="159" spans="1:21" x14ac:dyDescent="0.25">
      <c r="A159" t="s">
        <v>67</v>
      </c>
      <c r="B159" t="s">
        <v>69</v>
      </c>
      <c r="C159">
        <v>6</v>
      </c>
      <c r="D159" t="s">
        <v>108</v>
      </c>
      <c r="E159" t="s">
        <v>99</v>
      </c>
      <c r="F159" t="s">
        <v>106</v>
      </c>
      <c r="G159">
        <v>1</v>
      </c>
      <c r="H159">
        <v>2E+20</v>
      </c>
      <c r="I159">
        <v>1</v>
      </c>
      <c r="J159">
        <v>1</v>
      </c>
      <c r="K159">
        <v>1</v>
      </c>
      <c r="L159">
        <v>0</v>
      </c>
      <c r="M159" t="str">
        <f>ContinuousStatsTable[[#This Row],[ProjectName]]&amp;ContinuousStatsTable[[#This Row],[Name]]&amp;ContinuousStatsTable[[#This Row],[Type]]&amp;ContinuousStatsTable[[#This Row],[Source]]</f>
        <v>Unnamed ProjectPAINTERNumber ScheduledResource</v>
      </c>
      <c r="N159" cm="1">
        <f t="array" ref="N159">MAX(IF((ProjectInfoTable[ProjectName]=ContinuousStatsTable[[#This Row],[ProjectName]]),(ProjectInfoTable[ProjectName]=ContinuousStatsTable[[#This Row],[ProjectName]])*ProjectInfoTable[NumberOfReplications]))</f>
        <v>10</v>
      </c>
      <c r="O159" cm="1">
        <f t="array" ref="O159">IFERROR(AVERAGE(IF((ContinuousStatsTable[GroupByKey]=ContinuousStatsTable[[#This Row],[GroupByKey]]),(ContinuousStatsTable[GroupByKey]=ContinuousStatsTable[[#This Row],[GroupByKey]])*ContinuousStatsTable[Average])),0)</f>
        <v>1</v>
      </c>
      <c r="P159" cm="1">
        <f t="array" ref="P159">IFERROR(_xlfn.STDEV.S(IF((ContinuousStatsTable[GroupByKey]=ContinuousStatsTable[[#This Row],[GroupByKey]]),(ContinuousStatsTable[GroupByKey]=ContinuousStatsTable[[#This Row],[GroupByKey]])*ContinuousStatsTable[Average])),0)</f>
        <v>0</v>
      </c>
      <c r="Q159" cm="1">
        <f t="array" ref="Q159">MAX(IF((ProjectInfoTable[ProjectName]=ContinuousStatsTable[[#This Row],[ProjectName]]),(ProjectInfoTable[ProjectName]=ContinuousStatsTable[[#This Row],[ProjectName]])*ProjectInfoTable[ConfidenceInterval]))</f>
        <v>0.95</v>
      </c>
      <c r="R1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9" cm="1">
        <f t="array" ref="S159">MIN(IF((ContinuousStatsTable[GroupByKey]=ContinuousStatsTable[[#This Row],[GroupByKey]]),(ContinuousStatsTable[GroupByKey]=ContinuousStatsTable[[#This Row],[GroupByKey]])*ContinuousStatsTable[Average]))</f>
        <v>1</v>
      </c>
      <c r="T159" cm="1">
        <f t="array" ref="T159">MAX(IF((ContinuousStatsTable[GroupByKey]=ContinuousStatsTable[[#This Row],[GroupByKey]]),(ContinuousStatsTable[GroupByKey]=ContinuousStatsTable[[#This Row],[GroupByKey]])*ContinuousStatsTable[Average]))</f>
        <v>1</v>
      </c>
      <c r="U159">
        <f>IF((ContinuousStatsTable[[#This Row],[RepsRequested]]&gt;1),ContinuousStatsTable[[#This Row],[HalfWidth]],ContinuousStatsTable[[#This Row],[BatchMeansHalfWidth]])</f>
        <v>0</v>
      </c>
    </row>
    <row r="160" spans="1:21" x14ac:dyDescent="0.25">
      <c r="A160" t="s">
        <v>67</v>
      </c>
      <c r="B160" t="s">
        <v>69</v>
      </c>
      <c r="C160">
        <v>6</v>
      </c>
      <c r="D160" t="s">
        <v>84</v>
      </c>
      <c r="E160" t="s">
        <v>101</v>
      </c>
      <c r="F160" t="s">
        <v>72</v>
      </c>
      <c r="G160">
        <v>0.63800950130876</v>
      </c>
      <c r="H160">
        <v>4.9106401249005303E-2</v>
      </c>
      <c r="I160">
        <v>0</v>
      </c>
      <c r="J160">
        <v>6</v>
      </c>
      <c r="K160">
        <v>1</v>
      </c>
      <c r="L160">
        <v>0</v>
      </c>
      <c r="M160" t="str">
        <f>ContinuousStatsTable[[#This Row],[ProjectName]]&amp;ContinuousStatsTable[[#This Row],[Name]]&amp;ContinuousStatsTable[[#This Row],[Type]]&amp;ContinuousStatsTable[[#This Row],[Source]]</f>
        <v>Unnamed ProjectPackQNumber WaitingQueue</v>
      </c>
      <c r="N160" cm="1">
        <f t="array" ref="N160">MAX(IF((ProjectInfoTable[ProjectName]=ContinuousStatsTable[[#This Row],[ProjectName]]),(ProjectInfoTable[ProjectName]=ContinuousStatsTable[[#This Row],[ProjectName]])*ProjectInfoTable[NumberOfReplications]))</f>
        <v>10</v>
      </c>
      <c r="O160" cm="1">
        <f t="array" ref="O160">IFERROR(AVERAGE(IF((ContinuousStatsTable[GroupByKey]=ContinuousStatsTable[[#This Row],[GroupByKey]]),(ContinuousStatsTable[GroupByKey]=ContinuousStatsTable[[#This Row],[GroupByKey]])*ContinuousStatsTable[Average])),0)</f>
        <v>0.5830563488318371</v>
      </c>
      <c r="P160" cm="1">
        <f t="array" ref="P160">IFERROR(_xlfn.STDEV.S(IF((ContinuousStatsTable[GroupByKey]=ContinuousStatsTable[[#This Row],[GroupByKey]]),(ContinuousStatsTable[GroupByKey]=ContinuousStatsTable[[#This Row],[GroupByKey]])*ContinuousStatsTable[Average])),0)</f>
        <v>3.7349781067397253E-2</v>
      </c>
      <c r="Q160" cm="1">
        <f t="array" ref="Q160">MAX(IF((ProjectInfoTable[ProjectName]=ContinuousStatsTable[[#This Row],[ProjectName]]),(ProjectInfoTable[ProjectName]=ContinuousStatsTable[[#This Row],[ProjectName]])*ProjectInfoTable[ConfidenceInterval]))</f>
        <v>0.95</v>
      </c>
      <c r="R1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2.6718423823055008E-2</v>
      </c>
      <c r="S160" cm="1">
        <f t="array" ref="S160">MIN(IF((ContinuousStatsTable[GroupByKey]=ContinuousStatsTable[[#This Row],[GroupByKey]]),(ContinuousStatsTable[GroupByKey]=ContinuousStatsTable[[#This Row],[GroupByKey]])*ContinuousStatsTable[Average]))</f>
        <v>0.51031500523829298</v>
      </c>
      <c r="T160" cm="1">
        <f t="array" ref="T160">MAX(IF((ContinuousStatsTable[GroupByKey]=ContinuousStatsTable[[#This Row],[GroupByKey]]),(ContinuousStatsTable[GroupByKey]=ContinuousStatsTable[[#This Row],[GroupByKey]])*ContinuousStatsTable[Average]))</f>
        <v>0.63800950130876</v>
      </c>
      <c r="U160">
        <f>IF((ContinuousStatsTable[[#This Row],[RepsRequested]]&gt;1),ContinuousStatsTable[[#This Row],[HalfWidth]],ContinuousStatsTable[[#This Row],[BatchMeansHalfWidth]])</f>
        <v>2.6718423823055008E-2</v>
      </c>
    </row>
    <row r="161" spans="1:21" x14ac:dyDescent="0.25">
      <c r="A161" t="s">
        <v>67</v>
      </c>
      <c r="B161" t="s">
        <v>69</v>
      </c>
      <c r="C161">
        <v>6</v>
      </c>
      <c r="D161" t="s">
        <v>85</v>
      </c>
      <c r="E161" t="s">
        <v>101</v>
      </c>
      <c r="F161" t="s">
        <v>72</v>
      </c>
      <c r="G161">
        <v>1.6052913612351699E-2</v>
      </c>
      <c r="H161">
        <v>1.1160656540343901E-3</v>
      </c>
      <c r="I161">
        <v>0</v>
      </c>
      <c r="J161">
        <v>1</v>
      </c>
      <c r="K161">
        <v>0</v>
      </c>
      <c r="L161">
        <v>0</v>
      </c>
      <c r="M161" t="str">
        <f>ContinuousStatsTable[[#This Row],[ProjectName]]&amp;ContinuousStatsTable[[#This Row],[Name]]&amp;ContinuousStatsTable[[#This Row],[Type]]&amp;ContinuousStatsTable[[#This Row],[Source]]</f>
        <v>Unnamed ProjectPackReqQNumber WaitingQueue</v>
      </c>
      <c r="N161" cm="1">
        <f t="array" ref="N161">MAX(IF((ProjectInfoTable[ProjectName]=ContinuousStatsTable[[#This Row],[ProjectName]]),(ProjectInfoTable[ProjectName]=ContinuousStatsTable[[#This Row],[ProjectName]])*ProjectInfoTable[NumberOfReplications]))</f>
        <v>10</v>
      </c>
      <c r="O161" cm="1">
        <f t="array" ref="O161">IFERROR(AVERAGE(IF((ContinuousStatsTable[GroupByKey]=ContinuousStatsTable[[#This Row],[GroupByKey]]),(ContinuousStatsTable[GroupByKey]=ContinuousStatsTable[[#This Row],[GroupByKey]])*ContinuousStatsTable[Average])),0)</f>
        <v>1.5083245089254998E-2</v>
      </c>
      <c r="P161" cm="1">
        <f t="array" ref="P161">IFERROR(_xlfn.STDEV.S(IF((ContinuousStatsTable[GroupByKey]=ContinuousStatsTable[[#This Row],[GroupByKey]]),(ContinuousStatsTable[GroupByKey]=ContinuousStatsTable[[#This Row],[GroupByKey]])*ContinuousStatsTable[Average])),0)</f>
        <v>5.836712228493759E-4</v>
      </c>
      <c r="Q161" cm="1">
        <f t="array" ref="Q161">MAX(IF((ProjectInfoTable[ProjectName]=ContinuousStatsTable[[#This Row],[ProjectName]]),(ProjectInfoTable[ProjectName]=ContinuousStatsTable[[#This Row],[ProjectName]])*ProjectInfoTable[ConfidenceInterval]))</f>
        <v>0.95</v>
      </c>
      <c r="R1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4.1753324008164384E-4</v>
      </c>
      <c r="S161" cm="1">
        <f t="array" ref="S161">MIN(IF((ContinuousStatsTable[GroupByKey]=ContinuousStatsTable[[#This Row],[GroupByKey]]),(ContinuousStatsTable[GroupByKey]=ContinuousStatsTable[[#This Row],[GroupByKey]])*ContinuousStatsTable[Average]))</f>
        <v>1.41054163109371E-2</v>
      </c>
      <c r="T161" cm="1">
        <f t="array" ref="T161">MAX(IF((ContinuousStatsTable[GroupByKey]=ContinuousStatsTable[[#This Row],[GroupByKey]]),(ContinuousStatsTable[GroupByKey]=ContinuousStatsTable[[#This Row],[GroupByKey]])*ContinuousStatsTable[Average]))</f>
        <v>1.6052913612351699E-2</v>
      </c>
      <c r="U161">
        <f>IF((ContinuousStatsTable[[#This Row],[RepsRequested]]&gt;1),ContinuousStatsTable[[#This Row],[HalfWidth]],ContinuousStatsTable[[#This Row],[BatchMeansHalfWidth]])</f>
        <v>4.1753324008164384E-4</v>
      </c>
    </row>
    <row r="162" spans="1:21" x14ac:dyDescent="0.25">
      <c r="A162" t="s">
        <v>67</v>
      </c>
      <c r="B162" t="s">
        <v>69</v>
      </c>
      <c r="C162">
        <v>6</v>
      </c>
      <c r="D162" t="s">
        <v>86</v>
      </c>
      <c r="E162" t="s">
        <v>101</v>
      </c>
      <c r="F162" t="s">
        <v>72</v>
      </c>
      <c r="G162">
        <v>6.2688911415734697E-2</v>
      </c>
      <c r="H162">
        <v>4.3764325643511999E-3</v>
      </c>
      <c r="I162">
        <v>0</v>
      </c>
      <c r="J162">
        <v>3</v>
      </c>
      <c r="K162">
        <v>0</v>
      </c>
      <c r="L162">
        <v>0</v>
      </c>
      <c r="M162" t="str">
        <f>ContinuousStatsTable[[#This Row],[ProjectName]]&amp;ContinuousStatsTable[[#This Row],[Name]]&amp;ContinuousStatsTable[[#This Row],[Type]]&amp;ContinuousStatsTable[[#This Row],[Source]]</f>
        <v>Unnamed ProjectPaintQNumber WaitingQueue</v>
      </c>
      <c r="N162" cm="1">
        <f t="array" ref="N162">MAX(IF((ProjectInfoTable[ProjectName]=ContinuousStatsTable[[#This Row],[ProjectName]]),(ProjectInfoTable[ProjectName]=ContinuousStatsTable[[#This Row],[ProjectName]])*ProjectInfoTable[NumberOfReplications]))</f>
        <v>10</v>
      </c>
      <c r="O162" cm="1">
        <f t="array" ref="O162">IFERROR(AVERAGE(IF((ContinuousStatsTable[GroupByKey]=ContinuousStatsTable[[#This Row],[GroupByKey]]),(ContinuousStatsTable[GroupByKey]=ContinuousStatsTable[[#This Row],[GroupByKey]])*ContinuousStatsTable[Average])),0)</f>
        <v>6.2655374167183184E-2</v>
      </c>
      <c r="P162" cm="1">
        <f t="array" ref="P162">IFERROR(_xlfn.STDEV.S(IF((ContinuousStatsTable[GroupByKey]=ContinuousStatsTable[[#This Row],[GroupByKey]]),(ContinuousStatsTable[GroupByKey]=ContinuousStatsTable[[#This Row],[GroupByKey]])*ContinuousStatsTable[Average])),0)</f>
        <v>1.297076259729802E-3</v>
      </c>
      <c r="Q162" cm="1">
        <f t="array" ref="Q162">MAX(IF((ProjectInfoTable[ProjectName]=ContinuousStatsTable[[#This Row],[ProjectName]]),(ProjectInfoTable[ProjectName]=ContinuousStatsTable[[#This Row],[ProjectName]])*ProjectInfoTable[ConfidenceInterval]))</f>
        <v>0.95</v>
      </c>
      <c r="R1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9.2787245996831338E-4</v>
      </c>
      <c r="S162" cm="1">
        <f t="array" ref="S162">MIN(IF((ContinuousStatsTable[GroupByKey]=ContinuousStatsTable[[#This Row],[GroupByKey]]),(ContinuousStatsTable[GroupByKey]=ContinuousStatsTable[[#This Row],[GroupByKey]])*ContinuousStatsTable[Average]))</f>
        <v>6.05919548276165E-2</v>
      </c>
      <c r="T162" cm="1">
        <f t="array" ref="T162">MAX(IF((ContinuousStatsTable[GroupByKey]=ContinuousStatsTable[[#This Row],[GroupByKey]]),(ContinuousStatsTable[GroupByKey]=ContinuousStatsTable[[#This Row],[GroupByKey]])*ContinuousStatsTable[Average]))</f>
        <v>6.4938397569822504E-2</v>
      </c>
      <c r="U162">
        <f>IF((ContinuousStatsTable[[#This Row],[RepsRequested]]&gt;1),ContinuousStatsTable[[#This Row],[HalfWidth]],ContinuousStatsTable[[#This Row],[BatchMeansHalfWidth]])</f>
        <v>9.2787245996831338E-4</v>
      </c>
    </row>
    <row r="163" spans="1:21" x14ac:dyDescent="0.25">
      <c r="A163" t="s">
        <v>67</v>
      </c>
      <c r="B163" t="s">
        <v>69</v>
      </c>
      <c r="C163">
        <v>6</v>
      </c>
      <c r="D163" t="s">
        <v>87</v>
      </c>
      <c r="E163" t="s">
        <v>101</v>
      </c>
      <c r="F163" t="s">
        <v>72</v>
      </c>
      <c r="G163">
        <v>1.30420022653657E-2</v>
      </c>
      <c r="H163">
        <v>8.60770879310465E-4</v>
      </c>
      <c r="I163">
        <v>0</v>
      </c>
      <c r="J163">
        <v>1</v>
      </c>
      <c r="K163">
        <v>0</v>
      </c>
      <c r="L163">
        <v>0</v>
      </c>
      <c r="M163" t="str">
        <f>ContinuousStatsTable[[#This Row],[ProjectName]]&amp;ContinuousStatsTable[[#This Row],[Name]]&amp;ContinuousStatsTable[[#This Row],[Type]]&amp;ContinuousStatsTable[[#This Row],[Source]]</f>
        <v>Unnamed ProjectPaintReqQNumber WaitingQueue</v>
      </c>
      <c r="N163" cm="1">
        <f t="array" ref="N163">MAX(IF((ProjectInfoTable[ProjectName]=ContinuousStatsTable[[#This Row],[ProjectName]]),(ProjectInfoTable[ProjectName]=ContinuousStatsTable[[#This Row],[ProjectName]])*ProjectInfoTable[NumberOfReplications]))</f>
        <v>10</v>
      </c>
      <c r="O163" cm="1">
        <f t="array" ref="O163">IFERROR(AVERAGE(IF((ContinuousStatsTable[GroupByKey]=ContinuousStatsTable[[#This Row],[GroupByKey]]),(ContinuousStatsTable[GroupByKey]=ContinuousStatsTable[[#This Row],[GroupByKey]])*ContinuousStatsTable[Average])),0)</f>
        <v>1.232491804183645E-2</v>
      </c>
      <c r="P163" cm="1">
        <f t="array" ref="P163">IFERROR(_xlfn.STDEV.S(IF((ContinuousStatsTable[GroupByKey]=ContinuousStatsTable[[#This Row],[GroupByKey]]),(ContinuousStatsTable[GroupByKey]=ContinuousStatsTable[[#This Row],[GroupByKey]])*ContinuousStatsTable[Average])),0)</f>
        <v>4.2846031814523761E-4</v>
      </c>
      <c r="Q163" cm="1">
        <f t="array" ref="Q163">MAX(IF((ProjectInfoTable[ProjectName]=ContinuousStatsTable[[#This Row],[ProjectName]]),(ProjectInfoTable[ProjectName]=ContinuousStatsTable[[#This Row],[ProjectName]])*ProjectInfoTable[ConfidenceInterval]))</f>
        <v>0.95</v>
      </c>
      <c r="R1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3.0650204751958381E-4</v>
      </c>
      <c r="S163" cm="1">
        <f t="array" ref="S163">MIN(IF((ContinuousStatsTable[GroupByKey]=ContinuousStatsTable[[#This Row],[GroupByKey]]),(ContinuousStatsTable[GroupByKey]=ContinuousStatsTable[[#This Row],[GroupByKey]])*ContinuousStatsTable[Average]))</f>
        <v>1.1842209288638999E-2</v>
      </c>
      <c r="T163" cm="1">
        <f t="array" ref="T163">MAX(IF((ContinuousStatsTable[GroupByKey]=ContinuousStatsTable[[#This Row],[GroupByKey]]),(ContinuousStatsTable[GroupByKey]=ContinuousStatsTable[[#This Row],[GroupByKey]])*ContinuousStatsTable[Average]))</f>
        <v>1.30420022653657E-2</v>
      </c>
      <c r="U163">
        <f>IF((ContinuousStatsTable[[#This Row],[RepsRequested]]&gt;1),ContinuousStatsTable[[#This Row],[HalfWidth]],ContinuousStatsTable[[#This Row],[BatchMeansHalfWidth]])</f>
        <v>3.0650204751958381E-4</v>
      </c>
    </row>
    <row r="164" spans="1:21" x14ac:dyDescent="0.25">
      <c r="A164" t="s">
        <v>67</v>
      </c>
      <c r="B164" t="s">
        <v>69</v>
      </c>
      <c r="C164">
        <v>6</v>
      </c>
      <c r="D164" t="s">
        <v>109</v>
      </c>
      <c r="E164" t="s">
        <v>105</v>
      </c>
      <c r="F164" t="s">
        <v>106</v>
      </c>
      <c r="G164">
        <v>0.83018197609076905</v>
      </c>
      <c r="H164">
        <v>1.2494394952055799E-2</v>
      </c>
      <c r="I164">
        <v>0</v>
      </c>
      <c r="J164">
        <v>1</v>
      </c>
      <c r="K164">
        <v>1</v>
      </c>
      <c r="L164">
        <v>0</v>
      </c>
      <c r="M164" t="str">
        <f>ContinuousStatsTable[[#This Row],[ProjectName]]&amp;ContinuousStatsTable[[#This Row],[Name]]&amp;ContinuousStatsTable[[#This Row],[Type]]&amp;ContinuousStatsTable[[#This Row],[Source]]</f>
        <v>Unnamed ProjectWORKERInstantaneous UtilizationResource</v>
      </c>
      <c r="N164" cm="1">
        <f t="array" ref="N164">MAX(IF((ProjectInfoTable[ProjectName]=ContinuousStatsTable[[#This Row],[ProjectName]]),(ProjectInfoTable[ProjectName]=ContinuousStatsTable[[#This Row],[ProjectName]])*ProjectInfoTable[NumberOfReplications]))</f>
        <v>10</v>
      </c>
      <c r="O164" cm="1">
        <f t="array" ref="O164">IFERROR(AVERAGE(IF((ContinuousStatsTable[GroupByKey]=ContinuousStatsTable[[#This Row],[GroupByKey]]),(ContinuousStatsTable[GroupByKey]=ContinuousStatsTable[[#This Row],[GroupByKey]])*ContinuousStatsTable[Average])),0)</f>
        <v>0.82030090075893936</v>
      </c>
      <c r="P164" cm="1">
        <f t="array" ref="P164">IFERROR(_xlfn.STDEV.S(IF((ContinuousStatsTable[GroupByKey]=ContinuousStatsTable[[#This Row],[GroupByKey]]),(ContinuousStatsTable[GroupByKey]=ContinuousStatsTable[[#This Row],[GroupByKey]])*ContinuousStatsTable[Average])),0)</f>
        <v>6.9684713894533476E-3</v>
      </c>
      <c r="Q164" cm="1">
        <f t="array" ref="Q164">MAX(IF((ProjectInfoTable[ProjectName]=ContinuousStatsTable[[#This Row],[ProjectName]]),(ProjectInfoTable[ProjectName]=ContinuousStatsTable[[#This Row],[ProjectName]])*ProjectInfoTable[ConfidenceInterval]))</f>
        <v>0.95</v>
      </c>
      <c r="R1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4.9849441325044447E-3</v>
      </c>
      <c r="S164" cm="1">
        <f t="array" ref="S164">MIN(IF((ContinuousStatsTable[GroupByKey]=ContinuousStatsTable[[#This Row],[GroupByKey]]),(ContinuousStatsTable[GroupByKey]=ContinuousStatsTable[[#This Row],[GroupByKey]])*ContinuousStatsTable[Average]))</f>
        <v>0.81151215762737705</v>
      </c>
      <c r="T164" cm="1">
        <f t="array" ref="T164">MAX(IF((ContinuousStatsTable[GroupByKey]=ContinuousStatsTable[[#This Row],[GroupByKey]]),(ContinuousStatsTable[GroupByKey]=ContinuousStatsTable[[#This Row],[GroupByKey]])*ContinuousStatsTable[Average]))</f>
        <v>0.832837691284112</v>
      </c>
      <c r="U164">
        <f>IF((ContinuousStatsTable[[#This Row],[RepsRequested]]&gt;1),ContinuousStatsTable[[#This Row],[HalfWidth]],ContinuousStatsTable[[#This Row],[BatchMeansHalfWidth]])</f>
        <v>4.9849441325044447E-3</v>
      </c>
    </row>
    <row r="165" spans="1:21" x14ac:dyDescent="0.25">
      <c r="A165" t="s">
        <v>67</v>
      </c>
      <c r="B165" t="s">
        <v>69</v>
      </c>
      <c r="C165">
        <v>6</v>
      </c>
      <c r="D165" t="s">
        <v>109</v>
      </c>
      <c r="E165" t="s">
        <v>97</v>
      </c>
      <c r="F165" t="s">
        <v>106</v>
      </c>
      <c r="G165">
        <v>0.83018197609076905</v>
      </c>
      <c r="H165">
        <v>1.2494394952055799E-2</v>
      </c>
      <c r="I165">
        <v>0</v>
      </c>
      <c r="J165">
        <v>1</v>
      </c>
      <c r="K165">
        <v>1</v>
      </c>
      <c r="L165">
        <v>0</v>
      </c>
      <c r="M165" t="str">
        <f>ContinuousStatsTable[[#This Row],[ProjectName]]&amp;ContinuousStatsTable[[#This Row],[Name]]&amp;ContinuousStatsTable[[#This Row],[Type]]&amp;ContinuousStatsTable[[#This Row],[Source]]</f>
        <v>Unnamed ProjectWORKERNumber BusyResource</v>
      </c>
      <c r="N165" cm="1">
        <f t="array" ref="N165">MAX(IF((ProjectInfoTable[ProjectName]=ContinuousStatsTable[[#This Row],[ProjectName]]),(ProjectInfoTable[ProjectName]=ContinuousStatsTable[[#This Row],[ProjectName]])*ProjectInfoTable[NumberOfReplications]))</f>
        <v>10</v>
      </c>
      <c r="O165" cm="1">
        <f t="array" ref="O165">IFERROR(AVERAGE(IF((ContinuousStatsTable[GroupByKey]=ContinuousStatsTable[[#This Row],[GroupByKey]]),(ContinuousStatsTable[GroupByKey]=ContinuousStatsTable[[#This Row],[GroupByKey]])*ContinuousStatsTable[Average])),0)</f>
        <v>0.82030090075893936</v>
      </c>
      <c r="P165" cm="1">
        <f t="array" ref="P165">IFERROR(_xlfn.STDEV.S(IF((ContinuousStatsTable[GroupByKey]=ContinuousStatsTable[[#This Row],[GroupByKey]]),(ContinuousStatsTable[GroupByKey]=ContinuousStatsTable[[#This Row],[GroupByKey]])*ContinuousStatsTable[Average])),0)</f>
        <v>6.9684713894533476E-3</v>
      </c>
      <c r="Q165" cm="1">
        <f t="array" ref="Q165">MAX(IF((ProjectInfoTable[ProjectName]=ContinuousStatsTable[[#This Row],[ProjectName]]),(ProjectInfoTable[ProjectName]=ContinuousStatsTable[[#This Row],[ProjectName]])*ProjectInfoTable[ConfidenceInterval]))</f>
        <v>0.95</v>
      </c>
      <c r="R1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4.9849441325044447E-3</v>
      </c>
      <c r="S165" cm="1">
        <f t="array" ref="S165">MIN(IF((ContinuousStatsTable[GroupByKey]=ContinuousStatsTable[[#This Row],[GroupByKey]]),(ContinuousStatsTable[GroupByKey]=ContinuousStatsTable[[#This Row],[GroupByKey]])*ContinuousStatsTable[Average]))</f>
        <v>0.81151215762737705</v>
      </c>
      <c r="T165" cm="1">
        <f t="array" ref="T165">MAX(IF((ContinuousStatsTable[GroupByKey]=ContinuousStatsTable[[#This Row],[GroupByKey]]),(ContinuousStatsTable[GroupByKey]=ContinuousStatsTable[[#This Row],[GroupByKey]])*ContinuousStatsTable[Average]))</f>
        <v>0.832837691284112</v>
      </c>
      <c r="U165">
        <f>IF((ContinuousStatsTable[[#This Row],[RepsRequested]]&gt;1),ContinuousStatsTable[[#This Row],[HalfWidth]],ContinuousStatsTable[[#This Row],[BatchMeansHalfWidth]])</f>
        <v>4.9849441325044447E-3</v>
      </c>
    </row>
    <row r="166" spans="1:21" x14ac:dyDescent="0.25">
      <c r="A166" t="s">
        <v>67</v>
      </c>
      <c r="B166" t="s">
        <v>69</v>
      </c>
      <c r="C166">
        <v>6</v>
      </c>
      <c r="D166" t="s">
        <v>109</v>
      </c>
      <c r="E166" t="s">
        <v>99</v>
      </c>
      <c r="F166" t="s">
        <v>106</v>
      </c>
      <c r="G166">
        <v>1</v>
      </c>
      <c r="H166">
        <v>2E+20</v>
      </c>
      <c r="I166">
        <v>1</v>
      </c>
      <c r="J166">
        <v>1</v>
      </c>
      <c r="K166">
        <v>1</v>
      </c>
      <c r="L166">
        <v>0</v>
      </c>
      <c r="M166" t="str">
        <f>ContinuousStatsTable[[#This Row],[ProjectName]]&amp;ContinuousStatsTable[[#This Row],[Name]]&amp;ContinuousStatsTable[[#This Row],[Type]]&amp;ContinuousStatsTable[[#This Row],[Source]]</f>
        <v>Unnamed ProjectWORKERNumber ScheduledResource</v>
      </c>
      <c r="N166" cm="1">
        <f t="array" ref="N166">MAX(IF((ProjectInfoTable[ProjectName]=ContinuousStatsTable[[#This Row],[ProjectName]]),(ProjectInfoTable[ProjectName]=ContinuousStatsTable[[#This Row],[ProjectName]])*ProjectInfoTable[NumberOfReplications]))</f>
        <v>10</v>
      </c>
      <c r="O166" cm="1">
        <f t="array" ref="O166">IFERROR(AVERAGE(IF((ContinuousStatsTable[GroupByKey]=ContinuousStatsTable[[#This Row],[GroupByKey]]),(ContinuousStatsTable[GroupByKey]=ContinuousStatsTable[[#This Row],[GroupByKey]])*ContinuousStatsTable[Average])),0)</f>
        <v>1</v>
      </c>
      <c r="P166" cm="1">
        <f t="array" ref="P166">IFERROR(_xlfn.STDEV.S(IF((ContinuousStatsTable[GroupByKey]=ContinuousStatsTable[[#This Row],[GroupByKey]]),(ContinuousStatsTable[GroupByKey]=ContinuousStatsTable[[#This Row],[GroupByKey]])*ContinuousStatsTable[Average])),0)</f>
        <v>0</v>
      </c>
      <c r="Q166" cm="1">
        <f t="array" ref="Q166">MAX(IF((ProjectInfoTable[ProjectName]=ContinuousStatsTable[[#This Row],[ProjectName]]),(ProjectInfoTable[ProjectName]=ContinuousStatsTable[[#This Row],[ProjectName]])*ProjectInfoTable[ConfidenceInterval]))</f>
        <v>0.95</v>
      </c>
      <c r="R1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6" cm="1">
        <f t="array" ref="S166">MIN(IF((ContinuousStatsTable[GroupByKey]=ContinuousStatsTable[[#This Row],[GroupByKey]]),(ContinuousStatsTable[GroupByKey]=ContinuousStatsTable[[#This Row],[GroupByKey]])*ContinuousStatsTable[Average]))</f>
        <v>1</v>
      </c>
      <c r="T166" cm="1">
        <f t="array" ref="T166">MAX(IF((ContinuousStatsTable[GroupByKey]=ContinuousStatsTable[[#This Row],[GroupByKey]]),(ContinuousStatsTable[GroupByKey]=ContinuousStatsTable[[#This Row],[GroupByKey]])*ContinuousStatsTable[Average]))</f>
        <v>1</v>
      </c>
      <c r="U166">
        <f>IF((ContinuousStatsTable[[#This Row],[RepsRequested]]&gt;1),ContinuousStatsTable[[#This Row],[HalfWidth]],ContinuousStatsTable[[#This Row],[BatchMeansHalfWidth]])</f>
        <v>0</v>
      </c>
    </row>
    <row r="167" spans="1:21" x14ac:dyDescent="0.25">
      <c r="A167" t="s">
        <v>67</v>
      </c>
      <c r="B167" t="s">
        <v>69</v>
      </c>
      <c r="C167">
        <v>6</v>
      </c>
      <c r="D167" t="s">
        <v>94</v>
      </c>
      <c r="E167" t="s">
        <v>101</v>
      </c>
      <c r="F167" t="s">
        <v>72</v>
      </c>
      <c r="G167">
        <v>1.96303981301246</v>
      </c>
      <c r="H167">
        <v>0.20073811374525299</v>
      </c>
      <c r="I167">
        <v>0</v>
      </c>
      <c r="J167">
        <v>17</v>
      </c>
      <c r="K167">
        <v>8</v>
      </c>
      <c r="L167">
        <v>0</v>
      </c>
      <c r="M167" t="str">
        <f>ContinuousStatsTable[[#This Row],[ProjectName]]&amp;ContinuousStatsTable[[#This Row],[Name]]&amp;ContinuousStatsTable[[#This Row],[Type]]&amp;ContinuousStatsTable[[#This Row],[Source]]</f>
        <v>Unnamed ProjectWorkStationQNumber WaitingQueue</v>
      </c>
      <c r="N167" cm="1">
        <f t="array" ref="N167">MAX(IF((ProjectInfoTable[ProjectName]=ContinuousStatsTable[[#This Row],[ProjectName]]),(ProjectInfoTable[ProjectName]=ContinuousStatsTable[[#This Row],[ProjectName]])*ProjectInfoTable[NumberOfReplications]))</f>
        <v>10</v>
      </c>
      <c r="O167" cm="1">
        <f t="array" ref="O167">IFERROR(AVERAGE(IF((ContinuousStatsTable[GroupByKey]=ContinuousStatsTable[[#This Row],[GroupByKey]]),(ContinuousStatsTable[GroupByKey]=ContinuousStatsTable[[#This Row],[GroupByKey]])*ContinuousStatsTable[Average])),0)</f>
        <v>1.7984099951452888</v>
      </c>
      <c r="P167" cm="1">
        <f t="array" ref="P167">IFERROR(_xlfn.STDEV.S(IF((ContinuousStatsTable[GroupByKey]=ContinuousStatsTable[[#This Row],[GroupByKey]]),(ContinuousStatsTable[GroupByKey]=ContinuousStatsTable[[#This Row],[GroupByKey]])*ContinuousStatsTable[Average])),0)</f>
        <v>9.41481017902569E-2</v>
      </c>
      <c r="Q167" cm="1">
        <f t="array" ref="Q167">MAX(IF((ProjectInfoTable[ProjectName]=ContinuousStatsTable[[#This Row],[ProjectName]]),(ProjectInfoTable[ProjectName]=ContinuousStatsTable[[#This Row],[ProjectName]])*ProjectInfoTable[ConfidenceInterval]))</f>
        <v>0.95</v>
      </c>
      <c r="R1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6.7349494799689366E-2</v>
      </c>
      <c r="S167" cm="1">
        <f t="array" ref="S167">MIN(IF((ContinuousStatsTable[GroupByKey]=ContinuousStatsTable[[#This Row],[GroupByKey]]),(ContinuousStatsTable[GroupByKey]=ContinuousStatsTable[[#This Row],[GroupByKey]])*ContinuousStatsTable[Average]))</f>
        <v>1.6808414073062801</v>
      </c>
      <c r="T167" cm="1">
        <f t="array" ref="T167">MAX(IF((ContinuousStatsTable[GroupByKey]=ContinuousStatsTable[[#This Row],[GroupByKey]]),(ContinuousStatsTable[GroupByKey]=ContinuousStatsTable[[#This Row],[GroupByKey]])*ContinuousStatsTable[Average]))</f>
        <v>1.96303981301246</v>
      </c>
      <c r="U167">
        <f>IF((ContinuousStatsTable[[#This Row],[RepsRequested]]&gt;1),ContinuousStatsTable[[#This Row],[HalfWidth]],ContinuousStatsTable[[#This Row],[BatchMeansHalfWidth]])</f>
        <v>6.7349494799689366E-2</v>
      </c>
    </row>
    <row r="168" spans="1:21" x14ac:dyDescent="0.25">
      <c r="A168" t="s">
        <v>67</v>
      </c>
      <c r="B168" t="s">
        <v>69</v>
      </c>
      <c r="C168">
        <v>6</v>
      </c>
      <c r="D168" t="s">
        <v>95</v>
      </c>
      <c r="E168" t="s">
        <v>101</v>
      </c>
      <c r="F168" t="s">
        <v>72</v>
      </c>
      <c r="G168">
        <v>1.3347253686633601E-2</v>
      </c>
      <c r="H168">
        <v>8.9097649476591902E-4</v>
      </c>
      <c r="I168">
        <v>0</v>
      </c>
      <c r="J168">
        <v>1</v>
      </c>
      <c r="K168">
        <v>0</v>
      </c>
      <c r="L168">
        <v>0</v>
      </c>
      <c r="M168" t="str">
        <f>ContinuousStatsTable[[#This Row],[ProjectName]]&amp;ContinuousStatsTable[[#This Row],[Name]]&amp;ContinuousStatsTable[[#This Row],[Type]]&amp;ContinuousStatsTable[[#This Row],[Source]]</f>
        <v>Unnamed ProjectWorkStationReqQNumber WaitingQueue</v>
      </c>
      <c r="N168" cm="1">
        <f t="array" ref="N168">MAX(IF((ProjectInfoTable[ProjectName]=ContinuousStatsTable[[#This Row],[ProjectName]]),(ProjectInfoTable[ProjectName]=ContinuousStatsTable[[#This Row],[ProjectName]])*ProjectInfoTable[NumberOfReplications]))</f>
        <v>10</v>
      </c>
      <c r="O168" cm="1">
        <f t="array" ref="O168">IFERROR(AVERAGE(IF((ContinuousStatsTable[GroupByKey]=ContinuousStatsTable[[#This Row],[GroupByKey]]),(ContinuousStatsTable[GroupByKey]=ContinuousStatsTable[[#This Row],[GroupByKey]])*ContinuousStatsTable[Average])),0)</f>
        <v>1.2897450081583859E-2</v>
      </c>
      <c r="P168" cm="1">
        <f t="array" ref="P168">IFERROR(_xlfn.STDEV.S(IF((ContinuousStatsTable[GroupByKey]=ContinuousStatsTable[[#This Row],[GroupByKey]]),(ContinuousStatsTable[GroupByKey]=ContinuousStatsTable[[#This Row],[GroupByKey]])*ContinuousStatsTable[Average])),0)</f>
        <v>4.2374090710035878E-4</v>
      </c>
      <c r="Q168" cm="1">
        <f t="array" ref="Q168">MAX(IF((ProjectInfoTable[ProjectName]=ContinuousStatsTable[[#This Row],[ProjectName]]),(ProjectInfoTable[ProjectName]=ContinuousStatsTable[[#This Row],[ProjectName]])*ProjectInfoTable[ConfidenceInterval]))</f>
        <v>0.95</v>
      </c>
      <c r="R1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3.0312598423651549E-4</v>
      </c>
      <c r="S168" cm="1">
        <f t="array" ref="S168">MIN(IF((ContinuousStatsTable[GroupByKey]=ContinuousStatsTable[[#This Row],[GroupByKey]]),(ContinuousStatsTable[GroupByKey]=ContinuousStatsTable[[#This Row],[GroupByKey]])*ContinuousStatsTable[Average]))</f>
        <v>1.2232643269307701E-2</v>
      </c>
      <c r="T168" cm="1">
        <f t="array" ref="T168">MAX(IF((ContinuousStatsTable[GroupByKey]=ContinuousStatsTable[[#This Row],[GroupByKey]]),(ContinuousStatsTable[GroupByKey]=ContinuousStatsTable[[#This Row],[GroupByKey]])*ContinuousStatsTable[Average]))</f>
        <v>1.34073753437328E-2</v>
      </c>
      <c r="U168">
        <f>IF((ContinuousStatsTable[[#This Row],[RepsRequested]]&gt;1),ContinuousStatsTable[[#This Row],[HalfWidth]],ContinuousStatsTable[[#This Row],[BatchMeansHalfWidth]])</f>
        <v>3.0312598423651549E-4</v>
      </c>
    </row>
    <row r="169" spans="1:21" x14ac:dyDescent="0.25">
      <c r="A169" t="s">
        <v>67</v>
      </c>
      <c r="B169" t="s">
        <v>69</v>
      </c>
      <c r="C169">
        <v>6</v>
      </c>
      <c r="D169" t="s">
        <v>110</v>
      </c>
      <c r="E169" t="s">
        <v>111</v>
      </c>
      <c r="F169" t="s">
        <v>90</v>
      </c>
      <c r="G169">
        <v>0.684272814785996</v>
      </c>
      <c r="H169">
        <v>1.4448732274339101E-2</v>
      </c>
      <c r="I169">
        <v>0</v>
      </c>
      <c r="J169">
        <v>7</v>
      </c>
      <c r="K169">
        <v>1</v>
      </c>
      <c r="L169">
        <v>0</v>
      </c>
      <c r="M169" t="str">
        <f>ContinuousStatsTable[[#This Row],[ProjectName]]&amp;ContinuousStatsTable[[#This Row],[Name]]&amp;ContinuousStatsTable[[#This Row],[Type]]&amp;ContinuousStatsTable[[#This Row],[Source]]</f>
        <v>Unnamed ProjectvNumWaitingRequestsVariableUser Specified</v>
      </c>
      <c r="N169" cm="1">
        <f t="array" ref="N169">MAX(IF((ProjectInfoTable[ProjectName]=ContinuousStatsTable[[#This Row],[ProjectName]]),(ProjectInfoTable[ProjectName]=ContinuousStatsTable[[#This Row],[ProjectName]])*ProjectInfoTable[NumberOfReplications]))</f>
        <v>10</v>
      </c>
      <c r="O169" cm="1">
        <f t="array" ref="O169">IFERROR(AVERAGE(IF((ContinuousStatsTable[GroupByKey]=ContinuousStatsTable[[#This Row],[GroupByKey]]),(ContinuousStatsTable[GroupByKey]=ContinuousStatsTable[[#This Row],[GroupByKey]])*ContinuousStatsTable[Average])),0)</f>
        <v>0.67697821611736619</v>
      </c>
      <c r="P169" cm="1">
        <f t="array" ref="P169">IFERROR(_xlfn.STDEV.S(IF((ContinuousStatsTable[GroupByKey]=ContinuousStatsTable[[#This Row],[GroupByKey]]),(ContinuousStatsTable[GroupByKey]=ContinuousStatsTable[[#This Row],[GroupByKey]])*ContinuousStatsTable[Average])),0)</f>
        <v>6.3714899668086428E-3</v>
      </c>
      <c r="Q169" cm="1">
        <f t="array" ref="Q169">MAX(IF((ProjectInfoTable[ProjectName]=ContinuousStatsTable[[#This Row],[ProjectName]]),(ProjectInfoTable[ProjectName]=ContinuousStatsTable[[#This Row],[ProjectName]])*ProjectInfoTable[ConfidenceInterval]))</f>
        <v>0.95</v>
      </c>
      <c r="R1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4.5578893490793634E-3</v>
      </c>
      <c r="S169" cm="1">
        <f t="array" ref="S169">MIN(IF((ContinuousStatsTable[GroupByKey]=ContinuousStatsTable[[#This Row],[GroupByKey]]),(ContinuousStatsTable[GroupByKey]=ContinuousStatsTable[[#This Row],[GroupByKey]])*ContinuousStatsTable[Average]))</f>
        <v>0.66877542384053201</v>
      </c>
      <c r="T169" cm="1">
        <f t="array" ref="T169">MAX(IF((ContinuousStatsTable[GroupByKey]=ContinuousStatsTable[[#This Row],[GroupByKey]]),(ContinuousStatsTable[GroupByKey]=ContinuousStatsTable[[#This Row],[GroupByKey]])*ContinuousStatsTable[Average]))</f>
        <v>0.69059318471793496</v>
      </c>
      <c r="U169">
        <f>IF((ContinuousStatsTable[[#This Row],[RepsRequested]]&gt;1),ContinuousStatsTable[[#This Row],[HalfWidth]],ContinuousStatsTable[[#This Row],[BatchMeansHalfWidth]])</f>
        <v>4.5578893490793634E-3</v>
      </c>
    </row>
    <row r="170" spans="1:21" x14ac:dyDescent="0.25">
      <c r="A170" t="s">
        <v>67</v>
      </c>
      <c r="B170" t="s">
        <v>69</v>
      </c>
      <c r="C170">
        <v>7</v>
      </c>
      <c r="D170" t="s">
        <v>96</v>
      </c>
      <c r="E170" t="s">
        <v>97</v>
      </c>
      <c r="F170" t="s">
        <v>98</v>
      </c>
      <c r="G170">
        <v>2.07440579456172</v>
      </c>
      <c r="H170">
        <v>7.7964736310668697E-3</v>
      </c>
      <c r="I170">
        <v>0</v>
      </c>
      <c r="J170">
        <v>3</v>
      </c>
      <c r="K170">
        <v>2</v>
      </c>
      <c r="L170">
        <v>0</v>
      </c>
      <c r="M170" t="str">
        <f>ContinuousStatsTable[[#This Row],[ProjectName]]&amp;ContinuousStatsTable[[#This Row],[Name]]&amp;ContinuousStatsTable[[#This Row],[Type]]&amp;ContinuousStatsTable[[#This Row],[Source]]</f>
        <v>Unnamed ProjectAGVNumber BusyTransporter</v>
      </c>
      <c r="N170" cm="1">
        <f t="array" ref="N170">MAX(IF((ProjectInfoTable[ProjectName]=ContinuousStatsTable[[#This Row],[ProjectName]]),(ProjectInfoTable[ProjectName]=ContinuousStatsTable[[#This Row],[ProjectName]])*ProjectInfoTable[NumberOfReplications]))</f>
        <v>10</v>
      </c>
      <c r="O170" cm="1">
        <f t="array" ref="O170">IFERROR(AVERAGE(IF((ContinuousStatsTable[GroupByKey]=ContinuousStatsTable[[#This Row],[GroupByKey]]),(ContinuousStatsTable[GroupByKey]=ContinuousStatsTable[[#This Row],[GroupByKey]])*ContinuousStatsTable[Average])),0)</f>
        <v>2.078872627125893</v>
      </c>
      <c r="P170" cm="1">
        <f t="array" ref="P170">IFERROR(_xlfn.STDEV.S(IF((ContinuousStatsTable[GroupByKey]=ContinuousStatsTable[[#This Row],[GroupByKey]]),(ContinuousStatsTable[GroupByKey]=ContinuousStatsTable[[#This Row],[GroupByKey]])*ContinuousStatsTable[Average])),0)</f>
        <v>5.2787009755182E-3</v>
      </c>
      <c r="Q170" cm="1">
        <f t="array" ref="Q170">MAX(IF((ProjectInfoTable[ProjectName]=ContinuousStatsTable[[#This Row],[ProjectName]]),(ProjectInfoTable[ProjectName]=ContinuousStatsTable[[#This Row],[ProjectName]])*ProjectInfoTable[ConfidenceInterval]))</f>
        <v>0.95</v>
      </c>
      <c r="R1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3.7761551973910287E-3</v>
      </c>
      <c r="S170" cm="1">
        <f t="array" ref="S170">MIN(IF((ContinuousStatsTable[GroupByKey]=ContinuousStatsTable[[#This Row],[GroupByKey]]),(ContinuousStatsTable[GroupByKey]=ContinuousStatsTable[[#This Row],[GroupByKey]])*ContinuousStatsTable[Average]))</f>
        <v>2.07228794584704</v>
      </c>
      <c r="T170" cm="1">
        <f t="array" ref="T170">MAX(IF((ContinuousStatsTable[GroupByKey]=ContinuousStatsTable[[#This Row],[GroupByKey]]),(ContinuousStatsTable[GroupByKey]=ContinuousStatsTable[[#This Row],[GroupByKey]])*ContinuousStatsTable[Average]))</f>
        <v>2.08892452747873</v>
      </c>
      <c r="U170">
        <f>IF((ContinuousStatsTable[[#This Row],[RepsRequested]]&gt;1),ContinuousStatsTable[[#This Row],[HalfWidth]],ContinuousStatsTable[[#This Row],[BatchMeansHalfWidth]])</f>
        <v>3.7761551973910287E-3</v>
      </c>
    </row>
    <row r="171" spans="1:21" x14ac:dyDescent="0.25">
      <c r="A171" t="s">
        <v>67</v>
      </c>
      <c r="B171" t="s">
        <v>69</v>
      </c>
      <c r="C171">
        <v>7</v>
      </c>
      <c r="D171" t="s">
        <v>96</v>
      </c>
      <c r="E171" t="s">
        <v>99</v>
      </c>
      <c r="F171" t="s">
        <v>98</v>
      </c>
      <c r="G171">
        <v>3</v>
      </c>
      <c r="H171">
        <v>2E+20</v>
      </c>
      <c r="I171">
        <v>3</v>
      </c>
      <c r="J171">
        <v>3</v>
      </c>
      <c r="K171">
        <v>3</v>
      </c>
      <c r="L171">
        <v>0</v>
      </c>
      <c r="M171" t="str">
        <f>ContinuousStatsTable[[#This Row],[ProjectName]]&amp;ContinuousStatsTable[[#This Row],[Name]]&amp;ContinuousStatsTable[[#This Row],[Type]]&amp;ContinuousStatsTable[[#This Row],[Source]]</f>
        <v>Unnamed ProjectAGVNumber ScheduledTransporter</v>
      </c>
      <c r="N171" cm="1">
        <f t="array" ref="N171">MAX(IF((ProjectInfoTable[ProjectName]=ContinuousStatsTable[[#This Row],[ProjectName]]),(ProjectInfoTable[ProjectName]=ContinuousStatsTable[[#This Row],[ProjectName]])*ProjectInfoTable[NumberOfReplications]))</f>
        <v>10</v>
      </c>
      <c r="O171" cm="1">
        <f t="array" ref="O171">IFERROR(AVERAGE(IF((ContinuousStatsTable[GroupByKey]=ContinuousStatsTable[[#This Row],[GroupByKey]]),(ContinuousStatsTable[GroupByKey]=ContinuousStatsTable[[#This Row],[GroupByKey]])*ContinuousStatsTable[Average])),0)</f>
        <v>3</v>
      </c>
      <c r="P171" cm="1">
        <f t="array" ref="P171">IFERROR(_xlfn.STDEV.S(IF((ContinuousStatsTable[GroupByKey]=ContinuousStatsTable[[#This Row],[GroupByKey]]),(ContinuousStatsTable[GroupByKey]=ContinuousStatsTable[[#This Row],[GroupByKey]])*ContinuousStatsTable[Average])),0)</f>
        <v>0</v>
      </c>
      <c r="Q171" cm="1">
        <f t="array" ref="Q171">MAX(IF((ProjectInfoTable[ProjectName]=ContinuousStatsTable[[#This Row],[ProjectName]]),(ProjectInfoTable[ProjectName]=ContinuousStatsTable[[#This Row],[ProjectName]])*ProjectInfoTable[ConfidenceInterval]))</f>
        <v>0.95</v>
      </c>
      <c r="R1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1" cm="1">
        <f t="array" ref="S171">MIN(IF((ContinuousStatsTable[GroupByKey]=ContinuousStatsTable[[#This Row],[GroupByKey]]),(ContinuousStatsTable[GroupByKey]=ContinuousStatsTable[[#This Row],[GroupByKey]])*ContinuousStatsTable[Average]))</f>
        <v>3</v>
      </c>
      <c r="T171" cm="1">
        <f t="array" ref="T171">MAX(IF((ContinuousStatsTable[GroupByKey]=ContinuousStatsTable[[#This Row],[GroupByKey]]),(ContinuousStatsTable[GroupByKey]=ContinuousStatsTable[[#This Row],[GroupByKey]])*ContinuousStatsTable[Average]))</f>
        <v>3</v>
      </c>
      <c r="U171">
        <f>IF((ContinuousStatsTable[[#This Row],[RepsRequested]]&gt;1),ContinuousStatsTable[[#This Row],[HalfWidth]],ContinuousStatsTable[[#This Row],[BatchMeansHalfWidth]])</f>
        <v>0</v>
      </c>
    </row>
    <row r="172" spans="1:21" x14ac:dyDescent="0.25">
      <c r="A172" t="s">
        <v>67</v>
      </c>
      <c r="B172" t="s">
        <v>69</v>
      </c>
      <c r="C172">
        <v>7</v>
      </c>
      <c r="D172" t="s">
        <v>96</v>
      </c>
      <c r="E172" t="s">
        <v>100</v>
      </c>
      <c r="F172" t="s">
        <v>98</v>
      </c>
      <c r="G172">
        <v>0.69146859818724804</v>
      </c>
      <c r="H172">
        <v>2.5988245436889502E-3</v>
      </c>
      <c r="I172">
        <v>0</v>
      </c>
      <c r="J172">
        <v>1</v>
      </c>
      <c r="K172">
        <v>0.66666666666666696</v>
      </c>
      <c r="L172">
        <v>0</v>
      </c>
      <c r="M172" t="str">
        <f>ContinuousStatsTable[[#This Row],[ProjectName]]&amp;ContinuousStatsTable[[#This Row],[Name]]&amp;ContinuousStatsTable[[#This Row],[Type]]&amp;ContinuousStatsTable[[#This Row],[Source]]</f>
        <v>Unnamed ProjectAGVUtilizationTransporter</v>
      </c>
      <c r="N172" cm="1">
        <f t="array" ref="N172">MAX(IF((ProjectInfoTable[ProjectName]=ContinuousStatsTable[[#This Row],[ProjectName]]),(ProjectInfoTable[ProjectName]=ContinuousStatsTable[[#This Row],[ProjectName]])*ProjectInfoTable[NumberOfReplications]))</f>
        <v>10</v>
      </c>
      <c r="O172" cm="1">
        <f t="array" ref="O172">IFERROR(AVERAGE(IF((ContinuousStatsTable[GroupByKey]=ContinuousStatsTable[[#This Row],[GroupByKey]]),(ContinuousStatsTable[GroupByKey]=ContinuousStatsTable[[#This Row],[GroupByKey]])*ContinuousStatsTable[Average])),0)</f>
        <v>0.69295754237529772</v>
      </c>
      <c r="P172" cm="1">
        <f t="array" ref="P172">IFERROR(_xlfn.STDEV.S(IF((ContinuousStatsTable[GroupByKey]=ContinuousStatsTable[[#This Row],[GroupByKey]]),(ContinuousStatsTable[GroupByKey]=ContinuousStatsTable[[#This Row],[GroupByKey]])*ContinuousStatsTable[Average])),0)</f>
        <v>1.759566991837834E-3</v>
      </c>
      <c r="Q172" cm="1">
        <f t="array" ref="Q172">MAX(IF((ProjectInfoTable[ProjectName]=ContinuousStatsTable[[#This Row],[ProjectName]]),(ProjectInfoTable[ProjectName]=ContinuousStatsTable[[#This Row],[ProjectName]])*ProjectInfoTable[ConfidenceInterval]))</f>
        <v>0.95</v>
      </c>
      <c r="R1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1.2587183991292225E-3</v>
      </c>
      <c r="S172" cm="1">
        <f t="array" ref="S172">MIN(IF((ContinuousStatsTable[GroupByKey]=ContinuousStatsTable[[#This Row],[GroupByKey]]),(ContinuousStatsTable[GroupByKey]=ContinuousStatsTable[[#This Row],[GroupByKey]])*ContinuousStatsTable[Average]))</f>
        <v>0.69076264861567704</v>
      </c>
      <c r="T172" cm="1">
        <f t="array" ref="T172">MAX(IF((ContinuousStatsTable[GroupByKey]=ContinuousStatsTable[[#This Row],[GroupByKey]]),(ContinuousStatsTable[GroupByKey]=ContinuousStatsTable[[#This Row],[GroupByKey]])*ContinuousStatsTable[Average]))</f>
        <v>0.69630817582623705</v>
      </c>
      <c r="U172">
        <f>IF((ContinuousStatsTable[[#This Row],[RepsRequested]]&gt;1),ContinuousStatsTable[[#This Row],[HalfWidth]],ContinuousStatsTable[[#This Row],[BatchMeansHalfWidth]])</f>
        <v>1.2587183991292225E-3</v>
      </c>
    </row>
    <row r="173" spans="1:21" x14ac:dyDescent="0.25">
      <c r="A173" t="s">
        <v>67</v>
      </c>
      <c r="B173" t="s">
        <v>69</v>
      </c>
      <c r="C173">
        <v>7</v>
      </c>
      <c r="D173" t="s">
        <v>70</v>
      </c>
      <c r="E173" t="s">
        <v>101</v>
      </c>
      <c r="F173" t="s">
        <v>72</v>
      </c>
      <c r="G173">
        <v>3.0363255152727399E-2</v>
      </c>
      <c r="H173">
        <v>2.3577647433282501E-3</v>
      </c>
      <c r="I173">
        <v>0</v>
      </c>
      <c r="J173">
        <v>5</v>
      </c>
      <c r="K173">
        <v>0</v>
      </c>
      <c r="L173">
        <v>0</v>
      </c>
      <c r="M173" t="str">
        <f>ContinuousStatsTable[[#This Row],[ProjectName]]&amp;ContinuousStatsTable[[#This Row],[Name]]&amp;ContinuousStatsTable[[#This Row],[Type]]&amp;ContinuousStatsTable[[#This Row],[Source]]</f>
        <v>Unnamed ProjectEnter Request AGV.QueueNumber WaitingQueue</v>
      </c>
      <c r="N173" cm="1">
        <f t="array" ref="N173">MAX(IF((ProjectInfoTable[ProjectName]=ContinuousStatsTable[[#This Row],[ProjectName]]),(ProjectInfoTable[ProjectName]=ContinuousStatsTable[[#This Row],[ProjectName]])*ProjectInfoTable[NumberOfReplications]))</f>
        <v>10</v>
      </c>
      <c r="O173" cm="1">
        <f t="array" ref="O173">IFERROR(AVERAGE(IF((ContinuousStatsTable[GroupByKey]=ContinuousStatsTable[[#This Row],[GroupByKey]]),(ContinuousStatsTable[GroupByKey]=ContinuousStatsTable[[#This Row],[GroupByKey]])*ContinuousStatsTable[Average])),0)</f>
        <v>3.1035047783347335E-2</v>
      </c>
      <c r="P173" cm="1">
        <f t="array" ref="P173">IFERROR(_xlfn.STDEV.S(IF((ContinuousStatsTable[GroupByKey]=ContinuousStatsTable[[#This Row],[GroupByKey]]),(ContinuousStatsTable[GroupByKey]=ContinuousStatsTable[[#This Row],[GroupByKey]])*ContinuousStatsTable[Average])),0)</f>
        <v>1.214427597616889E-3</v>
      </c>
      <c r="Q173" cm="1">
        <f t="array" ref="Q173">MAX(IF((ProjectInfoTable[ProjectName]=ContinuousStatsTable[[#This Row],[ProjectName]]),(ProjectInfoTable[ProjectName]=ContinuousStatsTable[[#This Row],[ProjectName]])*ProjectInfoTable[ConfidenceInterval]))</f>
        <v>0.95</v>
      </c>
      <c r="R1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8.6874916875660508E-4</v>
      </c>
      <c r="S173" cm="1">
        <f t="array" ref="S173">MIN(IF((ContinuousStatsTable[GroupByKey]=ContinuousStatsTable[[#This Row],[GroupByKey]]),(ContinuousStatsTable[GroupByKey]=ContinuousStatsTable[[#This Row],[GroupByKey]])*ContinuousStatsTable[Average]))</f>
        <v>2.9772007867277201E-2</v>
      </c>
      <c r="T173" cm="1">
        <f t="array" ref="T173">MAX(IF((ContinuousStatsTable[GroupByKey]=ContinuousStatsTable[[#This Row],[GroupByKey]]),(ContinuousStatsTable[GroupByKey]=ContinuousStatsTable[[#This Row],[GroupByKey]])*ContinuousStatsTable[Average]))</f>
        <v>3.3809532279706102E-2</v>
      </c>
      <c r="U173">
        <f>IF((ContinuousStatsTable[[#This Row],[RepsRequested]]&gt;1),ContinuousStatsTable[[#This Row],[HalfWidth]],ContinuousStatsTable[[#This Row],[BatchMeansHalfWidth]])</f>
        <v>8.6874916875660508E-4</v>
      </c>
    </row>
    <row r="174" spans="1:21" x14ac:dyDescent="0.25">
      <c r="A174" t="s">
        <v>67</v>
      </c>
      <c r="B174" t="s">
        <v>69</v>
      </c>
      <c r="C174">
        <v>7</v>
      </c>
      <c r="D174" t="s">
        <v>102</v>
      </c>
      <c r="E174" t="s">
        <v>103</v>
      </c>
      <c r="F174" t="s">
        <v>77</v>
      </c>
      <c r="G174">
        <v>0</v>
      </c>
      <c r="H174">
        <v>2E+20</v>
      </c>
      <c r="I174">
        <v>0</v>
      </c>
      <c r="J174">
        <v>1</v>
      </c>
      <c r="K174">
        <v>0</v>
      </c>
      <c r="L174">
        <v>0</v>
      </c>
      <c r="M174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174" cm="1">
        <f t="array" ref="N174">MAX(IF((ProjectInfoTable[ProjectName]=ContinuousStatsTable[[#This Row],[ProjectName]]),(ProjectInfoTable[ProjectName]=ContinuousStatsTable[[#This Row],[ProjectName]])*ProjectInfoTable[NumberOfReplications]))</f>
        <v>10</v>
      </c>
      <c r="O174" cm="1">
        <f t="array" ref="O174">IFERROR(AVERAGE(IF((ContinuousStatsTable[GroupByKey]=ContinuousStatsTable[[#This Row],[GroupByKey]]),(ContinuousStatsTable[GroupByKey]=ContinuousStatsTable[[#This Row],[GroupByKey]])*ContinuousStatsTable[Average])),0)</f>
        <v>0</v>
      </c>
      <c r="P174" cm="1">
        <f t="array" ref="P174">IFERROR(_xlfn.STDEV.S(IF((ContinuousStatsTable[GroupByKey]=ContinuousStatsTable[[#This Row],[GroupByKey]]),(ContinuousStatsTable[GroupByKey]=ContinuousStatsTable[[#This Row],[GroupByKey]])*ContinuousStatsTable[Average])),0)</f>
        <v>0</v>
      </c>
      <c r="Q174" cm="1">
        <f t="array" ref="Q174">MAX(IF((ProjectInfoTable[ProjectName]=ContinuousStatsTable[[#This Row],[ProjectName]]),(ProjectInfoTable[ProjectName]=ContinuousStatsTable[[#This Row],[ProjectName]])*ProjectInfoTable[ConfidenceInterval]))</f>
        <v>0.95</v>
      </c>
      <c r="R1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4" cm="1">
        <f t="array" ref="S174">MIN(IF((ContinuousStatsTable[GroupByKey]=ContinuousStatsTable[[#This Row],[GroupByKey]]),(ContinuousStatsTable[GroupByKey]=ContinuousStatsTable[[#This Row],[GroupByKey]])*ContinuousStatsTable[Average]))</f>
        <v>0</v>
      </c>
      <c r="T174" cm="1">
        <f t="array" ref="T174">MAX(IF((ContinuousStatsTable[GroupByKey]=ContinuousStatsTable[[#This Row],[GroupByKey]]),(ContinuousStatsTable[GroupByKey]=ContinuousStatsTable[[#This Row],[GroupByKey]])*ContinuousStatsTable[Average]))</f>
        <v>0</v>
      </c>
      <c r="U174">
        <f>IF((ContinuousStatsTable[[#This Row],[RepsRequested]]&gt;1),ContinuousStatsTable[[#This Row],[HalfWidth]],ContinuousStatsTable[[#This Row],[BatchMeansHalfWidth]])</f>
        <v>0</v>
      </c>
    </row>
    <row r="175" spans="1:21" x14ac:dyDescent="0.25">
      <c r="A175" t="s">
        <v>67</v>
      </c>
      <c r="B175" t="s">
        <v>69</v>
      </c>
      <c r="C175">
        <v>7</v>
      </c>
      <c r="D175" t="s">
        <v>104</v>
      </c>
      <c r="E175" t="s">
        <v>105</v>
      </c>
      <c r="F175" t="s">
        <v>106</v>
      </c>
      <c r="G175">
        <v>0.52708130347938897</v>
      </c>
      <c r="H175">
        <v>1.09994157303718E-2</v>
      </c>
      <c r="I175">
        <v>0</v>
      </c>
      <c r="J175">
        <v>1</v>
      </c>
      <c r="K175">
        <v>1</v>
      </c>
      <c r="L175">
        <v>0</v>
      </c>
      <c r="M175" t="str">
        <f>ContinuousStatsTable[[#This Row],[ProjectName]]&amp;ContinuousStatsTable[[#This Row],[Name]]&amp;ContinuousStatsTable[[#This Row],[Type]]&amp;ContinuousStatsTable[[#This Row],[Source]]</f>
        <v>Unnamed ProjectNEWPAINTERInstantaneous UtilizationResource</v>
      </c>
      <c r="N175" cm="1">
        <f t="array" ref="N175">MAX(IF((ProjectInfoTable[ProjectName]=ContinuousStatsTable[[#This Row],[ProjectName]]),(ProjectInfoTable[ProjectName]=ContinuousStatsTable[[#This Row],[ProjectName]])*ProjectInfoTable[NumberOfReplications]))</f>
        <v>10</v>
      </c>
      <c r="O175" cm="1">
        <f t="array" ref="O175">IFERROR(AVERAGE(IF((ContinuousStatsTable[GroupByKey]=ContinuousStatsTable[[#This Row],[GroupByKey]]),(ContinuousStatsTable[GroupByKey]=ContinuousStatsTable[[#This Row],[GroupByKey]])*ContinuousStatsTable[Average])),0)</f>
        <v>0.52518723279433455</v>
      </c>
      <c r="P175" cm="1">
        <f t="array" ref="P175">IFERROR(_xlfn.STDEV.S(IF((ContinuousStatsTable[GroupByKey]=ContinuousStatsTable[[#This Row],[GroupByKey]]),(ContinuousStatsTable[GroupByKey]=ContinuousStatsTable[[#This Row],[GroupByKey]])*ContinuousStatsTable[Average])),0)</f>
        <v>8.4087502405714581E-3</v>
      </c>
      <c r="Q175" cm="1">
        <f t="array" ref="Q175">MAX(IF((ProjectInfoTable[ProjectName]=ContinuousStatsTable[[#This Row],[ProjectName]]),(ProjectInfoTable[ProjectName]=ContinuousStatsTable[[#This Row],[ProjectName]])*ProjectInfoTable[ConfidenceInterval]))</f>
        <v>0.95</v>
      </c>
      <c r="R1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6.0152575551752803E-3</v>
      </c>
      <c r="S175" cm="1">
        <f t="array" ref="S175">MIN(IF((ContinuousStatsTable[GroupByKey]=ContinuousStatsTable[[#This Row],[GroupByKey]]),(ContinuousStatsTable[GroupByKey]=ContinuousStatsTable[[#This Row],[GroupByKey]])*ContinuousStatsTable[Average]))</f>
        <v>0.51150896826018899</v>
      </c>
      <c r="T175" cm="1">
        <f t="array" ref="T175">MAX(IF((ContinuousStatsTable[GroupByKey]=ContinuousStatsTable[[#This Row],[GroupByKey]]),(ContinuousStatsTable[GroupByKey]=ContinuousStatsTable[[#This Row],[GroupByKey]])*ContinuousStatsTable[Average]))</f>
        <v>0.54003281556404203</v>
      </c>
      <c r="U175">
        <f>IF((ContinuousStatsTable[[#This Row],[RepsRequested]]&gt;1),ContinuousStatsTable[[#This Row],[HalfWidth]],ContinuousStatsTable[[#This Row],[BatchMeansHalfWidth]])</f>
        <v>6.0152575551752803E-3</v>
      </c>
    </row>
    <row r="176" spans="1:21" x14ac:dyDescent="0.25">
      <c r="A176" t="s">
        <v>67</v>
      </c>
      <c r="B176" t="s">
        <v>69</v>
      </c>
      <c r="C176">
        <v>7</v>
      </c>
      <c r="D176" t="s">
        <v>104</v>
      </c>
      <c r="E176" t="s">
        <v>97</v>
      </c>
      <c r="F176" t="s">
        <v>106</v>
      </c>
      <c r="G176">
        <v>0.52708130347938897</v>
      </c>
      <c r="H176">
        <v>1.09994157303718E-2</v>
      </c>
      <c r="I176">
        <v>0</v>
      </c>
      <c r="J176">
        <v>1</v>
      </c>
      <c r="K176">
        <v>1</v>
      </c>
      <c r="L176">
        <v>0</v>
      </c>
      <c r="M176" t="str">
        <f>ContinuousStatsTable[[#This Row],[ProjectName]]&amp;ContinuousStatsTable[[#This Row],[Name]]&amp;ContinuousStatsTable[[#This Row],[Type]]&amp;ContinuousStatsTable[[#This Row],[Source]]</f>
        <v>Unnamed ProjectNEWPAINTERNumber BusyResource</v>
      </c>
      <c r="N176" cm="1">
        <f t="array" ref="N176">MAX(IF((ProjectInfoTable[ProjectName]=ContinuousStatsTable[[#This Row],[ProjectName]]),(ProjectInfoTable[ProjectName]=ContinuousStatsTable[[#This Row],[ProjectName]])*ProjectInfoTable[NumberOfReplications]))</f>
        <v>10</v>
      </c>
      <c r="O176" cm="1">
        <f t="array" ref="O176">IFERROR(AVERAGE(IF((ContinuousStatsTable[GroupByKey]=ContinuousStatsTable[[#This Row],[GroupByKey]]),(ContinuousStatsTable[GroupByKey]=ContinuousStatsTable[[#This Row],[GroupByKey]])*ContinuousStatsTable[Average])),0)</f>
        <v>0.52518723279433455</v>
      </c>
      <c r="P176" cm="1">
        <f t="array" ref="P176">IFERROR(_xlfn.STDEV.S(IF((ContinuousStatsTable[GroupByKey]=ContinuousStatsTable[[#This Row],[GroupByKey]]),(ContinuousStatsTable[GroupByKey]=ContinuousStatsTable[[#This Row],[GroupByKey]])*ContinuousStatsTable[Average])),0)</f>
        <v>8.4087502405714581E-3</v>
      </c>
      <c r="Q176" cm="1">
        <f t="array" ref="Q176">MAX(IF((ProjectInfoTable[ProjectName]=ContinuousStatsTable[[#This Row],[ProjectName]]),(ProjectInfoTable[ProjectName]=ContinuousStatsTable[[#This Row],[ProjectName]])*ProjectInfoTable[ConfidenceInterval]))</f>
        <v>0.95</v>
      </c>
      <c r="R1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6.0152575551752803E-3</v>
      </c>
      <c r="S176" cm="1">
        <f t="array" ref="S176">MIN(IF((ContinuousStatsTable[GroupByKey]=ContinuousStatsTable[[#This Row],[GroupByKey]]),(ContinuousStatsTable[GroupByKey]=ContinuousStatsTable[[#This Row],[GroupByKey]])*ContinuousStatsTable[Average]))</f>
        <v>0.51150896826018899</v>
      </c>
      <c r="T176" cm="1">
        <f t="array" ref="T176">MAX(IF((ContinuousStatsTable[GroupByKey]=ContinuousStatsTable[[#This Row],[GroupByKey]]),(ContinuousStatsTable[GroupByKey]=ContinuousStatsTable[[#This Row],[GroupByKey]])*ContinuousStatsTable[Average]))</f>
        <v>0.54003281556404203</v>
      </c>
      <c r="U176">
        <f>IF((ContinuousStatsTable[[#This Row],[RepsRequested]]&gt;1),ContinuousStatsTable[[#This Row],[HalfWidth]],ContinuousStatsTable[[#This Row],[BatchMeansHalfWidth]])</f>
        <v>6.0152575551752803E-3</v>
      </c>
    </row>
    <row r="177" spans="1:21" x14ac:dyDescent="0.25">
      <c r="A177" t="s">
        <v>67</v>
      </c>
      <c r="B177" t="s">
        <v>69</v>
      </c>
      <c r="C177">
        <v>7</v>
      </c>
      <c r="D177" t="s">
        <v>104</v>
      </c>
      <c r="E177" t="s">
        <v>99</v>
      </c>
      <c r="F177" t="s">
        <v>106</v>
      </c>
      <c r="G177">
        <v>1</v>
      </c>
      <c r="H177">
        <v>2E+20</v>
      </c>
      <c r="I177">
        <v>1</v>
      </c>
      <c r="J177">
        <v>1</v>
      </c>
      <c r="K177">
        <v>1</v>
      </c>
      <c r="L177">
        <v>0</v>
      </c>
      <c r="M177" t="str">
        <f>ContinuousStatsTable[[#This Row],[ProjectName]]&amp;ContinuousStatsTable[[#This Row],[Name]]&amp;ContinuousStatsTable[[#This Row],[Type]]&amp;ContinuousStatsTable[[#This Row],[Source]]</f>
        <v>Unnamed ProjectNEWPAINTERNumber ScheduledResource</v>
      </c>
      <c r="N177" cm="1">
        <f t="array" ref="N177">MAX(IF((ProjectInfoTable[ProjectName]=ContinuousStatsTable[[#This Row],[ProjectName]]),(ProjectInfoTable[ProjectName]=ContinuousStatsTable[[#This Row],[ProjectName]])*ProjectInfoTable[NumberOfReplications]))</f>
        <v>10</v>
      </c>
      <c r="O177" cm="1">
        <f t="array" ref="O177">IFERROR(AVERAGE(IF((ContinuousStatsTable[GroupByKey]=ContinuousStatsTable[[#This Row],[GroupByKey]]),(ContinuousStatsTable[GroupByKey]=ContinuousStatsTable[[#This Row],[GroupByKey]])*ContinuousStatsTable[Average])),0)</f>
        <v>1</v>
      </c>
      <c r="P177" cm="1">
        <f t="array" ref="P177">IFERROR(_xlfn.STDEV.S(IF((ContinuousStatsTable[GroupByKey]=ContinuousStatsTable[[#This Row],[GroupByKey]]),(ContinuousStatsTable[GroupByKey]=ContinuousStatsTable[[#This Row],[GroupByKey]])*ContinuousStatsTable[Average])),0)</f>
        <v>0</v>
      </c>
      <c r="Q177" cm="1">
        <f t="array" ref="Q177">MAX(IF((ProjectInfoTable[ProjectName]=ContinuousStatsTable[[#This Row],[ProjectName]]),(ProjectInfoTable[ProjectName]=ContinuousStatsTable[[#This Row],[ProjectName]])*ProjectInfoTable[ConfidenceInterval]))</f>
        <v>0.95</v>
      </c>
      <c r="R1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7" cm="1">
        <f t="array" ref="S177">MIN(IF((ContinuousStatsTable[GroupByKey]=ContinuousStatsTable[[#This Row],[GroupByKey]]),(ContinuousStatsTable[GroupByKey]=ContinuousStatsTable[[#This Row],[GroupByKey]])*ContinuousStatsTable[Average]))</f>
        <v>1</v>
      </c>
      <c r="T177" cm="1">
        <f t="array" ref="T177">MAX(IF((ContinuousStatsTable[GroupByKey]=ContinuousStatsTable[[#This Row],[GroupByKey]]),(ContinuousStatsTable[GroupByKey]=ContinuousStatsTable[[#This Row],[GroupByKey]])*ContinuousStatsTable[Average]))</f>
        <v>1</v>
      </c>
      <c r="U177">
        <f>IF((ContinuousStatsTable[[#This Row],[RepsRequested]]&gt;1),ContinuousStatsTable[[#This Row],[HalfWidth]],ContinuousStatsTable[[#This Row],[BatchMeansHalfWidth]])</f>
        <v>0</v>
      </c>
    </row>
    <row r="178" spans="1:21" x14ac:dyDescent="0.25">
      <c r="A178" t="s">
        <v>67</v>
      </c>
      <c r="B178" t="s">
        <v>69</v>
      </c>
      <c r="C178">
        <v>7</v>
      </c>
      <c r="D178" t="s">
        <v>73</v>
      </c>
      <c r="E178" t="s">
        <v>101</v>
      </c>
      <c r="F178" t="s">
        <v>72</v>
      </c>
      <c r="G178">
        <v>0.194935842880541</v>
      </c>
      <c r="H178">
        <v>1.8823251227943299E-2</v>
      </c>
      <c r="I178">
        <v>0</v>
      </c>
      <c r="J178">
        <v>4</v>
      </c>
      <c r="K178">
        <v>0</v>
      </c>
      <c r="L178">
        <v>0</v>
      </c>
      <c r="M178" t="str">
        <f>ContinuousStatsTable[[#This Row],[ProjectName]]&amp;ContinuousStatsTable[[#This Row],[Name]]&amp;ContinuousStatsTable[[#This Row],[Type]]&amp;ContinuousStatsTable[[#This Row],[Source]]</f>
        <v>Unnamed ProjectNewPaintQNumber WaitingQueue</v>
      </c>
      <c r="N178" cm="1">
        <f t="array" ref="N178">MAX(IF((ProjectInfoTable[ProjectName]=ContinuousStatsTable[[#This Row],[ProjectName]]),(ProjectInfoTable[ProjectName]=ContinuousStatsTable[[#This Row],[ProjectName]])*ProjectInfoTable[NumberOfReplications]))</f>
        <v>10</v>
      </c>
      <c r="O178" cm="1">
        <f t="array" ref="O178">IFERROR(AVERAGE(IF((ContinuousStatsTable[GroupByKey]=ContinuousStatsTable[[#This Row],[GroupByKey]]),(ContinuousStatsTable[GroupByKey]=ContinuousStatsTable[[#This Row],[GroupByKey]])*ContinuousStatsTable[Average])),0)</f>
        <v>0.19175082727765341</v>
      </c>
      <c r="P178" cm="1">
        <f t="array" ref="P178">IFERROR(_xlfn.STDEV.S(IF((ContinuousStatsTable[GroupByKey]=ContinuousStatsTable[[#This Row],[GroupByKey]]),(ContinuousStatsTable[GroupByKey]=ContinuousStatsTable[[#This Row],[GroupByKey]])*ContinuousStatsTable[Average])),0)</f>
        <v>1.5966644693782381E-2</v>
      </c>
      <c r="Q178" cm="1">
        <f t="array" ref="Q178">MAX(IF((ProjectInfoTable[ProjectName]=ContinuousStatsTable[[#This Row],[ProjectName]]),(ProjectInfoTable[ProjectName]=ContinuousStatsTable[[#This Row],[ProjectName]])*ProjectInfoTable[ConfidenceInterval]))</f>
        <v>0.95</v>
      </c>
      <c r="R1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1.1421849546877095E-2</v>
      </c>
      <c r="S178" cm="1">
        <f t="array" ref="S178">MIN(IF((ContinuousStatsTable[GroupByKey]=ContinuousStatsTable[[#This Row],[GroupByKey]]),(ContinuousStatsTable[GroupByKey]=ContinuousStatsTable[[#This Row],[GroupByKey]])*ContinuousStatsTable[Average]))</f>
        <v>0.17015628683515099</v>
      </c>
      <c r="T178" cm="1">
        <f t="array" ref="T178">MAX(IF((ContinuousStatsTable[GroupByKey]=ContinuousStatsTable[[#This Row],[GroupByKey]]),(ContinuousStatsTable[GroupByKey]=ContinuousStatsTable[[#This Row],[GroupByKey]])*ContinuousStatsTable[Average]))</f>
        <v>0.217869952503708</v>
      </c>
      <c r="U178">
        <f>IF((ContinuousStatsTable[[#This Row],[RepsRequested]]&gt;1),ContinuousStatsTable[[#This Row],[HalfWidth]],ContinuousStatsTable[[#This Row],[BatchMeansHalfWidth]])</f>
        <v>1.1421849546877095E-2</v>
      </c>
    </row>
    <row r="179" spans="1:21" x14ac:dyDescent="0.25">
      <c r="A179" t="s">
        <v>67</v>
      </c>
      <c r="B179" t="s">
        <v>69</v>
      </c>
      <c r="C179">
        <v>7</v>
      </c>
      <c r="D179" t="s">
        <v>74</v>
      </c>
      <c r="E179" t="s">
        <v>101</v>
      </c>
      <c r="F179" t="s">
        <v>72</v>
      </c>
      <c r="G179">
        <v>4.5669137563844799E-3</v>
      </c>
      <c r="H179">
        <v>3.8735645611493298E-4</v>
      </c>
      <c r="I179">
        <v>0</v>
      </c>
      <c r="J179">
        <v>1</v>
      </c>
      <c r="K179">
        <v>0</v>
      </c>
      <c r="L179">
        <v>0</v>
      </c>
      <c r="M179" t="str">
        <f>ContinuousStatsTable[[#This Row],[ProjectName]]&amp;ContinuousStatsTable[[#This Row],[Name]]&amp;ContinuousStatsTable[[#This Row],[Type]]&amp;ContinuousStatsTable[[#This Row],[Source]]</f>
        <v>Unnamed ProjectNewPaintReqQNumber WaitingQueue</v>
      </c>
      <c r="N179" cm="1">
        <f t="array" ref="N179">MAX(IF((ProjectInfoTable[ProjectName]=ContinuousStatsTable[[#This Row],[ProjectName]]),(ProjectInfoTable[ProjectName]=ContinuousStatsTable[[#This Row],[ProjectName]])*ProjectInfoTable[NumberOfReplications]))</f>
        <v>10</v>
      </c>
      <c r="O179" cm="1">
        <f t="array" ref="O179">IFERROR(AVERAGE(IF((ContinuousStatsTable[GroupByKey]=ContinuousStatsTable[[#This Row],[GroupByKey]]),(ContinuousStatsTable[GroupByKey]=ContinuousStatsTable[[#This Row],[GroupByKey]])*ContinuousStatsTable[Average])),0)</f>
        <v>4.7461022101932173E-3</v>
      </c>
      <c r="P179" cm="1">
        <f t="array" ref="P179">IFERROR(_xlfn.STDEV.S(IF((ContinuousStatsTable[GroupByKey]=ContinuousStatsTable[[#This Row],[GroupByKey]]),(ContinuousStatsTable[GroupByKey]=ContinuousStatsTable[[#This Row],[GroupByKey]])*ContinuousStatsTable[Average])),0)</f>
        <v>2.0643575159293872E-4</v>
      </c>
      <c r="Q179" cm="1">
        <f t="array" ref="Q179">MAX(IF((ProjectInfoTable[ProjectName]=ContinuousStatsTable[[#This Row],[ProjectName]]),(ProjectInfoTable[ProjectName]=ContinuousStatsTable[[#This Row],[ProjectName]])*ProjectInfoTable[ConfidenceInterval]))</f>
        <v>0.95</v>
      </c>
      <c r="R1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1.4767524054125336E-4</v>
      </c>
      <c r="S179" cm="1">
        <f t="array" ref="S179">MIN(IF((ContinuousStatsTable[GroupByKey]=ContinuousStatsTable[[#This Row],[GroupByKey]]),(ContinuousStatsTable[GroupByKey]=ContinuousStatsTable[[#This Row],[GroupByKey]])*ContinuousStatsTable[Average]))</f>
        <v>4.3438456155572196E-3</v>
      </c>
      <c r="T179" cm="1">
        <f t="array" ref="T179">MAX(IF((ContinuousStatsTable[GroupByKey]=ContinuousStatsTable[[#This Row],[GroupByKey]]),(ContinuousStatsTable[GroupByKey]=ContinuousStatsTable[[#This Row],[GroupByKey]])*ContinuousStatsTable[Average]))</f>
        <v>5.0878342070728201E-3</v>
      </c>
      <c r="U179">
        <f>IF((ContinuousStatsTable[[#This Row],[RepsRequested]]&gt;1),ContinuousStatsTable[[#This Row],[HalfWidth]],ContinuousStatsTable[[#This Row],[BatchMeansHalfWidth]])</f>
        <v>1.4767524054125336E-4</v>
      </c>
    </row>
    <row r="180" spans="1:21" x14ac:dyDescent="0.25">
      <c r="A180" t="s">
        <v>67</v>
      </c>
      <c r="B180" t="s">
        <v>69</v>
      </c>
      <c r="C180">
        <v>7</v>
      </c>
      <c r="D180" t="s">
        <v>75</v>
      </c>
      <c r="E180" t="s">
        <v>103</v>
      </c>
      <c r="F180" t="s">
        <v>77</v>
      </c>
      <c r="G180">
        <v>2.5411010107593199</v>
      </c>
      <c r="H180">
        <v>9.4914637288693607E-2</v>
      </c>
      <c r="I180">
        <v>0</v>
      </c>
      <c r="J180">
        <v>12</v>
      </c>
      <c r="K180">
        <v>1</v>
      </c>
      <c r="L180">
        <v>0</v>
      </c>
      <c r="M180" t="str">
        <f>ContinuousStatsTable[[#This Row],[ProjectName]]&amp;ContinuousStatsTable[[#This Row],[Name]]&amp;ContinuousStatsTable[[#This Row],[Type]]&amp;ContinuousStatsTable[[#This Row],[Source]]</f>
        <v>Unnamed ProjectNewPartWIPEntity</v>
      </c>
      <c r="N180" cm="1">
        <f t="array" ref="N180">MAX(IF((ProjectInfoTable[ProjectName]=ContinuousStatsTable[[#This Row],[ProjectName]]),(ProjectInfoTable[ProjectName]=ContinuousStatsTable[[#This Row],[ProjectName]])*ProjectInfoTable[NumberOfReplications]))</f>
        <v>10</v>
      </c>
      <c r="O180" cm="1">
        <f t="array" ref="O180">IFERROR(AVERAGE(IF((ContinuousStatsTable[GroupByKey]=ContinuousStatsTable[[#This Row],[GroupByKey]]),(ContinuousStatsTable[GroupByKey]=ContinuousStatsTable[[#This Row],[GroupByKey]])*ContinuousStatsTable[Average])),0)</f>
        <v>2.5498900061729541</v>
      </c>
      <c r="P180" cm="1">
        <f t="array" ref="P180">IFERROR(_xlfn.STDEV.S(IF((ContinuousStatsTable[GroupByKey]=ContinuousStatsTable[[#This Row],[GroupByKey]]),(ContinuousStatsTable[GroupByKey]=ContinuousStatsTable[[#This Row],[GroupByKey]])*ContinuousStatsTable[Average])),0)</f>
        <v>7.472159430415927E-2</v>
      </c>
      <c r="Q180" cm="1">
        <f t="array" ref="Q180">MAX(IF((ProjectInfoTable[ProjectName]=ContinuousStatsTable[[#This Row],[ProjectName]]),(ProjectInfoTable[ProjectName]=ContinuousStatsTable[[#This Row],[ProjectName]])*ProjectInfoTable[ConfidenceInterval]))</f>
        <v>0.95</v>
      </c>
      <c r="R1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5.3452608510618609E-2</v>
      </c>
      <c r="S180" cm="1">
        <f t="array" ref="S180">MIN(IF((ContinuousStatsTable[GroupByKey]=ContinuousStatsTable[[#This Row],[GroupByKey]]),(ContinuousStatsTable[GroupByKey]=ContinuousStatsTable[[#This Row],[GroupByKey]])*ContinuousStatsTable[Average]))</f>
        <v>2.4192292508998099</v>
      </c>
      <c r="T180" cm="1">
        <f t="array" ref="T180">MAX(IF((ContinuousStatsTable[GroupByKey]=ContinuousStatsTable[[#This Row],[GroupByKey]]),(ContinuousStatsTable[GroupByKey]=ContinuousStatsTable[[#This Row],[GroupByKey]])*ContinuousStatsTable[Average]))</f>
        <v>2.6620431560013098</v>
      </c>
      <c r="U180">
        <f>IF((ContinuousStatsTable[[#This Row],[RepsRequested]]&gt;1),ContinuousStatsTable[[#This Row],[HalfWidth]],ContinuousStatsTable[[#This Row],[BatchMeansHalfWidth]])</f>
        <v>5.3452608510618609E-2</v>
      </c>
    </row>
    <row r="181" spans="1:21" x14ac:dyDescent="0.25">
      <c r="A181" t="s">
        <v>67</v>
      </c>
      <c r="B181" t="s">
        <v>69</v>
      </c>
      <c r="C181">
        <v>7</v>
      </c>
      <c r="D181" t="s">
        <v>83</v>
      </c>
      <c r="E181" t="s">
        <v>103</v>
      </c>
      <c r="F181" t="s">
        <v>77</v>
      </c>
      <c r="G181">
        <v>4.8620272665245103</v>
      </c>
      <c r="H181">
        <v>0.20729057286574001</v>
      </c>
      <c r="I181">
        <v>0</v>
      </c>
      <c r="J181">
        <v>25</v>
      </c>
      <c r="K181">
        <v>6</v>
      </c>
      <c r="L181">
        <v>0</v>
      </c>
      <c r="M181" t="str">
        <f>ContinuousStatsTable[[#This Row],[ProjectName]]&amp;ContinuousStatsTable[[#This Row],[Name]]&amp;ContinuousStatsTable[[#This Row],[Type]]&amp;ContinuousStatsTable[[#This Row],[Source]]</f>
        <v>Unnamed ProjectOldPartWIPEntity</v>
      </c>
      <c r="N181" cm="1">
        <f t="array" ref="N181">MAX(IF((ProjectInfoTable[ProjectName]=ContinuousStatsTable[[#This Row],[ProjectName]]),(ProjectInfoTable[ProjectName]=ContinuousStatsTable[[#This Row],[ProjectName]])*ProjectInfoTable[NumberOfReplications]))</f>
        <v>10</v>
      </c>
      <c r="O181" cm="1">
        <f t="array" ref="O181">IFERROR(AVERAGE(IF((ContinuousStatsTable[GroupByKey]=ContinuousStatsTable[[#This Row],[GroupByKey]]),(ContinuousStatsTable[GroupByKey]=ContinuousStatsTable[[#This Row],[GroupByKey]])*ContinuousStatsTable[Average])),0)</f>
        <v>4.9513834264802963</v>
      </c>
      <c r="P181" cm="1">
        <f t="array" ref="P181">IFERROR(_xlfn.STDEV.S(IF((ContinuousStatsTable[GroupByKey]=ContinuousStatsTable[[#This Row],[GroupByKey]]),(ContinuousStatsTable[GroupByKey]=ContinuousStatsTable[[#This Row],[GroupByKey]])*ContinuousStatsTable[Average])),0)</f>
        <v>0.10244397191297382</v>
      </c>
      <c r="Q181" cm="1">
        <f t="array" ref="Q181">MAX(IF((ProjectInfoTable[ProjectName]=ContinuousStatsTable[[#This Row],[ProjectName]]),(ProjectInfoTable[ProjectName]=ContinuousStatsTable[[#This Row],[ProjectName]])*ProjectInfoTable[ConfidenceInterval]))</f>
        <v>0.95</v>
      </c>
      <c r="R1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7.3284002783010616E-2</v>
      </c>
      <c r="S181" cm="1">
        <f t="array" ref="S181">MIN(IF((ContinuousStatsTable[GroupByKey]=ContinuousStatsTable[[#This Row],[GroupByKey]]),(ContinuousStatsTable[GroupByKey]=ContinuousStatsTable[[#This Row],[GroupByKey]])*ContinuousStatsTable[Average]))</f>
        <v>4.82855853416822</v>
      </c>
      <c r="T181" cm="1">
        <f t="array" ref="T181">MAX(IF((ContinuousStatsTable[GroupByKey]=ContinuousStatsTable[[#This Row],[GroupByKey]]),(ContinuousStatsTable[GroupByKey]=ContinuousStatsTable[[#This Row],[GroupByKey]])*ContinuousStatsTable[Average]))</f>
        <v>5.1212851674768203</v>
      </c>
      <c r="U181">
        <f>IF((ContinuousStatsTable[[#This Row],[RepsRequested]]&gt;1),ContinuousStatsTable[[#This Row],[HalfWidth]],ContinuousStatsTable[[#This Row],[BatchMeansHalfWidth]])</f>
        <v>7.3284002783010616E-2</v>
      </c>
    </row>
    <row r="182" spans="1:21" x14ac:dyDescent="0.25">
      <c r="A182" t="s">
        <v>67</v>
      </c>
      <c r="B182" t="s">
        <v>69</v>
      </c>
      <c r="C182">
        <v>7</v>
      </c>
      <c r="D182" t="s">
        <v>107</v>
      </c>
      <c r="E182" t="s">
        <v>105</v>
      </c>
      <c r="F182" t="s">
        <v>106</v>
      </c>
      <c r="G182">
        <v>0.81393386067525597</v>
      </c>
      <c r="H182">
        <v>8.5444575100425205E-3</v>
      </c>
      <c r="I182">
        <v>0</v>
      </c>
      <c r="J182">
        <v>1</v>
      </c>
      <c r="K182">
        <v>1</v>
      </c>
      <c r="L182">
        <v>0</v>
      </c>
      <c r="M182" s="5" t="str">
        <f>ContinuousStatsTable[[#This Row],[ProjectName]]&amp;ContinuousStatsTable[[#This Row],[Name]]&amp;ContinuousStatsTable[[#This Row],[Type]]&amp;ContinuousStatsTable[[#This Row],[Source]]</f>
        <v>Unnamed ProjectPACKERInstantaneous UtilizationResource</v>
      </c>
      <c r="N182" s="5" cm="1">
        <f t="array" ref="N182">MAX(IF((ProjectInfoTable[ProjectName]=ContinuousStatsTable[[#This Row],[ProjectName]]),(ProjectInfoTable[ProjectName]=ContinuousStatsTable[[#This Row],[ProjectName]])*ProjectInfoTable[NumberOfReplications]))</f>
        <v>10</v>
      </c>
      <c r="O182" s="5" cm="1">
        <f t="array" ref="O182">IFERROR(AVERAGE(IF((ContinuousStatsTable[GroupByKey]=ContinuousStatsTable[[#This Row],[GroupByKey]]),(ContinuousStatsTable[GroupByKey]=ContinuousStatsTable[[#This Row],[GroupByKey]])*ContinuousStatsTable[Average])),0)</f>
        <v>0.81557194281027567</v>
      </c>
      <c r="P182" s="5" cm="1">
        <f t="array" ref="P182">IFERROR(_xlfn.STDEV.S(IF((ContinuousStatsTable[GroupByKey]=ContinuousStatsTable[[#This Row],[GroupByKey]]),(ContinuousStatsTable[GroupByKey]=ContinuousStatsTable[[#This Row],[GroupByKey]])*ContinuousStatsTable[Average])),0)</f>
        <v>6.9416851287817331E-3</v>
      </c>
      <c r="Q182" s="5" cm="1">
        <f t="array" ref="Q182">MAX(IF((ProjectInfoTable[ProjectName]=ContinuousStatsTable[[#This Row],[ProjectName]]),(ProjectInfoTable[ProjectName]=ContinuousStatsTable[[#This Row],[ProjectName]])*ProjectInfoTable[ConfidenceInterval]))</f>
        <v>0.95</v>
      </c>
      <c r="R1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4.9657823959478754E-3</v>
      </c>
      <c r="S182" s="5" cm="1">
        <f t="array" ref="S182">MIN(IF((ContinuousStatsTable[GroupByKey]=ContinuousStatsTable[[#This Row],[GroupByKey]]),(ContinuousStatsTable[GroupByKey]=ContinuousStatsTable[[#This Row],[GroupByKey]])*ContinuousStatsTable[Average]))</f>
        <v>0.80675605099888203</v>
      </c>
      <c r="T182" s="5" cm="1">
        <f t="array" ref="T182">MAX(IF((ContinuousStatsTable[GroupByKey]=ContinuousStatsTable[[#This Row],[GroupByKey]]),(ContinuousStatsTable[GroupByKey]=ContinuousStatsTable[[#This Row],[GroupByKey]])*ContinuousStatsTable[Average]))</f>
        <v>0.82818429749007605</v>
      </c>
      <c r="U182" s="5">
        <f>IF((ContinuousStatsTable[[#This Row],[RepsRequested]]&gt;1),ContinuousStatsTable[[#This Row],[HalfWidth]],ContinuousStatsTable[[#This Row],[BatchMeansHalfWidth]])</f>
        <v>4.9657823959478754E-3</v>
      </c>
    </row>
    <row r="183" spans="1:21" x14ac:dyDescent="0.25">
      <c r="A183" t="s">
        <v>67</v>
      </c>
      <c r="B183" t="s">
        <v>69</v>
      </c>
      <c r="C183">
        <v>7</v>
      </c>
      <c r="D183" t="s">
        <v>107</v>
      </c>
      <c r="E183" t="s">
        <v>97</v>
      </c>
      <c r="F183" t="s">
        <v>106</v>
      </c>
      <c r="G183">
        <v>0.81393386067525597</v>
      </c>
      <c r="H183">
        <v>8.5444575100425205E-3</v>
      </c>
      <c r="I183">
        <v>0</v>
      </c>
      <c r="J183">
        <v>1</v>
      </c>
      <c r="K183">
        <v>1</v>
      </c>
      <c r="L183">
        <v>0</v>
      </c>
      <c r="M183" s="5" t="str">
        <f>ContinuousStatsTable[[#This Row],[ProjectName]]&amp;ContinuousStatsTable[[#This Row],[Name]]&amp;ContinuousStatsTable[[#This Row],[Type]]&amp;ContinuousStatsTable[[#This Row],[Source]]</f>
        <v>Unnamed ProjectPACKERNumber BusyResource</v>
      </c>
      <c r="N183" s="5" cm="1">
        <f t="array" ref="N183">MAX(IF((ProjectInfoTable[ProjectName]=ContinuousStatsTable[[#This Row],[ProjectName]]),(ProjectInfoTable[ProjectName]=ContinuousStatsTable[[#This Row],[ProjectName]])*ProjectInfoTable[NumberOfReplications]))</f>
        <v>10</v>
      </c>
      <c r="O183" s="5" cm="1">
        <f t="array" ref="O183">IFERROR(AVERAGE(IF((ContinuousStatsTable[GroupByKey]=ContinuousStatsTable[[#This Row],[GroupByKey]]),(ContinuousStatsTable[GroupByKey]=ContinuousStatsTable[[#This Row],[GroupByKey]])*ContinuousStatsTable[Average])),0)</f>
        <v>0.81557194281027567</v>
      </c>
      <c r="P183" s="5" cm="1">
        <f t="array" ref="P183">IFERROR(_xlfn.STDEV.S(IF((ContinuousStatsTable[GroupByKey]=ContinuousStatsTable[[#This Row],[GroupByKey]]),(ContinuousStatsTable[GroupByKey]=ContinuousStatsTable[[#This Row],[GroupByKey]])*ContinuousStatsTable[Average])),0)</f>
        <v>6.9416851287817331E-3</v>
      </c>
      <c r="Q183" s="5" cm="1">
        <f t="array" ref="Q183">MAX(IF((ProjectInfoTable[ProjectName]=ContinuousStatsTable[[#This Row],[ProjectName]]),(ProjectInfoTable[ProjectName]=ContinuousStatsTable[[#This Row],[ProjectName]])*ProjectInfoTable[ConfidenceInterval]))</f>
        <v>0.95</v>
      </c>
      <c r="R1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4.9657823959478754E-3</v>
      </c>
      <c r="S183" s="5" cm="1">
        <f t="array" ref="S183">MIN(IF((ContinuousStatsTable[GroupByKey]=ContinuousStatsTable[[#This Row],[GroupByKey]]),(ContinuousStatsTable[GroupByKey]=ContinuousStatsTable[[#This Row],[GroupByKey]])*ContinuousStatsTable[Average]))</f>
        <v>0.80675605099888203</v>
      </c>
      <c r="T183" s="5" cm="1">
        <f t="array" ref="T183">MAX(IF((ContinuousStatsTable[GroupByKey]=ContinuousStatsTable[[#This Row],[GroupByKey]]),(ContinuousStatsTable[GroupByKey]=ContinuousStatsTable[[#This Row],[GroupByKey]])*ContinuousStatsTable[Average]))</f>
        <v>0.82818429749007605</v>
      </c>
      <c r="U183" s="5">
        <f>IF((ContinuousStatsTable[[#This Row],[RepsRequested]]&gt;1),ContinuousStatsTable[[#This Row],[HalfWidth]],ContinuousStatsTable[[#This Row],[BatchMeansHalfWidth]])</f>
        <v>4.9657823959478754E-3</v>
      </c>
    </row>
    <row r="184" spans="1:21" x14ac:dyDescent="0.25">
      <c r="A184" t="s">
        <v>67</v>
      </c>
      <c r="B184" t="s">
        <v>69</v>
      </c>
      <c r="C184">
        <v>7</v>
      </c>
      <c r="D184" t="s">
        <v>107</v>
      </c>
      <c r="E184" t="s">
        <v>99</v>
      </c>
      <c r="F184" t="s">
        <v>106</v>
      </c>
      <c r="G184">
        <v>1</v>
      </c>
      <c r="H184">
        <v>2E+20</v>
      </c>
      <c r="I184">
        <v>1</v>
      </c>
      <c r="J184">
        <v>1</v>
      </c>
      <c r="K184">
        <v>1</v>
      </c>
      <c r="L184">
        <v>0</v>
      </c>
      <c r="M184" s="5" t="str">
        <f>ContinuousStatsTable[[#This Row],[ProjectName]]&amp;ContinuousStatsTable[[#This Row],[Name]]&amp;ContinuousStatsTable[[#This Row],[Type]]&amp;ContinuousStatsTable[[#This Row],[Source]]</f>
        <v>Unnamed ProjectPACKERNumber ScheduledResource</v>
      </c>
      <c r="N184" s="5" cm="1">
        <f t="array" ref="N184">MAX(IF((ProjectInfoTable[ProjectName]=ContinuousStatsTable[[#This Row],[ProjectName]]),(ProjectInfoTable[ProjectName]=ContinuousStatsTable[[#This Row],[ProjectName]])*ProjectInfoTable[NumberOfReplications]))</f>
        <v>10</v>
      </c>
      <c r="O184" s="5" cm="1">
        <f t="array" ref="O184">IFERROR(AVERAGE(IF((ContinuousStatsTable[GroupByKey]=ContinuousStatsTable[[#This Row],[GroupByKey]]),(ContinuousStatsTable[GroupByKey]=ContinuousStatsTable[[#This Row],[GroupByKey]])*ContinuousStatsTable[Average])),0)</f>
        <v>1</v>
      </c>
      <c r="P184" s="5" cm="1">
        <f t="array" ref="P184">IFERROR(_xlfn.STDEV.S(IF((ContinuousStatsTable[GroupByKey]=ContinuousStatsTable[[#This Row],[GroupByKey]]),(ContinuousStatsTable[GroupByKey]=ContinuousStatsTable[[#This Row],[GroupByKey]])*ContinuousStatsTable[Average])),0)</f>
        <v>0</v>
      </c>
      <c r="Q184" s="5" cm="1">
        <f t="array" ref="Q184">MAX(IF((ProjectInfoTable[ProjectName]=ContinuousStatsTable[[#This Row],[ProjectName]]),(ProjectInfoTable[ProjectName]=ContinuousStatsTable[[#This Row],[ProjectName]])*ProjectInfoTable[ConfidenceInterval]))</f>
        <v>0.95</v>
      </c>
      <c r="R1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4" s="5" cm="1">
        <f t="array" ref="S184">MIN(IF((ContinuousStatsTable[GroupByKey]=ContinuousStatsTable[[#This Row],[GroupByKey]]),(ContinuousStatsTable[GroupByKey]=ContinuousStatsTable[[#This Row],[GroupByKey]])*ContinuousStatsTable[Average]))</f>
        <v>1</v>
      </c>
      <c r="T184" s="5" cm="1">
        <f t="array" ref="T184">MAX(IF((ContinuousStatsTable[GroupByKey]=ContinuousStatsTable[[#This Row],[GroupByKey]]),(ContinuousStatsTable[GroupByKey]=ContinuousStatsTable[[#This Row],[GroupByKey]])*ContinuousStatsTable[Average]))</f>
        <v>1</v>
      </c>
      <c r="U184" s="5">
        <f>IF((ContinuousStatsTable[[#This Row],[RepsRequested]]&gt;1),ContinuousStatsTable[[#This Row],[HalfWidth]],ContinuousStatsTable[[#This Row],[BatchMeansHalfWidth]])</f>
        <v>0</v>
      </c>
    </row>
    <row r="185" spans="1:21" x14ac:dyDescent="0.25">
      <c r="A185" t="s">
        <v>67</v>
      </c>
      <c r="B185" t="s">
        <v>69</v>
      </c>
      <c r="C185">
        <v>7</v>
      </c>
      <c r="D185" t="s">
        <v>108</v>
      </c>
      <c r="E185" t="s">
        <v>105</v>
      </c>
      <c r="F185" t="s">
        <v>106</v>
      </c>
      <c r="G185">
        <v>0.54549381403427999</v>
      </c>
      <c r="H185">
        <v>9.16559732611677E-3</v>
      </c>
      <c r="I185">
        <v>0</v>
      </c>
      <c r="J185">
        <v>1</v>
      </c>
      <c r="K185">
        <v>1</v>
      </c>
      <c r="L185">
        <v>0</v>
      </c>
      <c r="M185" s="5" t="str">
        <f>ContinuousStatsTable[[#This Row],[ProjectName]]&amp;ContinuousStatsTable[[#This Row],[Name]]&amp;ContinuousStatsTable[[#This Row],[Type]]&amp;ContinuousStatsTable[[#This Row],[Source]]</f>
        <v>Unnamed ProjectPAINTERInstantaneous UtilizationResource</v>
      </c>
      <c r="N185" s="5" cm="1">
        <f t="array" ref="N185">MAX(IF((ProjectInfoTable[ProjectName]=ContinuousStatsTable[[#This Row],[ProjectName]]),(ProjectInfoTable[ProjectName]=ContinuousStatsTable[[#This Row],[ProjectName]])*ProjectInfoTable[NumberOfReplications]))</f>
        <v>10</v>
      </c>
      <c r="O185" s="5" cm="1">
        <f t="array" ref="O185">IFERROR(AVERAGE(IF((ContinuousStatsTable[GroupByKey]=ContinuousStatsTable[[#This Row],[GroupByKey]]),(ContinuousStatsTable[GroupByKey]=ContinuousStatsTable[[#This Row],[GroupByKey]])*ContinuousStatsTable[Average])),0)</f>
        <v>0.54938142053560801</v>
      </c>
      <c r="P185" s="5" cm="1">
        <f t="array" ref="P185">IFERROR(_xlfn.STDEV.S(IF((ContinuousStatsTable[GroupByKey]=ContinuousStatsTable[[#This Row],[GroupByKey]]),(ContinuousStatsTable[GroupByKey]=ContinuousStatsTable[[#This Row],[GroupByKey]])*ContinuousStatsTable[Average])),0)</f>
        <v>4.5196387022068685E-3</v>
      </c>
      <c r="Q185" s="5" cm="1">
        <f t="array" ref="Q185">MAX(IF((ProjectInfoTable[ProjectName]=ContinuousStatsTable[[#This Row],[ProjectName]]),(ProjectInfoTable[ProjectName]=ContinuousStatsTable[[#This Row],[ProjectName]])*ProjectInfoTable[ConfidenceInterval]))</f>
        <v>0.95</v>
      </c>
      <c r="R1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3.2331547581159752E-3</v>
      </c>
      <c r="S185" s="5" cm="1">
        <f t="array" ref="S185">MIN(IF((ContinuousStatsTable[GroupByKey]=ContinuousStatsTable[[#This Row],[GroupByKey]]),(ContinuousStatsTable[GroupByKey]=ContinuousStatsTable[[#This Row],[GroupByKey]])*ContinuousStatsTable[Average]))</f>
        <v>0.54030874063430001</v>
      </c>
      <c r="T185" s="5" cm="1">
        <f t="array" ref="T185">MAX(IF((ContinuousStatsTable[GroupByKey]=ContinuousStatsTable[[#This Row],[GroupByKey]]),(ContinuousStatsTable[GroupByKey]=ContinuousStatsTable[[#This Row],[GroupByKey]])*ContinuousStatsTable[Average]))</f>
        <v>0.55566835138728998</v>
      </c>
      <c r="U185" s="5">
        <f>IF((ContinuousStatsTable[[#This Row],[RepsRequested]]&gt;1),ContinuousStatsTable[[#This Row],[HalfWidth]],ContinuousStatsTable[[#This Row],[BatchMeansHalfWidth]])</f>
        <v>3.2331547581159752E-3</v>
      </c>
    </row>
    <row r="186" spans="1:21" x14ac:dyDescent="0.25">
      <c r="A186" t="s">
        <v>67</v>
      </c>
      <c r="B186" t="s">
        <v>69</v>
      </c>
      <c r="C186">
        <v>7</v>
      </c>
      <c r="D186" t="s">
        <v>108</v>
      </c>
      <c r="E186" t="s">
        <v>97</v>
      </c>
      <c r="F186" t="s">
        <v>106</v>
      </c>
      <c r="G186">
        <v>0.54549381403427999</v>
      </c>
      <c r="H186">
        <v>9.16559732611677E-3</v>
      </c>
      <c r="I186">
        <v>0</v>
      </c>
      <c r="J186">
        <v>1</v>
      </c>
      <c r="K186">
        <v>1</v>
      </c>
      <c r="L186">
        <v>0</v>
      </c>
      <c r="M186" s="5" t="str">
        <f>ContinuousStatsTable[[#This Row],[ProjectName]]&amp;ContinuousStatsTable[[#This Row],[Name]]&amp;ContinuousStatsTable[[#This Row],[Type]]&amp;ContinuousStatsTable[[#This Row],[Source]]</f>
        <v>Unnamed ProjectPAINTERNumber BusyResource</v>
      </c>
      <c r="N186" s="5" cm="1">
        <f t="array" ref="N186">MAX(IF((ProjectInfoTable[ProjectName]=ContinuousStatsTable[[#This Row],[ProjectName]]),(ProjectInfoTable[ProjectName]=ContinuousStatsTable[[#This Row],[ProjectName]])*ProjectInfoTable[NumberOfReplications]))</f>
        <v>10</v>
      </c>
      <c r="O186" s="5" cm="1">
        <f t="array" ref="O186">IFERROR(AVERAGE(IF((ContinuousStatsTable[GroupByKey]=ContinuousStatsTable[[#This Row],[GroupByKey]]),(ContinuousStatsTable[GroupByKey]=ContinuousStatsTable[[#This Row],[GroupByKey]])*ContinuousStatsTable[Average])),0)</f>
        <v>0.54938142053560801</v>
      </c>
      <c r="P186" s="5" cm="1">
        <f t="array" ref="P186">IFERROR(_xlfn.STDEV.S(IF((ContinuousStatsTable[GroupByKey]=ContinuousStatsTable[[#This Row],[GroupByKey]]),(ContinuousStatsTable[GroupByKey]=ContinuousStatsTable[[#This Row],[GroupByKey]])*ContinuousStatsTable[Average])),0)</f>
        <v>4.5196387022068685E-3</v>
      </c>
      <c r="Q186" s="5" cm="1">
        <f t="array" ref="Q186">MAX(IF((ProjectInfoTable[ProjectName]=ContinuousStatsTable[[#This Row],[ProjectName]]),(ProjectInfoTable[ProjectName]=ContinuousStatsTable[[#This Row],[ProjectName]])*ProjectInfoTable[ConfidenceInterval]))</f>
        <v>0.95</v>
      </c>
      <c r="R1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3.2331547581159752E-3</v>
      </c>
      <c r="S186" s="5" cm="1">
        <f t="array" ref="S186">MIN(IF((ContinuousStatsTable[GroupByKey]=ContinuousStatsTable[[#This Row],[GroupByKey]]),(ContinuousStatsTable[GroupByKey]=ContinuousStatsTable[[#This Row],[GroupByKey]])*ContinuousStatsTable[Average]))</f>
        <v>0.54030874063430001</v>
      </c>
      <c r="T186" s="5" cm="1">
        <f t="array" ref="T186">MAX(IF((ContinuousStatsTable[GroupByKey]=ContinuousStatsTable[[#This Row],[GroupByKey]]),(ContinuousStatsTable[GroupByKey]=ContinuousStatsTable[[#This Row],[GroupByKey]])*ContinuousStatsTable[Average]))</f>
        <v>0.55566835138728998</v>
      </c>
      <c r="U186" s="5">
        <f>IF((ContinuousStatsTable[[#This Row],[RepsRequested]]&gt;1),ContinuousStatsTable[[#This Row],[HalfWidth]],ContinuousStatsTable[[#This Row],[BatchMeansHalfWidth]])</f>
        <v>3.2331547581159752E-3</v>
      </c>
    </row>
    <row r="187" spans="1:21" x14ac:dyDescent="0.25">
      <c r="A187" t="s">
        <v>67</v>
      </c>
      <c r="B187" t="s">
        <v>69</v>
      </c>
      <c r="C187">
        <v>7</v>
      </c>
      <c r="D187" t="s">
        <v>108</v>
      </c>
      <c r="E187" t="s">
        <v>99</v>
      </c>
      <c r="F187" t="s">
        <v>106</v>
      </c>
      <c r="G187">
        <v>1</v>
      </c>
      <c r="H187">
        <v>2E+20</v>
      </c>
      <c r="I187">
        <v>1</v>
      </c>
      <c r="J187">
        <v>1</v>
      </c>
      <c r="K187">
        <v>1</v>
      </c>
      <c r="L187">
        <v>0</v>
      </c>
      <c r="M187" s="5" t="str">
        <f>ContinuousStatsTable[[#This Row],[ProjectName]]&amp;ContinuousStatsTable[[#This Row],[Name]]&amp;ContinuousStatsTable[[#This Row],[Type]]&amp;ContinuousStatsTable[[#This Row],[Source]]</f>
        <v>Unnamed ProjectPAINTERNumber ScheduledResource</v>
      </c>
      <c r="N187" s="5" cm="1">
        <f t="array" ref="N187">MAX(IF((ProjectInfoTable[ProjectName]=ContinuousStatsTable[[#This Row],[ProjectName]]),(ProjectInfoTable[ProjectName]=ContinuousStatsTable[[#This Row],[ProjectName]])*ProjectInfoTable[NumberOfReplications]))</f>
        <v>10</v>
      </c>
      <c r="O187" s="5" cm="1">
        <f t="array" ref="O187">IFERROR(AVERAGE(IF((ContinuousStatsTable[GroupByKey]=ContinuousStatsTable[[#This Row],[GroupByKey]]),(ContinuousStatsTable[GroupByKey]=ContinuousStatsTable[[#This Row],[GroupByKey]])*ContinuousStatsTable[Average])),0)</f>
        <v>1</v>
      </c>
      <c r="P187" s="5" cm="1">
        <f t="array" ref="P187">IFERROR(_xlfn.STDEV.S(IF((ContinuousStatsTable[GroupByKey]=ContinuousStatsTable[[#This Row],[GroupByKey]]),(ContinuousStatsTable[GroupByKey]=ContinuousStatsTable[[#This Row],[GroupByKey]])*ContinuousStatsTable[Average])),0)</f>
        <v>0</v>
      </c>
      <c r="Q187" s="5" cm="1">
        <f t="array" ref="Q187">MAX(IF((ProjectInfoTable[ProjectName]=ContinuousStatsTable[[#This Row],[ProjectName]]),(ProjectInfoTable[ProjectName]=ContinuousStatsTable[[#This Row],[ProjectName]])*ProjectInfoTable[ConfidenceInterval]))</f>
        <v>0.95</v>
      </c>
      <c r="R1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7" s="5" cm="1">
        <f t="array" ref="S187">MIN(IF((ContinuousStatsTable[GroupByKey]=ContinuousStatsTable[[#This Row],[GroupByKey]]),(ContinuousStatsTable[GroupByKey]=ContinuousStatsTable[[#This Row],[GroupByKey]])*ContinuousStatsTable[Average]))</f>
        <v>1</v>
      </c>
      <c r="T187" s="5" cm="1">
        <f t="array" ref="T187">MAX(IF((ContinuousStatsTable[GroupByKey]=ContinuousStatsTable[[#This Row],[GroupByKey]]),(ContinuousStatsTable[GroupByKey]=ContinuousStatsTable[[#This Row],[GroupByKey]])*ContinuousStatsTable[Average]))</f>
        <v>1</v>
      </c>
      <c r="U187" s="5">
        <f>IF((ContinuousStatsTable[[#This Row],[RepsRequested]]&gt;1),ContinuousStatsTable[[#This Row],[HalfWidth]],ContinuousStatsTable[[#This Row],[BatchMeansHalfWidth]])</f>
        <v>0</v>
      </c>
    </row>
    <row r="188" spans="1:21" x14ac:dyDescent="0.25">
      <c r="A188" t="s">
        <v>67</v>
      </c>
      <c r="B188" t="s">
        <v>69</v>
      </c>
      <c r="C188">
        <v>7</v>
      </c>
      <c r="D188" t="s">
        <v>84</v>
      </c>
      <c r="E188" t="s">
        <v>101</v>
      </c>
      <c r="F188" t="s">
        <v>72</v>
      </c>
      <c r="G188">
        <v>0.56887017224764702</v>
      </c>
      <c r="H188">
        <v>4.41156238148298E-2</v>
      </c>
      <c r="I188">
        <v>0</v>
      </c>
      <c r="J188">
        <v>5</v>
      </c>
      <c r="K188">
        <v>1</v>
      </c>
      <c r="L188">
        <v>0</v>
      </c>
      <c r="M188" s="5" t="str">
        <f>ContinuousStatsTable[[#This Row],[ProjectName]]&amp;ContinuousStatsTable[[#This Row],[Name]]&amp;ContinuousStatsTable[[#This Row],[Type]]&amp;ContinuousStatsTable[[#This Row],[Source]]</f>
        <v>Unnamed ProjectPackQNumber WaitingQueue</v>
      </c>
      <c r="N188" s="5" cm="1">
        <f t="array" ref="N188">MAX(IF((ProjectInfoTable[ProjectName]=ContinuousStatsTable[[#This Row],[ProjectName]]),(ProjectInfoTable[ProjectName]=ContinuousStatsTable[[#This Row],[ProjectName]])*ProjectInfoTable[NumberOfReplications]))</f>
        <v>10</v>
      </c>
      <c r="O188" s="5" cm="1">
        <f t="array" ref="O188">IFERROR(AVERAGE(IF((ContinuousStatsTable[GroupByKey]=ContinuousStatsTable[[#This Row],[GroupByKey]]),(ContinuousStatsTable[GroupByKey]=ContinuousStatsTable[[#This Row],[GroupByKey]])*ContinuousStatsTable[Average])),0)</f>
        <v>0.5830563488318371</v>
      </c>
      <c r="P188" s="5" cm="1">
        <f t="array" ref="P188">IFERROR(_xlfn.STDEV.S(IF((ContinuousStatsTable[GroupByKey]=ContinuousStatsTable[[#This Row],[GroupByKey]]),(ContinuousStatsTable[GroupByKey]=ContinuousStatsTable[[#This Row],[GroupByKey]])*ContinuousStatsTable[Average])),0)</f>
        <v>3.7349781067397253E-2</v>
      </c>
      <c r="Q188" s="5" cm="1">
        <f t="array" ref="Q188">MAX(IF((ProjectInfoTable[ProjectName]=ContinuousStatsTable[[#This Row],[ProjectName]]),(ProjectInfoTable[ProjectName]=ContinuousStatsTable[[#This Row],[ProjectName]])*ProjectInfoTable[ConfidenceInterval]))</f>
        <v>0.95</v>
      </c>
      <c r="R1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2.6718423823055008E-2</v>
      </c>
      <c r="S188" s="5" cm="1">
        <f t="array" ref="S188">MIN(IF((ContinuousStatsTable[GroupByKey]=ContinuousStatsTable[[#This Row],[GroupByKey]]),(ContinuousStatsTable[GroupByKey]=ContinuousStatsTable[[#This Row],[GroupByKey]])*ContinuousStatsTable[Average]))</f>
        <v>0.51031500523829298</v>
      </c>
      <c r="T188" s="5" cm="1">
        <f t="array" ref="T188">MAX(IF((ContinuousStatsTable[GroupByKey]=ContinuousStatsTable[[#This Row],[GroupByKey]]),(ContinuousStatsTable[GroupByKey]=ContinuousStatsTable[[#This Row],[GroupByKey]])*ContinuousStatsTable[Average]))</f>
        <v>0.63800950130876</v>
      </c>
      <c r="U188" s="5">
        <f>IF((ContinuousStatsTable[[#This Row],[RepsRequested]]&gt;1),ContinuousStatsTable[[#This Row],[HalfWidth]],ContinuousStatsTable[[#This Row],[BatchMeansHalfWidth]])</f>
        <v>2.6718423823055008E-2</v>
      </c>
    </row>
    <row r="189" spans="1:21" x14ac:dyDescent="0.25">
      <c r="A189" t="s">
        <v>67</v>
      </c>
      <c r="B189" t="s">
        <v>69</v>
      </c>
      <c r="C189">
        <v>7</v>
      </c>
      <c r="D189" t="s">
        <v>85</v>
      </c>
      <c r="E189" t="s">
        <v>101</v>
      </c>
      <c r="F189" t="s">
        <v>72</v>
      </c>
      <c r="G189">
        <v>1.49055484366607E-2</v>
      </c>
      <c r="H189">
        <v>9.6782737987291404E-4</v>
      </c>
      <c r="I189">
        <v>0</v>
      </c>
      <c r="J189">
        <v>1</v>
      </c>
      <c r="K189">
        <v>0</v>
      </c>
      <c r="L189">
        <v>0</v>
      </c>
      <c r="M189" s="5" t="str">
        <f>ContinuousStatsTable[[#This Row],[ProjectName]]&amp;ContinuousStatsTable[[#This Row],[Name]]&amp;ContinuousStatsTable[[#This Row],[Type]]&amp;ContinuousStatsTable[[#This Row],[Source]]</f>
        <v>Unnamed ProjectPackReqQNumber WaitingQueue</v>
      </c>
      <c r="N189" s="5" cm="1">
        <f t="array" ref="N189">MAX(IF((ProjectInfoTable[ProjectName]=ContinuousStatsTable[[#This Row],[ProjectName]]),(ProjectInfoTable[ProjectName]=ContinuousStatsTable[[#This Row],[ProjectName]])*ProjectInfoTable[NumberOfReplications]))</f>
        <v>10</v>
      </c>
      <c r="O189" s="5" cm="1">
        <f t="array" ref="O189">IFERROR(AVERAGE(IF((ContinuousStatsTable[GroupByKey]=ContinuousStatsTable[[#This Row],[GroupByKey]]),(ContinuousStatsTable[GroupByKey]=ContinuousStatsTable[[#This Row],[GroupByKey]])*ContinuousStatsTable[Average])),0)</f>
        <v>1.5083245089254998E-2</v>
      </c>
      <c r="P189" s="5" cm="1">
        <f t="array" ref="P189">IFERROR(_xlfn.STDEV.S(IF((ContinuousStatsTable[GroupByKey]=ContinuousStatsTable[[#This Row],[GroupByKey]]),(ContinuousStatsTable[GroupByKey]=ContinuousStatsTable[[#This Row],[GroupByKey]])*ContinuousStatsTable[Average])),0)</f>
        <v>5.836712228493759E-4</v>
      </c>
      <c r="Q189" s="5" cm="1">
        <f t="array" ref="Q189">MAX(IF((ProjectInfoTable[ProjectName]=ContinuousStatsTable[[#This Row],[ProjectName]]),(ProjectInfoTable[ProjectName]=ContinuousStatsTable[[#This Row],[ProjectName]])*ProjectInfoTable[ConfidenceInterval]))</f>
        <v>0.95</v>
      </c>
      <c r="R1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4.1753324008164384E-4</v>
      </c>
      <c r="S189" s="5" cm="1">
        <f t="array" ref="S189">MIN(IF((ContinuousStatsTable[GroupByKey]=ContinuousStatsTable[[#This Row],[GroupByKey]]),(ContinuousStatsTable[GroupByKey]=ContinuousStatsTable[[#This Row],[GroupByKey]])*ContinuousStatsTable[Average]))</f>
        <v>1.41054163109371E-2</v>
      </c>
      <c r="T189" s="5" cm="1">
        <f t="array" ref="T189">MAX(IF((ContinuousStatsTable[GroupByKey]=ContinuousStatsTable[[#This Row],[GroupByKey]]),(ContinuousStatsTable[GroupByKey]=ContinuousStatsTable[[#This Row],[GroupByKey]])*ContinuousStatsTable[Average]))</f>
        <v>1.6052913612351699E-2</v>
      </c>
      <c r="U189" s="5">
        <f>IF((ContinuousStatsTable[[#This Row],[RepsRequested]]&gt;1),ContinuousStatsTable[[#This Row],[HalfWidth]],ContinuousStatsTable[[#This Row],[BatchMeansHalfWidth]])</f>
        <v>4.1753324008164384E-4</v>
      </c>
    </row>
    <row r="190" spans="1:21" x14ac:dyDescent="0.25">
      <c r="A190" t="s">
        <v>67</v>
      </c>
      <c r="B190" t="s">
        <v>69</v>
      </c>
      <c r="C190">
        <v>7</v>
      </c>
      <c r="D190" t="s">
        <v>86</v>
      </c>
      <c r="E190" t="s">
        <v>101</v>
      </c>
      <c r="F190" t="s">
        <v>72</v>
      </c>
      <c r="G190">
        <v>6.4245360251208694E-2</v>
      </c>
      <c r="H190">
        <v>6.0296658508374699E-3</v>
      </c>
      <c r="I190">
        <v>0</v>
      </c>
      <c r="J190">
        <v>2</v>
      </c>
      <c r="K190">
        <v>0</v>
      </c>
      <c r="L190">
        <v>0</v>
      </c>
      <c r="M190" s="5" t="str">
        <f>ContinuousStatsTable[[#This Row],[ProjectName]]&amp;ContinuousStatsTable[[#This Row],[Name]]&amp;ContinuousStatsTable[[#This Row],[Type]]&amp;ContinuousStatsTable[[#This Row],[Source]]</f>
        <v>Unnamed ProjectPaintQNumber WaitingQueue</v>
      </c>
      <c r="N190" s="5" cm="1">
        <f t="array" ref="N190">MAX(IF((ProjectInfoTable[ProjectName]=ContinuousStatsTable[[#This Row],[ProjectName]]),(ProjectInfoTable[ProjectName]=ContinuousStatsTable[[#This Row],[ProjectName]])*ProjectInfoTable[NumberOfReplications]))</f>
        <v>10</v>
      </c>
      <c r="O190" s="5" cm="1">
        <f t="array" ref="O190">IFERROR(AVERAGE(IF((ContinuousStatsTable[GroupByKey]=ContinuousStatsTable[[#This Row],[GroupByKey]]),(ContinuousStatsTable[GroupByKey]=ContinuousStatsTable[[#This Row],[GroupByKey]])*ContinuousStatsTable[Average])),0)</f>
        <v>6.2655374167183184E-2</v>
      </c>
      <c r="P190" s="5" cm="1">
        <f t="array" ref="P190">IFERROR(_xlfn.STDEV.S(IF((ContinuousStatsTable[GroupByKey]=ContinuousStatsTable[[#This Row],[GroupByKey]]),(ContinuousStatsTable[GroupByKey]=ContinuousStatsTable[[#This Row],[GroupByKey]])*ContinuousStatsTable[Average])),0)</f>
        <v>1.297076259729802E-3</v>
      </c>
      <c r="Q190" s="5" cm="1">
        <f t="array" ref="Q190">MAX(IF((ProjectInfoTable[ProjectName]=ContinuousStatsTable[[#This Row],[ProjectName]]),(ProjectInfoTable[ProjectName]=ContinuousStatsTable[[#This Row],[ProjectName]])*ProjectInfoTable[ConfidenceInterval]))</f>
        <v>0.95</v>
      </c>
      <c r="R1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9.2787245996831338E-4</v>
      </c>
      <c r="S190" s="5" cm="1">
        <f t="array" ref="S190">MIN(IF((ContinuousStatsTable[GroupByKey]=ContinuousStatsTable[[#This Row],[GroupByKey]]),(ContinuousStatsTable[GroupByKey]=ContinuousStatsTable[[#This Row],[GroupByKey]])*ContinuousStatsTable[Average]))</f>
        <v>6.05919548276165E-2</v>
      </c>
      <c r="T190" s="5" cm="1">
        <f t="array" ref="T190">MAX(IF((ContinuousStatsTable[GroupByKey]=ContinuousStatsTable[[#This Row],[GroupByKey]]),(ContinuousStatsTable[GroupByKey]=ContinuousStatsTable[[#This Row],[GroupByKey]])*ContinuousStatsTable[Average]))</f>
        <v>6.4938397569822504E-2</v>
      </c>
      <c r="U190" s="5">
        <f>IF((ContinuousStatsTable[[#This Row],[RepsRequested]]&gt;1),ContinuousStatsTable[[#This Row],[HalfWidth]],ContinuousStatsTable[[#This Row],[BatchMeansHalfWidth]])</f>
        <v>9.2787245996831338E-4</v>
      </c>
    </row>
    <row r="191" spans="1:21" x14ac:dyDescent="0.25">
      <c r="A191" t="s">
        <v>67</v>
      </c>
      <c r="B191" t="s">
        <v>69</v>
      </c>
      <c r="C191">
        <v>7</v>
      </c>
      <c r="D191" t="s">
        <v>87</v>
      </c>
      <c r="E191" t="s">
        <v>101</v>
      </c>
      <c r="F191" t="s">
        <v>72</v>
      </c>
      <c r="G191">
        <v>1.1842209288638999E-2</v>
      </c>
      <c r="H191">
        <v>7.6659448910728798E-4</v>
      </c>
      <c r="I191">
        <v>0</v>
      </c>
      <c r="J191">
        <v>1</v>
      </c>
      <c r="K191">
        <v>0</v>
      </c>
      <c r="L191">
        <v>0</v>
      </c>
      <c r="M191" s="5" t="str">
        <f>ContinuousStatsTable[[#This Row],[ProjectName]]&amp;ContinuousStatsTable[[#This Row],[Name]]&amp;ContinuousStatsTable[[#This Row],[Type]]&amp;ContinuousStatsTable[[#This Row],[Source]]</f>
        <v>Unnamed ProjectPaintReqQNumber WaitingQueue</v>
      </c>
      <c r="N191" s="5" cm="1">
        <f t="array" ref="N191">MAX(IF((ProjectInfoTable[ProjectName]=ContinuousStatsTable[[#This Row],[ProjectName]]),(ProjectInfoTable[ProjectName]=ContinuousStatsTable[[#This Row],[ProjectName]])*ProjectInfoTable[NumberOfReplications]))</f>
        <v>10</v>
      </c>
      <c r="O191" s="5" cm="1">
        <f t="array" ref="O191">IFERROR(AVERAGE(IF((ContinuousStatsTable[GroupByKey]=ContinuousStatsTable[[#This Row],[GroupByKey]]),(ContinuousStatsTable[GroupByKey]=ContinuousStatsTable[[#This Row],[GroupByKey]])*ContinuousStatsTable[Average])),0)</f>
        <v>1.232491804183645E-2</v>
      </c>
      <c r="P191" s="5" cm="1">
        <f t="array" ref="P191">IFERROR(_xlfn.STDEV.S(IF((ContinuousStatsTable[GroupByKey]=ContinuousStatsTable[[#This Row],[GroupByKey]]),(ContinuousStatsTable[GroupByKey]=ContinuousStatsTable[[#This Row],[GroupByKey]])*ContinuousStatsTable[Average])),0)</f>
        <v>4.2846031814523761E-4</v>
      </c>
      <c r="Q191" s="5" cm="1">
        <f t="array" ref="Q191">MAX(IF((ProjectInfoTable[ProjectName]=ContinuousStatsTable[[#This Row],[ProjectName]]),(ProjectInfoTable[ProjectName]=ContinuousStatsTable[[#This Row],[ProjectName]])*ProjectInfoTable[ConfidenceInterval]))</f>
        <v>0.95</v>
      </c>
      <c r="R1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3.0650204751958381E-4</v>
      </c>
      <c r="S191" s="5" cm="1">
        <f t="array" ref="S191">MIN(IF((ContinuousStatsTable[GroupByKey]=ContinuousStatsTable[[#This Row],[GroupByKey]]),(ContinuousStatsTable[GroupByKey]=ContinuousStatsTable[[#This Row],[GroupByKey]])*ContinuousStatsTable[Average]))</f>
        <v>1.1842209288638999E-2</v>
      </c>
      <c r="T191" s="5" cm="1">
        <f t="array" ref="T191">MAX(IF((ContinuousStatsTable[GroupByKey]=ContinuousStatsTable[[#This Row],[GroupByKey]]),(ContinuousStatsTable[GroupByKey]=ContinuousStatsTable[[#This Row],[GroupByKey]])*ContinuousStatsTable[Average]))</f>
        <v>1.30420022653657E-2</v>
      </c>
      <c r="U191" s="5">
        <f>IF((ContinuousStatsTable[[#This Row],[RepsRequested]]&gt;1),ContinuousStatsTable[[#This Row],[HalfWidth]],ContinuousStatsTable[[#This Row],[BatchMeansHalfWidth]])</f>
        <v>3.0650204751958381E-4</v>
      </c>
    </row>
    <row r="192" spans="1:21" x14ac:dyDescent="0.25">
      <c r="A192" t="s">
        <v>67</v>
      </c>
      <c r="B192" t="s">
        <v>69</v>
      </c>
      <c r="C192">
        <v>7</v>
      </c>
      <c r="D192" t="s">
        <v>109</v>
      </c>
      <c r="E192" t="s">
        <v>105</v>
      </c>
      <c r="F192" t="s">
        <v>106</v>
      </c>
      <c r="G192">
        <v>0.81843938720675102</v>
      </c>
      <c r="H192">
        <v>8.9595626229451095E-3</v>
      </c>
      <c r="I192">
        <v>0</v>
      </c>
      <c r="J192">
        <v>1</v>
      </c>
      <c r="K192">
        <v>1</v>
      </c>
      <c r="L192">
        <v>0</v>
      </c>
      <c r="M192" s="5" t="str">
        <f>ContinuousStatsTable[[#This Row],[ProjectName]]&amp;ContinuousStatsTable[[#This Row],[Name]]&amp;ContinuousStatsTable[[#This Row],[Type]]&amp;ContinuousStatsTable[[#This Row],[Source]]</f>
        <v>Unnamed ProjectWORKERInstantaneous UtilizationResource</v>
      </c>
      <c r="N192" s="5" cm="1">
        <f t="array" ref="N192">MAX(IF((ProjectInfoTable[ProjectName]=ContinuousStatsTable[[#This Row],[ProjectName]]),(ProjectInfoTable[ProjectName]=ContinuousStatsTable[[#This Row],[ProjectName]])*ProjectInfoTable[NumberOfReplications]))</f>
        <v>10</v>
      </c>
      <c r="O192" s="5" cm="1">
        <f t="array" ref="O192">IFERROR(AVERAGE(IF((ContinuousStatsTable[GroupByKey]=ContinuousStatsTable[[#This Row],[GroupByKey]]),(ContinuousStatsTable[GroupByKey]=ContinuousStatsTable[[#This Row],[GroupByKey]])*ContinuousStatsTable[Average])),0)</f>
        <v>0.82030090075893936</v>
      </c>
      <c r="P192" s="5" cm="1">
        <f t="array" ref="P192">IFERROR(_xlfn.STDEV.S(IF((ContinuousStatsTable[GroupByKey]=ContinuousStatsTable[[#This Row],[GroupByKey]]),(ContinuousStatsTable[GroupByKey]=ContinuousStatsTable[[#This Row],[GroupByKey]])*ContinuousStatsTable[Average])),0)</f>
        <v>6.9684713894533476E-3</v>
      </c>
      <c r="Q192" s="5" cm="1">
        <f t="array" ref="Q192">MAX(IF((ProjectInfoTable[ProjectName]=ContinuousStatsTable[[#This Row],[ProjectName]]),(ProjectInfoTable[ProjectName]=ContinuousStatsTable[[#This Row],[ProjectName]])*ProjectInfoTable[ConfidenceInterval]))</f>
        <v>0.95</v>
      </c>
      <c r="R1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4.9849441325044447E-3</v>
      </c>
      <c r="S192" s="5" cm="1">
        <f t="array" ref="S192">MIN(IF((ContinuousStatsTable[GroupByKey]=ContinuousStatsTable[[#This Row],[GroupByKey]]),(ContinuousStatsTable[GroupByKey]=ContinuousStatsTable[[#This Row],[GroupByKey]])*ContinuousStatsTable[Average]))</f>
        <v>0.81151215762737705</v>
      </c>
      <c r="T192" s="5" cm="1">
        <f t="array" ref="T192">MAX(IF((ContinuousStatsTable[GroupByKey]=ContinuousStatsTable[[#This Row],[GroupByKey]]),(ContinuousStatsTable[GroupByKey]=ContinuousStatsTable[[#This Row],[GroupByKey]])*ContinuousStatsTable[Average]))</f>
        <v>0.832837691284112</v>
      </c>
      <c r="U192" s="5">
        <f>IF((ContinuousStatsTable[[#This Row],[RepsRequested]]&gt;1),ContinuousStatsTable[[#This Row],[HalfWidth]],ContinuousStatsTable[[#This Row],[BatchMeansHalfWidth]])</f>
        <v>4.9849441325044447E-3</v>
      </c>
    </row>
    <row r="193" spans="1:21" x14ac:dyDescent="0.25">
      <c r="A193" t="s">
        <v>67</v>
      </c>
      <c r="B193" t="s">
        <v>69</v>
      </c>
      <c r="C193">
        <v>7</v>
      </c>
      <c r="D193" t="s">
        <v>109</v>
      </c>
      <c r="E193" t="s">
        <v>97</v>
      </c>
      <c r="F193" t="s">
        <v>106</v>
      </c>
      <c r="G193">
        <v>0.81843938720675102</v>
      </c>
      <c r="H193">
        <v>8.9595626229451095E-3</v>
      </c>
      <c r="I193">
        <v>0</v>
      </c>
      <c r="J193">
        <v>1</v>
      </c>
      <c r="K193">
        <v>1</v>
      </c>
      <c r="L193">
        <v>0</v>
      </c>
      <c r="M193" s="5" t="str">
        <f>ContinuousStatsTable[[#This Row],[ProjectName]]&amp;ContinuousStatsTable[[#This Row],[Name]]&amp;ContinuousStatsTable[[#This Row],[Type]]&amp;ContinuousStatsTable[[#This Row],[Source]]</f>
        <v>Unnamed ProjectWORKERNumber BusyResource</v>
      </c>
      <c r="N193" s="5" cm="1">
        <f t="array" ref="N193">MAX(IF((ProjectInfoTable[ProjectName]=ContinuousStatsTable[[#This Row],[ProjectName]]),(ProjectInfoTable[ProjectName]=ContinuousStatsTable[[#This Row],[ProjectName]])*ProjectInfoTable[NumberOfReplications]))</f>
        <v>10</v>
      </c>
      <c r="O193" s="5" cm="1">
        <f t="array" ref="O193">IFERROR(AVERAGE(IF((ContinuousStatsTable[GroupByKey]=ContinuousStatsTable[[#This Row],[GroupByKey]]),(ContinuousStatsTable[GroupByKey]=ContinuousStatsTable[[#This Row],[GroupByKey]])*ContinuousStatsTable[Average])),0)</f>
        <v>0.82030090075893936</v>
      </c>
      <c r="P193" s="5" cm="1">
        <f t="array" ref="P193">IFERROR(_xlfn.STDEV.S(IF((ContinuousStatsTable[GroupByKey]=ContinuousStatsTable[[#This Row],[GroupByKey]]),(ContinuousStatsTable[GroupByKey]=ContinuousStatsTable[[#This Row],[GroupByKey]])*ContinuousStatsTable[Average])),0)</f>
        <v>6.9684713894533476E-3</v>
      </c>
      <c r="Q193" s="5" cm="1">
        <f t="array" ref="Q193">MAX(IF((ProjectInfoTable[ProjectName]=ContinuousStatsTable[[#This Row],[ProjectName]]),(ProjectInfoTable[ProjectName]=ContinuousStatsTable[[#This Row],[ProjectName]])*ProjectInfoTable[ConfidenceInterval]))</f>
        <v>0.95</v>
      </c>
      <c r="R1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4.9849441325044447E-3</v>
      </c>
      <c r="S193" s="5" cm="1">
        <f t="array" ref="S193">MIN(IF((ContinuousStatsTable[GroupByKey]=ContinuousStatsTable[[#This Row],[GroupByKey]]),(ContinuousStatsTable[GroupByKey]=ContinuousStatsTable[[#This Row],[GroupByKey]])*ContinuousStatsTable[Average]))</f>
        <v>0.81151215762737705</v>
      </c>
      <c r="T193" s="5" cm="1">
        <f t="array" ref="T193">MAX(IF((ContinuousStatsTable[GroupByKey]=ContinuousStatsTable[[#This Row],[GroupByKey]]),(ContinuousStatsTable[GroupByKey]=ContinuousStatsTable[[#This Row],[GroupByKey]])*ContinuousStatsTable[Average]))</f>
        <v>0.832837691284112</v>
      </c>
      <c r="U193" s="5">
        <f>IF((ContinuousStatsTable[[#This Row],[RepsRequested]]&gt;1),ContinuousStatsTable[[#This Row],[HalfWidth]],ContinuousStatsTable[[#This Row],[BatchMeansHalfWidth]])</f>
        <v>4.9849441325044447E-3</v>
      </c>
    </row>
    <row r="194" spans="1:21" x14ac:dyDescent="0.25">
      <c r="A194" t="s">
        <v>67</v>
      </c>
      <c r="B194" t="s">
        <v>69</v>
      </c>
      <c r="C194">
        <v>7</v>
      </c>
      <c r="D194" t="s">
        <v>109</v>
      </c>
      <c r="E194" t="s">
        <v>99</v>
      </c>
      <c r="F194" t="s">
        <v>106</v>
      </c>
      <c r="G194">
        <v>1</v>
      </c>
      <c r="H194">
        <v>2E+20</v>
      </c>
      <c r="I194">
        <v>1</v>
      </c>
      <c r="J194">
        <v>1</v>
      </c>
      <c r="K194">
        <v>1</v>
      </c>
      <c r="L194">
        <v>0</v>
      </c>
      <c r="M194" s="5" t="str">
        <f>ContinuousStatsTable[[#This Row],[ProjectName]]&amp;ContinuousStatsTable[[#This Row],[Name]]&amp;ContinuousStatsTable[[#This Row],[Type]]&amp;ContinuousStatsTable[[#This Row],[Source]]</f>
        <v>Unnamed ProjectWORKERNumber ScheduledResource</v>
      </c>
      <c r="N194" s="5" cm="1">
        <f t="array" ref="N194">MAX(IF((ProjectInfoTable[ProjectName]=ContinuousStatsTable[[#This Row],[ProjectName]]),(ProjectInfoTable[ProjectName]=ContinuousStatsTable[[#This Row],[ProjectName]])*ProjectInfoTable[NumberOfReplications]))</f>
        <v>10</v>
      </c>
      <c r="O194" s="5" cm="1">
        <f t="array" ref="O194">IFERROR(AVERAGE(IF((ContinuousStatsTable[GroupByKey]=ContinuousStatsTable[[#This Row],[GroupByKey]]),(ContinuousStatsTable[GroupByKey]=ContinuousStatsTable[[#This Row],[GroupByKey]])*ContinuousStatsTable[Average])),0)</f>
        <v>1</v>
      </c>
      <c r="P194" s="5" cm="1">
        <f t="array" ref="P194">IFERROR(_xlfn.STDEV.S(IF((ContinuousStatsTable[GroupByKey]=ContinuousStatsTable[[#This Row],[GroupByKey]]),(ContinuousStatsTable[GroupByKey]=ContinuousStatsTable[[#This Row],[GroupByKey]])*ContinuousStatsTable[Average])),0)</f>
        <v>0</v>
      </c>
      <c r="Q194" s="5" cm="1">
        <f t="array" ref="Q194">MAX(IF((ProjectInfoTable[ProjectName]=ContinuousStatsTable[[#This Row],[ProjectName]]),(ProjectInfoTable[ProjectName]=ContinuousStatsTable[[#This Row],[ProjectName]])*ProjectInfoTable[ConfidenceInterval]))</f>
        <v>0.95</v>
      </c>
      <c r="R1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4" s="5" cm="1">
        <f t="array" ref="S194">MIN(IF((ContinuousStatsTable[GroupByKey]=ContinuousStatsTable[[#This Row],[GroupByKey]]),(ContinuousStatsTable[GroupByKey]=ContinuousStatsTable[[#This Row],[GroupByKey]])*ContinuousStatsTable[Average]))</f>
        <v>1</v>
      </c>
      <c r="T194" s="5" cm="1">
        <f t="array" ref="T194">MAX(IF((ContinuousStatsTable[GroupByKey]=ContinuousStatsTable[[#This Row],[GroupByKey]]),(ContinuousStatsTable[GroupByKey]=ContinuousStatsTable[[#This Row],[GroupByKey]])*ContinuousStatsTable[Average]))</f>
        <v>1</v>
      </c>
      <c r="U194" s="5">
        <f>IF((ContinuousStatsTable[[#This Row],[RepsRequested]]&gt;1),ContinuousStatsTable[[#This Row],[HalfWidth]],ContinuousStatsTable[[#This Row],[BatchMeansHalfWidth]])</f>
        <v>0</v>
      </c>
    </row>
    <row r="195" spans="1:21" x14ac:dyDescent="0.25">
      <c r="A195" t="s">
        <v>67</v>
      </c>
      <c r="B195" t="s">
        <v>69</v>
      </c>
      <c r="C195">
        <v>7</v>
      </c>
      <c r="D195" t="s">
        <v>94</v>
      </c>
      <c r="E195" t="s">
        <v>101</v>
      </c>
      <c r="F195" t="s">
        <v>72</v>
      </c>
      <c r="G195">
        <v>1.7213564115286</v>
      </c>
      <c r="H195">
        <v>0.20988556442564901</v>
      </c>
      <c r="I195">
        <v>0</v>
      </c>
      <c r="J195">
        <v>23</v>
      </c>
      <c r="K195">
        <v>0</v>
      </c>
      <c r="L195">
        <v>0</v>
      </c>
      <c r="M195" s="5" t="str">
        <f>ContinuousStatsTable[[#This Row],[ProjectName]]&amp;ContinuousStatsTable[[#This Row],[Name]]&amp;ContinuousStatsTable[[#This Row],[Type]]&amp;ContinuousStatsTable[[#This Row],[Source]]</f>
        <v>Unnamed ProjectWorkStationQNumber WaitingQueue</v>
      </c>
      <c r="N195" s="5" cm="1">
        <f t="array" ref="N195">MAX(IF((ProjectInfoTable[ProjectName]=ContinuousStatsTable[[#This Row],[ProjectName]]),(ProjectInfoTable[ProjectName]=ContinuousStatsTable[[#This Row],[ProjectName]])*ProjectInfoTable[NumberOfReplications]))</f>
        <v>10</v>
      </c>
      <c r="O195" s="5" cm="1">
        <f t="array" ref="O195">IFERROR(AVERAGE(IF((ContinuousStatsTable[GroupByKey]=ContinuousStatsTable[[#This Row],[GroupByKey]]),(ContinuousStatsTable[GroupByKey]=ContinuousStatsTable[[#This Row],[GroupByKey]])*ContinuousStatsTable[Average])),0)</f>
        <v>1.7984099951452888</v>
      </c>
      <c r="P195" s="5" cm="1">
        <f t="array" ref="P195">IFERROR(_xlfn.STDEV.S(IF((ContinuousStatsTable[GroupByKey]=ContinuousStatsTable[[#This Row],[GroupByKey]]),(ContinuousStatsTable[GroupByKey]=ContinuousStatsTable[[#This Row],[GroupByKey]])*ContinuousStatsTable[Average])),0)</f>
        <v>9.41481017902569E-2</v>
      </c>
      <c r="Q195" s="5" cm="1">
        <f t="array" ref="Q195">MAX(IF((ProjectInfoTable[ProjectName]=ContinuousStatsTable[[#This Row],[ProjectName]]),(ProjectInfoTable[ProjectName]=ContinuousStatsTable[[#This Row],[ProjectName]])*ProjectInfoTable[ConfidenceInterval]))</f>
        <v>0.95</v>
      </c>
      <c r="R1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6.7349494799689366E-2</v>
      </c>
      <c r="S195" s="5" cm="1">
        <f t="array" ref="S195">MIN(IF((ContinuousStatsTable[GroupByKey]=ContinuousStatsTable[[#This Row],[GroupByKey]]),(ContinuousStatsTable[GroupByKey]=ContinuousStatsTable[[#This Row],[GroupByKey]])*ContinuousStatsTable[Average]))</f>
        <v>1.6808414073062801</v>
      </c>
      <c r="T195" s="5" cm="1">
        <f t="array" ref="T195">MAX(IF((ContinuousStatsTable[GroupByKey]=ContinuousStatsTable[[#This Row],[GroupByKey]]),(ContinuousStatsTable[GroupByKey]=ContinuousStatsTable[[#This Row],[GroupByKey]])*ContinuousStatsTable[Average]))</f>
        <v>1.96303981301246</v>
      </c>
      <c r="U195" s="5">
        <f>IF((ContinuousStatsTable[[#This Row],[RepsRequested]]&gt;1),ContinuousStatsTable[[#This Row],[HalfWidth]],ContinuousStatsTable[[#This Row],[BatchMeansHalfWidth]])</f>
        <v>6.7349494799689366E-2</v>
      </c>
    </row>
    <row r="196" spans="1:21" x14ac:dyDescent="0.25">
      <c r="A196" t="s">
        <v>67</v>
      </c>
      <c r="B196" t="s">
        <v>69</v>
      </c>
      <c r="C196">
        <v>7</v>
      </c>
      <c r="D196" t="s">
        <v>95</v>
      </c>
      <c r="E196" t="s">
        <v>101</v>
      </c>
      <c r="F196" t="s">
        <v>72</v>
      </c>
      <c r="G196">
        <v>1.2688403784002201E-2</v>
      </c>
      <c r="H196">
        <v>7.4366155620411798E-4</v>
      </c>
      <c r="I196">
        <v>0</v>
      </c>
      <c r="J196">
        <v>1</v>
      </c>
      <c r="K196">
        <v>0</v>
      </c>
      <c r="L196">
        <v>0</v>
      </c>
      <c r="M196" s="5" t="str">
        <f>ContinuousStatsTable[[#This Row],[ProjectName]]&amp;ContinuousStatsTable[[#This Row],[Name]]&amp;ContinuousStatsTable[[#This Row],[Type]]&amp;ContinuousStatsTable[[#This Row],[Source]]</f>
        <v>Unnamed ProjectWorkStationReqQNumber WaitingQueue</v>
      </c>
      <c r="N196" s="5" cm="1">
        <f t="array" ref="N196">MAX(IF((ProjectInfoTable[ProjectName]=ContinuousStatsTable[[#This Row],[ProjectName]]),(ProjectInfoTable[ProjectName]=ContinuousStatsTable[[#This Row],[ProjectName]])*ProjectInfoTable[NumberOfReplications]))</f>
        <v>10</v>
      </c>
      <c r="O196" s="5" cm="1">
        <f t="array" ref="O196">IFERROR(AVERAGE(IF((ContinuousStatsTable[GroupByKey]=ContinuousStatsTable[[#This Row],[GroupByKey]]),(ContinuousStatsTable[GroupByKey]=ContinuousStatsTable[[#This Row],[GroupByKey]])*ContinuousStatsTable[Average])),0)</f>
        <v>1.2897450081583859E-2</v>
      </c>
      <c r="P196" s="5" cm="1">
        <f t="array" ref="P196">IFERROR(_xlfn.STDEV.S(IF((ContinuousStatsTable[GroupByKey]=ContinuousStatsTable[[#This Row],[GroupByKey]]),(ContinuousStatsTable[GroupByKey]=ContinuousStatsTable[[#This Row],[GroupByKey]])*ContinuousStatsTable[Average])),0)</f>
        <v>4.2374090710035878E-4</v>
      </c>
      <c r="Q196" s="5" cm="1">
        <f t="array" ref="Q196">MAX(IF((ProjectInfoTable[ProjectName]=ContinuousStatsTable[[#This Row],[ProjectName]]),(ProjectInfoTable[ProjectName]=ContinuousStatsTable[[#This Row],[ProjectName]])*ProjectInfoTable[ConfidenceInterval]))</f>
        <v>0.95</v>
      </c>
      <c r="R1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3.0312598423651549E-4</v>
      </c>
      <c r="S196" s="5" cm="1">
        <f t="array" ref="S196">MIN(IF((ContinuousStatsTable[GroupByKey]=ContinuousStatsTable[[#This Row],[GroupByKey]]),(ContinuousStatsTable[GroupByKey]=ContinuousStatsTable[[#This Row],[GroupByKey]])*ContinuousStatsTable[Average]))</f>
        <v>1.2232643269307701E-2</v>
      </c>
      <c r="T196" s="5" cm="1">
        <f t="array" ref="T196">MAX(IF((ContinuousStatsTable[GroupByKey]=ContinuousStatsTable[[#This Row],[GroupByKey]]),(ContinuousStatsTable[GroupByKey]=ContinuousStatsTable[[#This Row],[GroupByKey]])*ContinuousStatsTable[Average]))</f>
        <v>1.34073753437328E-2</v>
      </c>
      <c r="U196" s="5">
        <f>IF((ContinuousStatsTable[[#This Row],[RepsRequested]]&gt;1),ContinuousStatsTable[[#This Row],[HalfWidth]],ContinuousStatsTable[[#This Row],[BatchMeansHalfWidth]])</f>
        <v>3.0312598423651549E-4</v>
      </c>
    </row>
    <row r="197" spans="1:21" x14ac:dyDescent="0.25">
      <c r="A197" t="s">
        <v>67</v>
      </c>
      <c r="B197" t="s">
        <v>69</v>
      </c>
      <c r="C197">
        <v>7</v>
      </c>
      <c r="D197" t="s">
        <v>110</v>
      </c>
      <c r="E197" t="s">
        <v>111</v>
      </c>
      <c r="F197" t="s">
        <v>90</v>
      </c>
      <c r="G197">
        <v>0.67558225348834999</v>
      </c>
      <c r="H197">
        <v>1.1683114059277499E-2</v>
      </c>
      <c r="I197">
        <v>0</v>
      </c>
      <c r="J197">
        <v>7</v>
      </c>
      <c r="K197">
        <v>0</v>
      </c>
      <c r="L197">
        <v>0</v>
      </c>
      <c r="M197" s="5" t="str">
        <f>ContinuousStatsTable[[#This Row],[ProjectName]]&amp;ContinuousStatsTable[[#This Row],[Name]]&amp;ContinuousStatsTable[[#This Row],[Type]]&amp;ContinuousStatsTable[[#This Row],[Source]]</f>
        <v>Unnamed ProjectvNumWaitingRequestsVariableUser Specified</v>
      </c>
      <c r="N197" s="5" cm="1">
        <f t="array" ref="N197">MAX(IF((ProjectInfoTable[ProjectName]=ContinuousStatsTable[[#This Row],[ProjectName]]),(ProjectInfoTable[ProjectName]=ContinuousStatsTable[[#This Row],[ProjectName]])*ProjectInfoTable[NumberOfReplications]))</f>
        <v>10</v>
      </c>
      <c r="O197" s="5" cm="1">
        <f t="array" ref="O197">IFERROR(AVERAGE(IF((ContinuousStatsTable[GroupByKey]=ContinuousStatsTable[[#This Row],[GroupByKey]]),(ContinuousStatsTable[GroupByKey]=ContinuousStatsTable[[#This Row],[GroupByKey]])*ContinuousStatsTable[Average])),0)</f>
        <v>0.67697821611736619</v>
      </c>
      <c r="P197" s="5" cm="1">
        <f t="array" ref="P197">IFERROR(_xlfn.STDEV.S(IF((ContinuousStatsTable[GroupByKey]=ContinuousStatsTable[[#This Row],[GroupByKey]]),(ContinuousStatsTable[GroupByKey]=ContinuousStatsTable[[#This Row],[GroupByKey]])*ContinuousStatsTable[Average])),0)</f>
        <v>6.3714899668086428E-3</v>
      </c>
      <c r="Q197" s="5" cm="1">
        <f t="array" ref="Q197">MAX(IF((ProjectInfoTable[ProjectName]=ContinuousStatsTable[[#This Row],[ProjectName]]),(ProjectInfoTable[ProjectName]=ContinuousStatsTable[[#This Row],[ProjectName]])*ProjectInfoTable[ConfidenceInterval]))</f>
        <v>0.95</v>
      </c>
      <c r="R1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4.5578893490793634E-3</v>
      </c>
      <c r="S197" s="5" cm="1">
        <f t="array" ref="S197">MIN(IF((ContinuousStatsTable[GroupByKey]=ContinuousStatsTable[[#This Row],[GroupByKey]]),(ContinuousStatsTable[GroupByKey]=ContinuousStatsTable[[#This Row],[GroupByKey]])*ContinuousStatsTable[Average]))</f>
        <v>0.66877542384053201</v>
      </c>
      <c r="T197" s="5" cm="1">
        <f t="array" ref="T197">MAX(IF((ContinuousStatsTable[GroupByKey]=ContinuousStatsTable[[#This Row],[GroupByKey]]),(ContinuousStatsTable[GroupByKey]=ContinuousStatsTable[[#This Row],[GroupByKey]])*ContinuousStatsTable[Average]))</f>
        <v>0.69059318471793496</v>
      </c>
      <c r="U197" s="5">
        <f>IF((ContinuousStatsTable[[#This Row],[RepsRequested]]&gt;1),ContinuousStatsTable[[#This Row],[HalfWidth]],ContinuousStatsTable[[#This Row],[BatchMeansHalfWidth]])</f>
        <v>4.5578893490793634E-3</v>
      </c>
    </row>
    <row r="198" spans="1:21" x14ac:dyDescent="0.25">
      <c r="A198" t="s">
        <v>67</v>
      </c>
      <c r="B198" t="s">
        <v>69</v>
      </c>
      <c r="C198">
        <v>8</v>
      </c>
      <c r="D198" t="s">
        <v>96</v>
      </c>
      <c r="E198" t="s">
        <v>97</v>
      </c>
      <c r="F198" t="s">
        <v>98</v>
      </c>
      <c r="G198">
        <v>2.08083237435687</v>
      </c>
      <c r="H198">
        <v>9.9234034513247301E-3</v>
      </c>
      <c r="I198">
        <v>0</v>
      </c>
      <c r="J198">
        <v>3</v>
      </c>
      <c r="K198">
        <v>2</v>
      </c>
      <c r="L198">
        <v>0</v>
      </c>
      <c r="M198" s="5" t="str">
        <f>ContinuousStatsTable[[#This Row],[ProjectName]]&amp;ContinuousStatsTable[[#This Row],[Name]]&amp;ContinuousStatsTable[[#This Row],[Type]]&amp;ContinuousStatsTable[[#This Row],[Source]]</f>
        <v>Unnamed ProjectAGVNumber BusyTransporter</v>
      </c>
      <c r="N198" s="5" cm="1">
        <f t="array" ref="N198">MAX(IF((ProjectInfoTable[ProjectName]=ContinuousStatsTable[[#This Row],[ProjectName]]),(ProjectInfoTable[ProjectName]=ContinuousStatsTable[[#This Row],[ProjectName]])*ProjectInfoTable[NumberOfReplications]))</f>
        <v>10</v>
      </c>
      <c r="O198" s="5" cm="1">
        <f t="array" ref="O198">IFERROR(AVERAGE(IF((ContinuousStatsTable[GroupByKey]=ContinuousStatsTable[[#This Row],[GroupByKey]]),(ContinuousStatsTable[GroupByKey]=ContinuousStatsTable[[#This Row],[GroupByKey]])*ContinuousStatsTable[Average])),0)</f>
        <v>2.078872627125893</v>
      </c>
      <c r="P198" s="5" cm="1">
        <f t="array" ref="P198">IFERROR(_xlfn.STDEV.S(IF((ContinuousStatsTable[GroupByKey]=ContinuousStatsTable[[#This Row],[GroupByKey]]),(ContinuousStatsTable[GroupByKey]=ContinuousStatsTable[[#This Row],[GroupByKey]])*ContinuousStatsTable[Average])),0)</f>
        <v>5.2787009755182E-3</v>
      </c>
      <c r="Q198" s="5" cm="1">
        <f t="array" ref="Q198">MAX(IF((ProjectInfoTable[ProjectName]=ContinuousStatsTable[[#This Row],[ProjectName]]),(ProjectInfoTable[ProjectName]=ContinuousStatsTable[[#This Row],[ProjectName]])*ProjectInfoTable[ConfidenceInterval]))</f>
        <v>0.95</v>
      </c>
      <c r="R1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3.7761551973910287E-3</v>
      </c>
      <c r="S198" s="5" cm="1">
        <f t="array" ref="S198">MIN(IF((ContinuousStatsTable[GroupByKey]=ContinuousStatsTable[[#This Row],[GroupByKey]]),(ContinuousStatsTable[GroupByKey]=ContinuousStatsTable[[#This Row],[GroupByKey]])*ContinuousStatsTable[Average]))</f>
        <v>2.07228794584704</v>
      </c>
      <c r="T198" s="5" cm="1">
        <f t="array" ref="T198">MAX(IF((ContinuousStatsTable[GroupByKey]=ContinuousStatsTable[[#This Row],[GroupByKey]]),(ContinuousStatsTable[GroupByKey]=ContinuousStatsTable[[#This Row],[GroupByKey]])*ContinuousStatsTable[Average]))</f>
        <v>2.08892452747873</v>
      </c>
      <c r="U198" s="5">
        <f>IF((ContinuousStatsTable[[#This Row],[RepsRequested]]&gt;1),ContinuousStatsTable[[#This Row],[HalfWidth]],ContinuousStatsTable[[#This Row],[BatchMeansHalfWidth]])</f>
        <v>3.7761551973910287E-3</v>
      </c>
    </row>
    <row r="199" spans="1:21" x14ac:dyDescent="0.25">
      <c r="A199" t="s">
        <v>67</v>
      </c>
      <c r="B199" t="s">
        <v>69</v>
      </c>
      <c r="C199">
        <v>8</v>
      </c>
      <c r="D199" t="s">
        <v>96</v>
      </c>
      <c r="E199" t="s">
        <v>99</v>
      </c>
      <c r="F199" t="s">
        <v>98</v>
      </c>
      <c r="G199">
        <v>3</v>
      </c>
      <c r="H199">
        <v>2E+20</v>
      </c>
      <c r="I199">
        <v>3</v>
      </c>
      <c r="J199">
        <v>3</v>
      </c>
      <c r="K199">
        <v>3</v>
      </c>
      <c r="L199">
        <v>0</v>
      </c>
      <c r="M199" s="5" t="str">
        <f>ContinuousStatsTable[[#This Row],[ProjectName]]&amp;ContinuousStatsTable[[#This Row],[Name]]&amp;ContinuousStatsTable[[#This Row],[Type]]&amp;ContinuousStatsTable[[#This Row],[Source]]</f>
        <v>Unnamed ProjectAGVNumber ScheduledTransporter</v>
      </c>
      <c r="N199" s="5" cm="1">
        <f t="array" ref="N199">MAX(IF((ProjectInfoTable[ProjectName]=ContinuousStatsTable[[#This Row],[ProjectName]]),(ProjectInfoTable[ProjectName]=ContinuousStatsTable[[#This Row],[ProjectName]])*ProjectInfoTable[NumberOfReplications]))</f>
        <v>10</v>
      </c>
      <c r="O199" s="5" cm="1">
        <f t="array" ref="O199">IFERROR(AVERAGE(IF((ContinuousStatsTable[GroupByKey]=ContinuousStatsTable[[#This Row],[GroupByKey]]),(ContinuousStatsTable[GroupByKey]=ContinuousStatsTable[[#This Row],[GroupByKey]])*ContinuousStatsTable[Average])),0)</f>
        <v>3</v>
      </c>
      <c r="P199" s="5" cm="1">
        <f t="array" ref="P199">IFERROR(_xlfn.STDEV.S(IF((ContinuousStatsTable[GroupByKey]=ContinuousStatsTable[[#This Row],[GroupByKey]]),(ContinuousStatsTable[GroupByKey]=ContinuousStatsTable[[#This Row],[GroupByKey]])*ContinuousStatsTable[Average])),0)</f>
        <v>0</v>
      </c>
      <c r="Q199" s="5" cm="1">
        <f t="array" ref="Q199">MAX(IF((ProjectInfoTable[ProjectName]=ContinuousStatsTable[[#This Row],[ProjectName]]),(ProjectInfoTable[ProjectName]=ContinuousStatsTable[[#This Row],[ProjectName]])*ProjectInfoTable[ConfidenceInterval]))</f>
        <v>0.95</v>
      </c>
      <c r="R1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9" s="5" cm="1">
        <f t="array" ref="S199">MIN(IF((ContinuousStatsTable[GroupByKey]=ContinuousStatsTable[[#This Row],[GroupByKey]]),(ContinuousStatsTable[GroupByKey]=ContinuousStatsTable[[#This Row],[GroupByKey]])*ContinuousStatsTable[Average]))</f>
        <v>3</v>
      </c>
      <c r="T199" s="5" cm="1">
        <f t="array" ref="T199">MAX(IF((ContinuousStatsTable[GroupByKey]=ContinuousStatsTable[[#This Row],[GroupByKey]]),(ContinuousStatsTable[GroupByKey]=ContinuousStatsTable[[#This Row],[GroupByKey]])*ContinuousStatsTable[Average]))</f>
        <v>3</v>
      </c>
      <c r="U199" s="5">
        <f>IF((ContinuousStatsTable[[#This Row],[RepsRequested]]&gt;1),ContinuousStatsTable[[#This Row],[HalfWidth]],ContinuousStatsTable[[#This Row],[BatchMeansHalfWidth]])</f>
        <v>0</v>
      </c>
    </row>
    <row r="200" spans="1:21" x14ac:dyDescent="0.25">
      <c r="A200" t="s">
        <v>67</v>
      </c>
      <c r="B200" t="s">
        <v>69</v>
      </c>
      <c r="C200">
        <v>8</v>
      </c>
      <c r="D200" t="s">
        <v>96</v>
      </c>
      <c r="E200" t="s">
        <v>100</v>
      </c>
      <c r="F200" t="s">
        <v>98</v>
      </c>
      <c r="G200">
        <v>0.69361079145228</v>
      </c>
      <c r="H200">
        <v>3.3078011504414999E-3</v>
      </c>
      <c r="I200">
        <v>0</v>
      </c>
      <c r="J200">
        <v>1</v>
      </c>
      <c r="K200">
        <v>0.66666666666666696</v>
      </c>
      <c r="L200">
        <v>0</v>
      </c>
      <c r="M200" s="5" t="str">
        <f>ContinuousStatsTable[[#This Row],[ProjectName]]&amp;ContinuousStatsTable[[#This Row],[Name]]&amp;ContinuousStatsTable[[#This Row],[Type]]&amp;ContinuousStatsTable[[#This Row],[Source]]</f>
        <v>Unnamed ProjectAGVUtilizationTransporter</v>
      </c>
      <c r="N200" s="5" cm="1">
        <f t="array" ref="N200">MAX(IF((ProjectInfoTable[ProjectName]=ContinuousStatsTable[[#This Row],[ProjectName]]),(ProjectInfoTable[ProjectName]=ContinuousStatsTable[[#This Row],[ProjectName]])*ProjectInfoTable[NumberOfReplications]))</f>
        <v>10</v>
      </c>
      <c r="O200" s="5" cm="1">
        <f t="array" ref="O200">IFERROR(AVERAGE(IF((ContinuousStatsTable[GroupByKey]=ContinuousStatsTable[[#This Row],[GroupByKey]]),(ContinuousStatsTable[GroupByKey]=ContinuousStatsTable[[#This Row],[GroupByKey]])*ContinuousStatsTable[Average])),0)</f>
        <v>0.69295754237529772</v>
      </c>
      <c r="P200" s="5" cm="1">
        <f t="array" ref="P200">IFERROR(_xlfn.STDEV.S(IF((ContinuousStatsTable[GroupByKey]=ContinuousStatsTable[[#This Row],[GroupByKey]]),(ContinuousStatsTable[GroupByKey]=ContinuousStatsTable[[#This Row],[GroupByKey]])*ContinuousStatsTable[Average])),0)</f>
        <v>1.759566991837834E-3</v>
      </c>
      <c r="Q200" s="5" cm="1">
        <f t="array" ref="Q200">MAX(IF((ProjectInfoTable[ProjectName]=ContinuousStatsTable[[#This Row],[ProjectName]]),(ProjectInfoTable[ProjectName]=ContinuousStatsTable[[#This Row],[ProjectName]])*ProjectInfoTable[ConfidenceInterval]))</f>
        <v>0.95</v>
      </c>
      <c r="R2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1.2587183991292225E-3</v>
      </c>
      <c r="S200" s="5" cm="1">
        <f t="array" ref="S200">MIN(IF((ContinuousStatsTable[GroupByKey]=ContinuousStatsTable[[#This Row],[GroupByKey]]),(ContinuousStatsTable[GroupByKey]=ContinuousStatsTable[[#This Row],[GroupByKey]])*ContinuousStatsTable[Average]))</f>
        <v>0.69076264861567704</v>
      </c>
      <c r="T200" s="5" cm="1">
        <f t="array" ref="T200">MAX(IF((ContinuousStatsTable[GroupByKey]=ContinuousStatsTable[[#This Row],[GroupByKey]]),(ContinuousStatsTable[GroupByKey]=ContinuousStatsTable[[#This Row],[GroupByKey]])*ContinuousStatsTable[Average]))</f>
        <v>0.69630817582623705</v>
      </c>
      <c r="U200" s="5">
        <f>IF((ContinuousStatsTable[[#This Row],[RepsRequested]]&gt;1),ContinuousStatsTable[[#This Row],[HalfWidth]],ContinuousStatsTable[[#This Row],[BatchMeansHalfWidth]])</f>
        <v>1.2587183991292225E-3</v>
      </c>
    </row>
    <row r="201" spans="1:21" x14ac:dyDescent="0.25">
      <c r="A201" t="s">
        <v>67</v>
      </c>
      <c r="B201" t="s">
        <v>69</v>
      </c>
      <c r="C201">
        <v>8</v>
      </c>
      <c r="D201" t="s">
        <v>70</v>
      </c>
      <c r="E201" t="s">
        <v>101</v>
      </c>
      <c r="F201" t="s">
        <v>72</v>
      </c>
      <c r="G201">
        <v>3.1716417798791398E-2</v>
      </c>
      <c r="H201">
        <v>2.5976859223695802E-3</v>
      </c>
      <c r="I201">
        <v>0</v>
      </c>
      <c r="J201">
        <v>4</v>
      </c>
      <c r="K201">
        <v>0</v>
      </c>
      <c r="L201">
        <v>0</v>
      </c>
      <c r="M201" s="5" t="str">
        <f>ContinuousStatsTable[[#This Row],[ProjectName]]&amp;ContinuousStatsTable[[#This Row],[Name]]&amp;ContinuousStatsTable[[#This Row],[Type]]&amp;ContinuousStatsTable[[#This Row],[Source]]</f>
        <v>Unnamed ProjectEnter Request AGV.QueueNumber WaitingQueue</v>
      </c>
      <c r="N201" s="5" cm="1">
        <f t="array" ref="N201">MAX(IF((ProjectInfoTable[ProjectName]=ContinuousStatsTable[[#This Row],[ProjectName]]),(ProjectInfoTable[ProjectName]=ContinuousStatsTable[[#This Row],[ProjectName]])*ProjectInfoTable[NumberOfReplications]))</f>
        <v>10</v>
      </c>
      <c r="O201" s="5" cm="1">
        <f t="array" ref="O201">IFERROR(AVERAGE(IF((ContinuousStatsTable[GroupByKey]=ContinuousStatsTable[[#This Row],[GroupByKey]]),(ContinuousStatsTable[GroupByKey]=ContinuousStatsTable[[#This Row],[GroupByKey]])*ContinuousStatsTable[Average])),0)</f>
        <v>3.1035047783347335E-2</v>
      </c>
      <c r="P201" s="5" cm="1">
        <f t="array" ref="P201">IFERROR(_xlfn.STDEV.S(IF((ContinuousStatsTable[GroupByKey]=ContinuousStatsTable[[#This Row],[GroupByKey]]),(ContinuousStatsTable[GroupByKey]=ContinuousStatsTable[[#This Row],[GroupByKey]])*ContinuousStatsTable[Average])),0)</f>
        <v>1.214427597616889E-3</v>
      </c>
      <c r="Q201" s="5" cm="1">
        <f t="array" ref="Q201">MAX(IF((ProjectInfoTable[ProjectName]=ContinuousStatsTable[[#This Row],[ProjectName]]),(ProjectInfoTable[ProjectName]=ContinuousStatsTable[[#This Row],[ProjectName]])*ProjectInfoTable[ConfidenceInterval]))</f>
        <v>0.95</v>
      </c>
      <c r="R2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8.6874916875660508E-4</v>
      </c>
      <c r="S201" s="5" cm="1">
        <f t="array" ref="S201">MIN(IF((ContinuousStatsTable[GroupByKey]=ContinuousStatsTable[[#This Row],[GroupByKey]]),(ContinuousStatsTable[GroupByKey]=ContinuousStatsTable[[#This Row],[GroupByKey]])*ContinuousStatsTable[Average]))</f>
        <v>2.9772007867277201E-2</v>
      </c>
      <c r="T201" s="5" cm="1">
        <f t="array" ref="T201">MAX(IF((ContinuousStatsTable[GroupByKey]=ContinuousStatsTable[[#This Row],[GroupByKey]]),(ContinuousStatsTable[GroupByKey]=ContinuousStatsTable[[#This Row],[GroupByKey]])*ContinuousStatsTable[Average]))</f>
        <v>3.3809532279706102E-2</v>
      </c>
      <c r="U201" s="5">
        <f>IF((ContinuousStatsTable[[#This Row],[RepsRequested]]&gt;1),ContinuousStatsTable[[#This Row],[HalfWidth]],ContinuousStatsTable[[#This Row],[BatchMeansHalfWidth]])</f>
        <v>8.6874916875660508E-4</v>
      </c>
    </row>
    <row r="202" spans="1:21" x14ac:dyDescent="0.25">
      <c r="A202" t="s">
        <v>67</v>
      </c>
      <c r="B202" t="s">
        <v>69</v>
      </c>
      <c r="C202">
        <v>8</v>
      </c>
      <c r="D202" t="s">
        <v>102</v>
      </c>
      <c r="E202" t="s">
        <v>103</v>
      </c>
      <c r="F202" t="s">
        <v>77</v>
      </c>
      <c r="G202">
        <v>0</v>
      </c>
      <c r="H202">
        <v>2E+20</v>
      </c>
      <c r="I202">
        <v>0</v>
      </c>
      <c r="J202">
        <v>1</v>
      </c>
      <c r="K202">
        <v>0</v>
      </c>
      <c r="L202">
        <v>0</v>
      </c>
      <c r="M202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02" s="5" cm="1">
        <f t="array" ref="N202">MAX(IF((ProjectInfoTable[ProjectName]=ContinuousStatsTable[[#This Row],[ProjectName]]),(ProjectInfoTable[ProjectName]=ContinuousStatsTable[[#This Row],[ProjectName]])*ProjectInfoTable[NumberOfReplications]))</f>
        <v>10</v>
      </c>
      <c r="O202" s="5" cm="1">
        <f t="array" ref="O202">IFERROR(AVERAGE(IF((ContinuousStatsTable[GroupByKey]=ContinuousStatsTable[[#This Row],[GroupByKey]]),(ContinuousStatsTable[GroupByKey]=ContinuousStatsTable[[#This Row],[GroupByKey]])*ContinuousStatsTable[Average])),0)</f>
        <v>0</v>
      </c>
      <c r="P202" s="5" cm="1">
        <f t="array" ref="P202">IFERROR(_xlfn.STDEV.S(IF((ContinuousStatsTable[GroupByKey]=ContinuousStatsTable[[#This Row],[GroupByKey]]),(ContinuousStatsTable[GroupByKey]=ContinuousStatsTable[[#This Row],[GroupByKey]])*ContinuousStatsTable[Average])),0)</f>
        <v>0</v>
      </c>
      <c r="Q202" s="5" cm="1">
        <f t="array" ref="Q202">MAX(IF((ProjectInfoTable[ProjectName]=ContinuousStatsTable[[#This Row],[ProjectName]]),(ProjectInfoTable[ProjectName]=ContinuousStatsTable[[#This Row],[ProjectName]])*ProjectInfoTable[ConfidenceInterval]))</f>
        <v>0.95</v>
      </c>
      <c r="R2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2" s="5" cm="1">
        <f t="array" ref="S202">MIN(IF((ContinuousStatsTable[GroupByKey]=ContinuousStatsTable[[#This Row],[GroupByKey]]),(ContinuousStatsTable[GroupByKey]=ContinuousStatsTable[[#This Row],[GroupByKey]])*ContinuousStatsTable[Average]))</f>
        <v>0</v>
      </c>
      <c r="T202" s="5" cm="1">
        <f t="array" ref="T202">MAX(IF((ContinuousStatsTable[GroupByKey]=ContinuousStatsTable[[#This Row],[GroupByKey]]),(ContinuousStatsTable[GroupByKey]=ContinuousStatsTable[[#This Row],[GroupByKey]])*ContinuousStatsTable[Average]))</f>
        <v>0</v>
      </c>
      <c r="U202" s="5">
        <f>IF((ContinuousStatsTable[[#This Row],[RepsRequested]]&gt;1),ContinuousStatsTable[[#This Row],[HalfWidth]],ContinuousStatsTable[[#This Row],[BatchMeansHalfWidth]])</f>
        <v>0</v>
      </c>
    </row>
    <row r="203" spans="1:21" x14ac:dyDescent="0.25">
      <c r="A203" t="s">
        <v>67</v>
      </c>
      <c r="B203" t="s">
        <v>69</v>
      </c>
      <c r="C203">
        <v>8</v>
      </c>
      <c r="D203" t="s">
        <v>104</v>
      </c>
      <c r="E203" t="s">
        <v>105</v>
      </c>
      <c r="F203" t="s">
        <v>106</v>
      </c>
      <c r="G203">
        <v>0.52474220708409902</v>
      </c>
      <c r="H203">
        <v>1.40998119277499E-2</v>
      </c>
      <c r="I203">
        <v>0</v>
      </c>
      <c r="J203">
        <v>1</v>
      </c>
      <c r="K203">
        <v>0</v>
      </c>
      <c r="L203">
        <v>0</v>
      </c>
      <c r="M203" s="5" t="str">
        <f>ContinuousStatsTable[[#This Row],[ProjectName]]&amp;ContinuousStatsTable[[#This Row],[Name]]&amp;ContinuousStatsTable[[#This Row],[Type]]&amp;ContinuousStatsTable[[#This Row],[Source]]</f>
        <v>Unnamed ProjectNEWPAINTERInstantaneous UtilizationResource</v>
      </c>
      <c r="N203" s="5" cm="1">
        <f t="array" ref="N203">MAX(IF((ProjectInfoTable[ProjectName]=ContinuousStatsTable[[#This Row],[ProjectName]]),(ProjectInfoTable[ProjectName]=ContinuousStatsTable[[#This Row],[ProjectName]])*ProjectInfoTable[NumberOfReplications]))</f>
        <v>10</v>
      </c>
      <c r="O203" s="5" cm="1">
        <f t="array" ref="O203">IFERROR(AVERAGE(IF((ContinuousStatsTable[GroupByKey]=ContinuousStatsTable[[#This Row],[GroupByKey]]),(ContinuousStatsTable[GroupByKey]=ContinuousStatsTable[[#This Row],[GroupByKey]])*ContinuousStatsTable[Average])),0)</f>
        <v>0.52518723279433455</v>
      </c>
      <c r="P203" s="5" cm="1">
        <f t="array" ref="P203">IFERROR(_xlfn.STDEV.S(IF((ContinuousStatsTable[GroupByKey]=ContinuousStatsTable[[#This Row],[GroupByKey]]),(ContinuousStatsTable[GroupByKey]=ContinuousStatsTable[[#This Row],[GroupByKey]])*ContinuousStatsTable[Average])),0)</f>
        <v>8.4087502405714581E-3</v>
      </c>
      <c r="Q203" s="5" cm="1">
        <f t="array" ref="Q203">MAX(IF((ProjectInfoTable[ProjectName]=ContinuousStatsTable[[#This Row],[ProjectName]]),(ProjectInfoTable[ProjectName]=ContinuousStatsTable[[#This Row],[ProjectName]])*ProjectInfoTable[ConfidenceInterval]))</f>
        <v>0.95</v>
      </c>
      <c r="R2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6.0152575551752803E-3</v>
      </c>
      <c r="S203" s="5" cm="1">
        <f t="array" ref="S203">MIN(IF((ContinuousStatsTable[GroupByKey]=ContinuousStatsTable[[#This Row],[GroupByKey]]),(ContinuousStatsTable[GroupByKey]=ContinuousStatsTable[[#This Row],[GroupByKey]])*ContinuousStatsTable[Average]))</f>
        <v>0.51150896826018899</v>
      </c>
      <c r="T203" s="5" cm="1">
        <f t="array" ref="T203">MAX(IF((ContinuousStatsTable[GroupByKey]=ContinuousStatsTable[[#This Row],[GroupByKey]]),(ContinuousStatsTable[GroupByKey]=ContinuousStatsTable[[#This Row],[GroupByKey]])*ContinuousStatsTable[Average]))</f>
        <v>0.54003281556404203</v>
      </c>
      <c r="U203" s="5">
        <f>IF((ContinuousStatsTable[[#This Row],[RepsRequested]]&gt;1),ContinuousStatsTable[[#This Row],[HalfWidth]],ContinuousStatsTable[[#This Row],[BatchMeansHalfWidth]])</f>
        <v>6.0152575551752803E-3</v>
      </c>
    </row>
    <row r="204" spans="1:21" x14ac:dyDescent="0.25">
      <c r="A204" t="s">
        <v>67</v>
      </c>
      <c r="B204" t="s">
        <v>69</v>
      </c>
      <c r="C204">
        <v>8</v>
      </c>
      <c r="D204" t="s">
        <v>104</v>
      </c>
      <c r="E204" t="s">
        <v>97</v>
      </c>
      <c r="F204" t="s">
        <v>106</v>
      </c>
      <c r="G204">
        <v>0.52474220708409902</v>
      </c>
      <c r="H204">
        <v>1.40998119277499E-2</v>
      </c>
      <c r="I204">
        <v>0</v>
      </c>
      <c r="J204">
        <v>1</v>
      </c>
      <c r="K204">
        <v>0</v>
      </c>
      <c r="L204">
        <v>0</v>
      </c>
      <c r="M204" s="5" t="str">
        <f>ContinuousStatsTable[[#This Row],[ProjectName]]&amp;ContinuousStatsTable[[#This Row],[Name]]&amp;ContinuousStatsTable[[#This Row],[Type]]&amp;ContinuousStatsTable[[#This Row],[Source]]</f>
        <v>Unnamed ProjectNEWPAINTERNumber BusyResource</v>
      </c>
      <c r="N204" s="5" cm="1">
        <f t="array" ref="N204">MAX(IF((ProjectInfoTable[ProjectName]=ContinuousStatsTable[[#This Row],[ProjectName]]),(ProjectInfoTable[ProjectName]=ContinuousStatsTable[[#This Row],[ProjectName]])*ProjectInfoTable[NumberOfReplications]))</f>
        <v>10</v>
      </c>
      <c r="O204" s="5" cm="1">
        <f t="array" ref="O204">IFERROR(AVERAGE(IF((ContinuousStatsTable[GroupByKey]=ContinuousStatsTable[[#This Row],[GroupByKey]]),(ContinuousStatsTable[GroupByKey]=ContinuousStatsTable[[#This Row],[GroupByKey]])*ContinuousStatsTable[Average])),0)</f>
        <v>0.52518723279433455</v>
      </c>
      <c r="P204" s="5" cm="1">
        <f t="array" ref="P204">IFERROR(_xlfn.STDEV.S(IF((ContinuousStatsTable[GroupByKey]=ContinuousStatsTable[[#This Row],[GroupByKey]]),(ContinuousStatsTable[GroupByKey]=ContinuousStatsTable[[#This Row],[GroupByKey]])*ContinuousStatsTable[Average])),0)</f>
        <v>8.4087502405714581E-3</v>
      </c>
      <c r="Q204" s="5" cm="1">
        <f t="array" ref="Q204">MAX(IF((ProjectInfoTable[ProjectName]=ContinuousStatsTable[[#This Row],[ProjectName]]),(ProjectInfoTable[ProjectName]=ContinuousStatsTable[[#This Row],[ProjectName]])*ProjectInfoTable[ConfidenceInterval]))</f>
        <v>0.95</v>
      </c>
      <c r="R2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6.0152575551752803E-3</v>
      </c>
      <c r="S204" s="5" cm="1">
        <f t="array" ref="S204">MIN(IF((ContinuousStatsTable[GroupByKey]=ContinuousStatsTable[[#This Row],[GroupByKey]]),(ContinuousStatsTable[GroupByKey]=ContinuousStatsTable[[#This Row],[GroupByKey]])*ContinuousStatsTable[Average]))</f>
        <v>0.51150896826018899</v>
      </c>
      <c r="T204" s="5" cm="1">
        <f t="array" ref="T204">MAX(IF((ContinuousStatsTable[GroupByKey]=ContinuousStatsTable[[#This Row],[GroupByKey]]),(ContinuousStatsTable[GroupByKey]=ContinuousStatsTable[[#This Row],[GroupByKey]])*ContinuousStatsTable[Average]))</f>
        <v>0.54003281556404203</v>
      </c>
      <c r="U204" s="5">
        <f>IF((ContinuousStatsTable[[#This Row],[RepsRequested]]&gt;1),ContinuousStatsTable[[#This Row],[HalfWidth]],ContinuousStatsTable[[#This Row],[BatchMeansHalfWidth]])</f>
        <v>6.0152575551752803E-3</v>
      </c>
    </row>
    <row r="205" spans="1:21" x14ac:dyDescent="0.25">
      <c r="A205" t="s">
        <v>67</v>
      </c>
      <c r="B205" t="s">
        <v>69</v>
      </c>
      <c r="C205">
        <v>8</v>
      </c>
      <c r="D205" t="s">
        <v>104</v>
      </c>
      <c r="E205" t="s">
        <v>99</v>
      </c>
      <c r="F205" t="s">
        <v>106</v>
      </c>
      <c r="G205">
        <v>1</v>
      </c>
      <c r="H205">
        <v>2E+20</v>
      </c>
      <c r="I205">
        <v>1</v>
      </c>
      <c r="J205">
        <v>1</v>
      </c>
      <c r="K205">
        <v>1</v>
      </c>
      <c r="L205">
        <v>0</v>
      </c>
      <c r="M205" s="5" t="str">
        <f>ContinuousStatsTable[[#This Row],[ProjectName]]&amp;ContinuousStatsTable[[#This Row],[Name]]&amp;ContinuousStatsTable[[#This Row],[Type]]&amp;ContinuousStatsTable[[#This Row],[Source]]</f>
        <v>Unnamed ProjectNEWPAINTERNumber ScheduledResource</v>
      </c>
      <c r="N205" s="5" cm="1">
        <f t="array" ref="N205">MAX(IF((ProjectInfoTable[ProjectName]=ContinuousStatsTable[[#This Row],[ProjectName]]),(ProjectInfoTable[ProjectName]=ContinuousStatsTable[[#This Row],[ProjectName]])*ProjectInfoTable[NumberOfReplications]))</f>
        <v>10</v>
      </c>
      <c r="O205" s="5" cm="1">
        <f t="array" ref="O205">IFERROR(AVERAGE(IF((ContinuousStatsTable[GroupByKey]=ContinuousStatsTable[[#This Row],[GroupByKey]]),(ContinuousStatsTable[GroupByKey]=ContinuousStatsTable[[#This Row],[GroupByKey]])*ContinuousStatsTable[Average])),0)</f>
        <v>1</v>
      </c>
      <c r="P205" s="5" cm="1">
        <f t="array" ref="P205">IFERROR(_xlfn.STDEV.S(IF((ContinuousStatsTable[GroupByKey]=ContinuousStatsTable[[#This Row],[GroupByKey]]),(ContinuousStatsTable[GroupByKey]=ContinuousStatsTable[[#This Row],[GroupByKey]])*ContinuousStatsTable[Average])),0)</f>
        <v>0</v>
      </c>
      <c r="Q205" s="5" cm="1">
        <f t="array" ref="Q205">MAX(IF((ProjectInfoTable[ProjectName]=ContinuousStatsTable[[#This Row],[ProjectName]]),(ProjectInfoTable[ProjectName]=ContinuousStatsTable[[#This Row],[ProjectName]])*ProjectInfoTable[ConfidenceInterval]))</f>
        <v>0.95</v>
      </c>
      <c r="R2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5" s="5" cm="1">
        <f t="array" ref="S205">MIN(IF((ContinuousStatsTable[GroupByKey]=ContinuousStatsTable[[#This Row],[GroupByKey]]),(ContinuousStatsTable[GroupByKey]=ContinuousStatsTable[[#This Row],[GroupByKey]])*ContinuousStatsTable[Average]))</f>
        <v>1</v>
      </c>
      <c r="T205" s="5" cm="1">
        <f t="array" ref="T205">MAX(IF((ContinuousStatsTable[GroupByKey]=ContinuousStatsTable[[#This Row],[GroupByKey]]),(ContinuousStatsTable[GroupByKey]=ContinuousStatsTable[[#This Row],[GroupByKey]])*ContinuousStatsTable[Average]))</f>
        <v>1</v>
      </c>
      <c r="U205" s="5">
        <f>IF((ContinuousStatsTable[[#This Row],[RepsRequested]]&gt;1),ContinuousStatsTable[[#This Row],[HalfWidth]],ContinuousStatsTable[[#This Row],[BatchMeansHalfWidth]])</f>
        <v>0</v>
      </c>
    </row>
    <row r="206" spans="1:21" x14ac:dyDescent="0.25">
      <c r="A206" t="s">
        <v>67</v>
      </c>
      <c r="B206" t="s">
        <v>69</v>
      </c>
      <c r="C206">
        <v>8</v>
      </c>
      <c r="D206" t="s">
        <v>73</v>
      </c>
      <c r="E206" t="s">
        <v>101</v>
      </c>
      <c r="F206" t="s">
        <v>72</v>
      </c>
      <c r="G206">
        <v>0.19021192736628301</v>
      </c>
      <c r="H206">
        <v>3E+20</v>
      </c>
      <c r="I206">
        <v>0</v>
      </c>
      <c r="J206">
        <v>5</v>
      </c>
      <c r="K206">
        <v>0</v>
      </c>
      <c r="L206">
        <v>0</v>
      </c>
      <c r="M206" s="5" t="str">
        <f>ContinuousStatsTable[[#This Row],[ProjectName]]&amp;ContinuousStatsTable[[#This Row],[Name]]&amp;ContinuousStatsTable[[#This Row],[Type]]&amp;ContinuousStatsTable[[#This Row],[Source]]</f>
        <v>Unnamed ProjectNewPaintQNumber WaitingQueue</v>
      </c>
      <c r="N206" s="5" cm="1">
        <f t="array" ref="N206">MAX(IF((ProjectInfoTable[ProjectName]=ContinuousStatsTable[[#This Row],[ProjectName]]),(ProjectInfoTable[ProjectName]=ContinuousStatsTable[[#This Row],[ProjectName]])*ProjectInfoTable[NumberOfReplications]))</f>
        <v>10</v>
      </c>
      <c r="O206" s="5" cm="1">
        <f t="array" ref="O206">IFERROR(AVERAGE(IF((ContinuousStatsTable[GroupByKey]=ContinuousStatsTable[[#This Row],[GroupByKey]]),(ContinuousStatsTable[GroupByKey]=ContinuousStatsTable[[#This Row],[GroupByKey]])*ContinuousStatsTable[Average])),0)</f>
        <v>0.19175082727765341</v>
      </c>
      <c r="P206" s="5" cm="1">
        <f t="array" ref="P206">IFERROR(_xlfn.STDEV.S(IF((ContinuousStatsTable[GroupByKey]=ContinuousStatsTable[[#This Row],[GroupByKey]]),(ContinuousStatsTable[GroupByKey]=ContinuousStatsTable[[#This Row],[GroupByKey]])*ContinuousStatsTable[Average])),0)</f>
        <v>1.5966644693782381E-2</v>
      </c>
      <c r="Q206" s="5" cm="1">
        <f t="array" ref="Q206">MAX(IF((ProjectInfoTable[ProjectName]=ContinuousStatsTable[[#This Row],[ProjectName]]),(ProjectInfoTable[ProjectName]=ContinuousStatsTable[[#This Row],[ProjectName]])*ProjectInfoTable[ConfidenceInterval]))</f>
        <v>0.95</v>
      </c>
      <c r="R2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1.1421849546877095E-2</v>
      </c>
      <c r="S206" s="5" cm="1">
        <f t="array" ref="S206">MIN(IF((ContinuousStatsTable[GroupByKey]=ContinuousStatsTable[[#This Row],[GroupByKey]]),(ContinuousStatsTable[GroupByKey]=ContinuousStatsTable[[#This Row],[GroupByKey]])*ContinuousStatsTable[Average]))</f>
        <v>0.17015628683515099</v>
      </c>
      <c r="T206" s="5" cm="1">
        <f t="array" ref="T206">MAX(IF((ContinuousStatsTable[GroupByKey]=ContinuousStatsTable[[#This Row],[GroupByKey]]),(ContinuousStatsTable[GroupByKey]=ContinuousStatsTable[[#This Row],[GroupByKey]])*ContinuousStatsTable[Average]))</f>
        <v>0.217869952503708</v>
      </c>
      <c r="U206" s="5">
        <f>IF((ContinuousStatsTable[[#This Row],[RepsRequested]]&gt;1),ContinuousStatsTable[[#This Row],[HalfWidth]],ContinuousStatsTable[[#This Row],[BatchMeansHalfWidth]])</f>
        <v>1.1421849546877095E-2</v>
      </c>
    </row>
    <row r="207" spans="1:21" x14ac:dyDescent="0.25">
      <c r="A207" t="s">
        <v>67</v>
      </c>
      <c r="B207" t="s">
        <v>69</v>
      </c>
      <c r="C207">
        <v>8</v>
      </c>
      <c r="D207" t="s">
        <v>74</v>
      </c>
      <c r="E207" t="s">
        <v>101</v>
      </c>
      <c r="F207" t="s">
        <v>72</v>
      </c>
      <c r="G207">
        <v>4.6662912112384299E-3</v>
      </c>
      <c r="H207">
        <v>4.3472247236290299E-4</v>
      </c>
      <c r="I207">
        <v>0</v>
      </c>
      <c r="J207">
        <v>1</v>
      </c>
      <c r="K207">
        <v>0</v>
      </c>
      <c r="L207">
        <v>0</v>
      </c>
      <c r="M207" s="5" t="str">
        <f>ContinuousStatsTable[[#This Row],[ProjectName]]&amp;ContinuousStatsTable[[#This Row],[Name]]&amp;ContinuousStatsTable[[#This Row],[Type]]&amp;ContinuousStatsTable[[#This Row],[Source]]</f>
        <v>Unnamed ProjectNewPaintReqQNumber WaitingQueue</v>
      </c>
      <c r="N207" s="5" cm="1">
        <f t="array" ref="N207">MAX(IF((ProjectInfoTable[ProjectName]=ContinuousStatsTable[[#This Row],[ProjectName]]),(ProjectInfoTable[ProjectName]=ContinuousStatsTable[[#This Row],[ProjectName]])*ProjectInfoTable[NumberOfReplications]))</f>
        <v>10</v>
      </c>
      <c r="O207" s="5" cm="1">
        <f t="array" ref="O207">IFERROR(AVERAGE(IF((ContinuousStatsTable[GroupByKey]=ContinuousStatsTable[[#This Row],[GroupByKey]]),(ContinuousStatsTable[GroupByKey]=ContinuousStatsTable[[#This Row],[GroupByKey]])*ContinuousStatsTable[Average])),0)</f>
        <v>4.7461022101932173E-3</v>
      </c>
      <c r="P207" s="5" cm="1">
        <f t="array" ref="P207">IFERROR(_xlfn.STDEV.S(IF((ContinuousStatsTable[GroupByKey]=ContinuousStatsTable[[#This Row],[GroupByKey]]),(ContinuousStatsTable[GroupByKey]=ContinuousStatsTable[[#This Row],[GroupByKey]])*ContinuousStatsTable[Average])),0)</f>
        <v>2.0643575159293872E-4</v>
      </c>
      <c r="Q207" s="5" cm="1">
        <f t="array" ref="Q207">MAX(IF((ProjectInfoTable[ProjectName]=ContinuousStatsTable[[#This Row],[ProjectName]]),(ProjectInfoTable[ProjectName]=ContinuousStatsTable[[#This Row],[ProjectName]])*ProjectInfoTable[ConfidenceInterval]))</f>
        <v>0.95</v>
      </c>
      <c r="R2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1.4767524054125336E-4</v>
      </c>
      <c r="S207" s="5" cm="1">
        <f t="array" ref="S207">MIN(IF((ContinuousStatsTable[GroupByKey]=ContinuousStatsTable[[#This Row],[GroupByKey]]),(ContinuousStatsTable[GroupByKey]=ContinuousStatsTable[[#This Row],[GroupByKey]])*ContinuousStatsTable[Average]))</f>
        <v>4.3438456155572196E-3</v>
      </c>
      <c r="T207" s="5" cm="1">
        <f t="array" ref="T207">MAX(IF((ContinuousStatsTable[GroupByKey]=ContinuousStatsTable[[#This Row],[GroupByKey]]),(ContinuousStatsTable[GroupByKey]=ContinuousStatsTable[[#This Row],[GroupByKey]])*ContinuousStatsTable[Average]))</f>
        <v>5.0878342070728201E-3</v>
      </c>
      <c r="U207" s="5">
        <f>IF((ContinuousStatsTable[[#This Row],[RepsRequested]]&gt;1),ContinuousStatsTable[[#This Row],[HalfWidth]],ContinuousStatsTable[[#This Row],[BatchMeansHalfWidth]])</f>
        <v>1.4767524054125336E-4</v>
      </c>
    </row>
    <row r="208" spans="1:21" x14ac:dyDescent="0.25">
      <c r="A208" t="s">
        <v>67</v>
      </c>
      <c r="B208" t="s">
        <v>69</v>
      </c>
      <c r="C208">
        <v>8</v>
      </c>
      <c r="D208" t="s">
        <v>75</v>
      </c>
      <c r="E208" t="s">
        <v>103</v>
      </c>
      <c r="F208" t="s">
        <v>77</v>
      </c>
      <c r="G208">
        <v>2.5355085097002199</v>
      </c>
      <c r="H208">
        <v>0.114128442369172</v>
      </c>
      <c r="I208">
        <v>0</v>
      </c>
      <c r="J208">
        <v>13</v>
      </c>
      <c r="K208">
        <v>3</v>
      </c>
      <c r="L208">
        <v>0</v>
      </c>
      <c r="M208" s="5" t="str">
        <f>ContinuousStatsTable[[#This Row],[ProjectName]]&amp;ContinuousStatsTable[[#This Row],[Name]]&amp;ContinuousStatsTable[[#This Row],[Type]]&amp;ContinuousStatsTable[[#This Row],[Source]]</f>
        <v>Unnamed ProjectNewPartWIPEntity</v>
      </c>
      <c r="N208" s="5" cm="1">
        <f t="array" ref="N208">MAX(IF((ProjectInfoTable[ProjectName]=ContinuousStatsTable[[#This Row],[ProjectName]]),(ProjectInfoTable[ProjectName]=ContinuousStatsTable[[#This Row],[ProjectName]])*ProjectInfoTable[NumberOfReplications]))</f>
        <v>10</v>
      </c>
      <c r="O208" s="5" cm="1">
        <f t="array" ref="O208">IFERROR(AVERAGE(IF((ContinuousStatsTable[GroupByKey]=ContinuousStatsTable[[#This Row],[GroupByKey]]),(ContinuousStatsTable[GroupByKey]=ContinuousStatsTable[[#This Row],[GroupByKey]])*ContinuousStatsTable[Average])),0)</f>
        <v>2.5498900061729541</v>
      </c>
      <c r="P208" s="5" cm="1">
        <f t="array" ref="P208">IFERROR(_xlfn.STDEV.S(IF((ContinuousStatsTable[GroupByKey]=ContinuousStatsTable[[#This Row],[GroupByKey]]),(ContinuousStatsTable[GroupByKey]=ContinuousStatsTable[[#This Row],[GroupByKey]])*ContinuousStatsTable[Average])),0)</f>
        <v>7.472159430415927E-2</v>
      </c>
      <c r="Q208" s="5" cm="1">
        <f t="array" ref="Q208">MAX(IF((ProjectInfoTable[ProjectName]=ContinuousStatsTable[[#This Row],[ProjectName]]),(ProjectInfoTable[ProjectName]=ContinuousStatsTable[[#This Row],[ProjectName]])*ProjectInfoTable[ConfidenceInterval]))</f>
        <v>0.95</v>
      </c>
      <c r="R2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5.3452608510618609E-2</v>
      </c>
      <c r="S208" s="5" cm="1">
        <f t="array" ref="S208">MIN(IF((ContinuousStatsTable[GroupByKey]=ContinuousStatsTable[[#This Row],[GroupByKey]]),(ContinuousStatsTable[GroupByKey]=ContinuousStatsTable[[#This Row],[GroupByKey]])*ContinuousStatsTable[Average]))</f>
        <v>2.4192292508998099</v>
      </c>
      <c r="T208" s="5" cm="1">
        <f t="array" ref="T208">MAX(IF((ContinuousStatsTable[GroupByKey]=ContinuousStatsTable[[#This Row],[GroupByKey]]),(ContinuousStatsTable[GroupByKey]=ContinuousStatsTable[[#This Row],[GroupByKey]])*ContinuousStatsTable[Average]))</f>
        <v>2.6620431560013098</v>
      </c>
      <c r="U208" s="5">
        <f>IF((ContinuousStatsTable[[#This Row],[RepsRequested]]&gt;1),ContinuousStatsTable[[#This Row],[HalfWidth]],ContinuousStatsTable[[#This Row],[BatchMeansHalfWidth]])</f>
        <v>5.3452608510618609E-2</v>
      </c>
    </row>
    <row r="209" spans="1:21" x14ac:dyDescent="0.25">
      <c r="A209" t="s">
        <v>67</v>
      </c>
      <c r="B209" t="s">
        <v>69</v>
      </c>
      <c r="C209">
        <v>8</v>
      </c>
      <c r="D209" t="s">
        <v>83</v>
      </c>
      <c r="E209" t="s">
        <v>103</v>
      </c>
      <c r="F209" t="s">
        <v>77</v>
      </c>
      <c r="G209">
        <v>4.9947907719369598</v>
      </c>
      <c r="H209">
        <v>0.16919177156719301</v>
      </c>
      <c r="I209">
        <v>0</v>
      </c>
      <c r="J209">
        <v>23</v>
      </c>
      <c r="K209">
        <v>6</v>
      </c>
      <c r="L209">
        <v>0</v>
      </c>
      <c r="M209" s="5" t="str">
        <f>ContinuousStatsTable[[#This Row],[ProjectName]]&amp;ContinuousStatsTable[[#This Row],[Name]]&amp;ContinuousStatsTable[[#This Row],[Type]]&amp;ContinuousStatsTable[[#This Row],[Source]]</f>
        <v>Unnamed ProjectOldPartWIPEntity</v>
      </c>
      <c r="N209" s="5" cm="1">
        <f t="array" ref="N209">MAX(IF((ProjectInfoTable[ProjectName]=ContinuousStatsTable[[#This Row],[ProjectName]]),(ProjectInfoTable[ProjectName]=ContinuousStatsTable[[#This Row],[ProjectName]])*ProjectInfoTable[NumberOfReplications]))</f>
        <v>10</v>
      </c>
      <c r="O209" s="5" cm="1">
        <f t="array" ref="O209">IFERROR(AVERAGE(IF((ContinuousStatsTable[GroupByKey]=ContinuousStatsTable[[#This Row],[GroupByKey]]),(ContinuousStatsTable[GroupByKey]=ContinuousStatsTable[[#This Row],[GroupByKey]])*ContinuousStatsTable[Average])),0)</f>
        <v>4.9513834264802963</v>
      </c>
      <c r="P209" s="5" cm="1">
        <f t="array" ref="P209">IFERROR(_xlfn.STDEV.S(IF((ContinuousStatsTable[GroupByKey]=ContinuousStatsTable[[#This Row],[GroupByKey]]),(ContinuousStatsTable[GroupByKey]=ContinuousStatsTable[[#This Row],[GroupByKey]])*ContinuousStatsTable[Average])),0)</f>
        <v>0.10244397191297382</v>
      </c>
      <c r="Q209" s="5" cm="1">
        <f t="array" ref="Q209">MAX(IF((ProjectInfoTable[ProjectName]=ContinuousStatsTable[[#This Row],[ProjectName]]),(ProjectInfoTable[ProjectName]=ContinuousStatsTable[[#This Row],[ProjectName]])*ProjectInfoTable[ConfidenceInterval]))</f>
        <v>0.95</v>
      </c>
      <c r="R2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7.3284002783010616E-2</v>
      </c>
      <c r="S209" s="5" cm="1">
        <f t="array" ref="S209">MIN(IF((ContinuousStatsTable[GroupByKey]=ContinuousStatsTable[[#This Row],[GroupByKey]]),(ContinuousStatsTable[GroupByKey]=ContinuousStatsTable[[#This Row],[GroupByKey]])*ContinuousStatsTable[Average]))</f>
        <v>4.82855853416822</v>
      </c>
      <c r="T209" s="5" cm="1">
        <f t="array" ref="T209">MAX(IF((ContinuousStatsTable[GroupByKey]=ContinuousStatsTable[[#This Row],[GroupByKey]]),(ContinuousStatsTable[GroupByKey]=ContinuousStatsTable[[#This Row],[GroupByKey]])*ContinuousStatsTable[Average]))</f>
        <v>5.1212851674768203</v>
      </c>
      <c r="U209" s="5">
        <f>IF((ContinuousStatsTable[[#This Row],[RepsRequested]]&gt;1),ContinuousStatsTable[[#This Row],[HalfWidth]],ContinuousStatsTable[[#This Row],[BatchMeansHalfWidth]])</f>
        <v>7.3284002783010616E-2</v>
      </c>
    </row>
    <row r="210" spans="1:21" x14ac:dyDescent="0.25">
      <c r="A210" t="s">
        <v>67</v>
      </c>
      <c r="B210" t="s">
        <v>69</v>
      </c>
      <c r="C210">
        <v>8</v>
      </c>
      <c r="D210" t="s">
        <v>107</v>
      </c>
      <c r="E210" t="s">
        <v>105</v>
      </c>
      <c r="F210" t="s">
        <v>106</v>
      </c>
      <c r="G210">
        <v>0.81848735620133495</v>
      </c>
      <c r="H210">
        <v>1.06265214313719E-2</v>
      </c>
      <c r="I210">
        <v>0</v>
      </c>
      <c r="J210">
        <v>1</v>
      </c>
      <c r="K210">
        <v>1</v>
      </c>
      <c r="L210">
        <v>0</v>
      </c>
      <c r="M210" s="5" t="str">
        <f>ContinuousStatsTable[[#This Row],[ProjectName]]&amp;ContinuousStatsTable[[#This Row],[Name]]&amp;ContinuousStatsTable[[#This Row],[Type]]&amp;ContinuousStatsTable[[#This Row],[Source]]</f>
        <v>Unnamed ProjectPACKERInstantaneous UtilizationResource</v>
      </c>
      <c r="N210" s="5" cm="1">
        <f t="array" ref="N210">MAX(IF((ProjectInfoTable[ProjectName]=ContinuousStatsTable[[#This Row],[ProjectName]]),(ProjectInfoTable[ProjectName]=ContinuousStatsTable[[#This Row],[ProjectName]])*ProjectInfoTable[NumberOfReplications]))</f>
        <v>10</v>
      </c>
      <c r="O210" s="5" cm="1">
        <f t="array" ref="O210">IFERROR(AVERAGE(IF((ContinuousStatsTable[GroupByKey]=ContinuousStatsTable[[#This Row],[GroupByKey]]),(ContinuousStatsTable[GroupByKey]=ContinuousStatsTable[[#This Row],[GroupByKey]])*ContinuousStatsTable[Average])),0)</f>
        <v>0.81557194281027567</v>
      </c>
      <c r="P210" s="5" cm="1">
        <f t="array" ref="P210">IFERROR(_xlfn.STDEV.S(IF((ContinuousStatsTable[GroupByKey]=ContinuousStatsTable[[#This Row],[GroupByKey]]),(ContinuousStatsTable[GroupByKey]=ContinuousStatsTable[[#This Row],[GroupByKey]])*ContinuousStatsTable[Average])),0)</f>
        <v>6.9416851287817331E-3</v>
      </c>
      <c r="Q210" s="5" cm="1">
        <f t="array" ref="Q210">MAX(IF((ProjectInfoTable[ProjectName]=ContinuousStatsTable[[#This Row],[ProjectName]]),(ProjectInfoTable[ProjectName]=ContinuousStatsTable[[#This Row],[ProjectName]])*ProjectInfoTable[ConfidenceInterval]))</f>
        <v>0.95</v>
      </c>
      <c r="R2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4.9657823959478754E-3</v>
      </c>
      <c r="S210" s="5" cm="1">
        <f t="array" ref="S210">MIN(IF((ContinuousStatsTable[GroupByKey]=ContinuousStatsTable[[#This Row],[GroupByKey]]),(ContinuousStatsTable[GroupByKey]=ContinuousStatsTable[[#This Row],[GroupByKey]])*ContinuousStatsTable[Average]))</f>
        <v>0.80675605099888203</v>
      </c>
      <c r="T210" s="5" cm="1">
        <f t="array" ref="T210">MAX(IF((ContinuousStatsTable[GroupByKey]=ContinuousStatsTable[[#This Row],[GroupByKey]]),(ContinuousStatsTable[GroupByKey]=ContinuousStatsTable[[#This Row],[GroupByKey]])*ContinuousStatsTable[Average]))</f>
        <v>0.82818429749007605</v>
      </c>
      <c r="U210" s="5">
        <f>IF((ContinuousStatsTable[[#This Row],[RepsRequested]]&gt;1),ContinuousStatsTable[[#This Row],[HalfWidth]],ContinuousStatsTable[[#This Row],[BatchMeansHalfWidth]])</f>
        <v>4.9657823959478754E-3</v>
      </c>
    </row>
    <row r="211" spans="1:21" x14ac:dyDescent="0.25">
      <c r="A211" t="s">
        <v>67</v>
      </c>
      <c r="B211" t="s">
        <v>69</v>
      </c>
      <c r="C211">
        <v>8</v>
      </c>
      <c r="D211" t="s">
        <v>107</v>
      </c>
      <c r="E211" t="s">
        <v>97</v>
      </c>
      <c r="F211" t="s">
        <v>106</v>
      </c>
      <c r="G211">
        <v>0.81848735620133495</v>
      </c>
      <c r="H211">
        <v>1.06265214313719E-2</v>
      </c>
      <c r="I211">
        <v>0</v>
      </c>
      <c r="J211">
        <v>1</v>
      </c>
      <c r="K211">
        <v>1</v>
      </c>
      <c r="L211">
        <v>0</v>
      </c>
      <c r="M211" s="5" t="str">
        <f>ContinuousStatsTable[[#This Row],[ProjectName]]&amp;ContinuousStatsTable[[#This Row],[Name]]&amp;ContinuousStatsTable[[#This Row],[Type]]&amp;ContinuousStatsTable[[#This Row],[Source]]</f>
        <v>Unnamed ProjectPACKERNumber BusyResource</v>
      </c>
      <c r="N211" s="5" cm="1">
        <f t="array" ref="N211">MAX(IF((ProjectInfoTable[ProjectName]=ContinuousStatsTable[[#This Row],[ProjectName]]),(ProjectInfoTable[ProjectName]=ContinuousStatsTable[[#This Row],[ProjectName]])*ProjectInfoTable[NumberOfReplications]))</f>
        <v>10</v>
      </c>
      <c r="O211" s="5" cm="1">
        <f t="array" ref="O211">IFERROR(AVERAGE(IF((ContinuousStatsTable[GroupByKey]=ContinuousStatsTable[[#This Row],[GroupByKey]]),(ContinuousStatsTable[GroupByKey]=ContinuousStatsTable[[#This Row],[GroupByKey]])*ContinuousStatsTable[Average])),0)</f>
        <v>0.81557194281027567</v>
      </c>
      <c r="P211" s="5" cm="1">
        <f t="array" ref="P211">IFERROR(_xlfn.STDEV.S(IF((ContinuousStatsTable[GroupByKey]=ContinuousStatsTable[[#This Row],[GroupByKey]]),(ContinuousStatsTable[GroupByKey]=ContinuousStatsTable[[#This Row],[GroupByKey]])*ContinuousStatsTable[Average])),0)</f>
        <v>6.9416851287817331E-3</v>
      </c>
      <c r="Q211" s="5" cm="1">
        <f t="array" ref="Q211">MAX(IF((ProjectInfoTable[ProjectName]=ContinuousStatsTable[[#This Row],[ProjectName]]),(ProjectInfoTable[ProjectName]=ContinuousStatsTable[[#This Row],[ProjectName]])*ProjectInfoTable[ConfidenceInterval]))</f>
        <v>0.95</v>
      </c>
      <c r="R2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4.9657823959478754E-3</v>
      </c>
      <c r="S211" s="5" cm="1">
        <f t="array" ref="S211">MIN(IF((ContinuousStatsTable[GroupByKey]=ContinuousStatsTable[[#This Row],[GroupByKey]]),(ContinuousStatsTable[GroupByKey]=ContinuousStatsTable[[#This Row],[GroupByKey]])*ContinuousStatsTable[Average]))</f>
        <v>0.80675605099888203</v>
      </c>
      <c r="T211" s="5" cm="1">
        <f t="array" ref="T211">MAX(IF((ContinuousStatsTable[GroupByKey]=ContinuousStatsTable[[#This Row],[GroupByKey]]),(ContinuousStatsTable[GroupByKey]=ContinuousStatsTable[[#This Row],[GroupByKey]])*ContinuousStatsTable[Average]))</f>
        <v>0.82818429749007605</v>
      </c>
      <c r="U211" s="5">
        <f>IF((ContinuousStatsTable[[#This Row],[RepsRequested]]&gt;1),ContinuousStatsTable[[#This Row],[HalfWidth]],ContinuousStatsTable[[#This Row],[BatchMeansHalfWidth]])</f>
        <v>4.9657823959478754E-3</v>
      </c>
    </row>
    <row r="212" spans="1:21" x14ac:dyDescent="0.25">
      <c r="A212" t="s">
        <v>67</v>
      </c>
      <c r="B212" t="s">
        <v>69</v>
      </c>
      <c r="C212">
        <v>8</v>
      </c>
      <c r="D212" t="s">
        <v>107</v>
      </c>
      <c r="E212" t="s">
        <v>99</v>
      </c>
      <c r="F212" t="s">
        <v>106</v>
      </c>
      <c r="G212">
        <v>1</v>
      </c>
      <c r="H212">
        <v>2E+20</v>
      </c>
      <c r="I212">
        <v>1</v>
      </c>
      <c r="J212">
        <v>1</v>
      </c>
      <c r="K212">
        <v>1</v>
      </c>
      <c r="L212">
        <v>0</v>
      </c>
      <c r="M212" s="5" t="str">
        <f>ContinuousStatsTable[[#This Row],[ProjectName]]&amp;ContinuousStatsTable[[#This Row],[Name]]&amp;ContinuousStatsTable[[#This Row],[Type]]&amp;ContinuousStatsTable[[#This Row],[Source]]</f>
        <v>Unnamed ProjectPACKERNumber ScheduledResource</v>
      </c>
      <c r="N212" s="5" cm="1">
        <f t="array" ref="N212">MAX(IF((ProjectInfoTable[ProjectName]=ContinuousStatsTable[[#This Row],[ProjectName]]),(ProjectInfoTable[ProjectName]=ContinuousStatsTable[[#This Row],[ProjectName]])*ProjectInfoTable[NumberOfReplications]))</f>
        <v>10</v>
      </c>
      <c r="O212" s="5" cm="1">
        <f t="array" ref="O212">IFERROR(AVERAGE(IF((ContinuousStatsTable[GroupByKey]=ContinuousStatsTable[[#This Row],[GroupByKey]]),(ContinuousStatsTable[GroupByKey]=ContinuousStatsTable[[#This Row],[GroupByKey]])*ContinuousStatsTable[Average])),0)</f>
        <v>1</v>
      </c>
      <c r="P212" s="5" cm="1">
        <f t="array" ref="P212">IFERROR(_xlfn.STDEV.S(IF((ContinuousStatsTable[GroupByKey]=ContinuousStatsTable[[#This Row],[GroupByKey]]),(ContinuousStatsTable[GroupByKey]=ContinuousStatsTable[[#This Row],[GroupByKey]])*ContinuousStatsTable[Average])),0)</f>
        <v>0</v>
      </c>
      <c r="Q212" s="5" cm="1">
        <f t="array" ref="Q212">MAX(IF((ProjectInfoTable[ProjectName]=ContinuousStatsTable[[#This Row],[ProjectName]]),(ProjectInfoTable[ProjectName]=ContinuousStatsTable[[#This Row],[ProjectName]])*ProjectInfoTable[ConfidenceInterval]))</f>
        <v>0.95</v>
      </c>
      <c r="R2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2" s="5" cm="1">
        <f t="array" ref="S212">MIN(IF((ContinuousStatsTable[GroupByKey]=ContinuousStatsTable[[#This Row],[GroupByKey]]),(ContinuousStatsTable[GroupByKey]=ContinuousStatsTable[[#This Row],[GroupByKey]])*ContinuousStatsTable[Average]))</f>
        <v>1</v>
      </c>
      <c r="T212" s="5" cm="1">
        <f t="array" ref="T212">MAX(IF((ContinuousStatsTable[GroupByKey]=ContinuousStatsTable[[#This Row],[GroupByKey]]),(ContinuousStatsTable[GroupByKey]=ContinuousStatsTable[[#This Row],[GroupByKey]])*ContinuousStatsTable[Average]))</f>
        <v>1</v>
      </c>
      <c r="U212" s="5">
        <f>IF((ContinuousStatsTable[[#This Row],[RepsRequested]]&gt;1),ContinuousStatsTable[[#This Row],[HalfWidth]],ContinuousStatsTable[[#This Row],[BatchMeansHalfWidth]])</f>
        <v>0</v>
      </c>
    </row>
    <row r="213" spans="1:21" x14ac:dyDescent="0.25">
      <c r="A213" t="s">
        <v>67</v>
      </c>
      <c r="B213" t="s">
        <v>69</v>
      </c>
      <c r="C213">
        <v>8</v>
      </c>
      <c r="D213" t="s">
        <v>108</v>
      </c>
      <c r="E213" t="s">
        <v>105</v>
      </c>
      <c r="F213" t="s">
        <v>106</v>
      </c>
      <c r="G213">
        <v>0.55186795556101498</v>
      </c>
      <c r="H213">
        <v>8.7033417430335998E-3</v>
      </c>
      <c r="I213">
        <v>0</v>
      </c>
      <c r="J213">
        <v>1</v>
      </c>
      <c r="K213">
        <v>1</v>
      </c>
      <c r="L213">
        <v>0</v>
      </c>
      <c r="M213" s="5" t="str">
        <f>ContinuousStatsTable[[#This Row],[ProjectName]]&amp;ContinuousStatsTable[[#This Row],[Name]]&amp;ContinuousStatsTable[[#This Row],[Type]]&amp;ContinuousStatsTable[[#This Row],[Source]]</f>
        <v>Unnamed ProjectPAINTERInstantaneous UtilizationResource</v>
      </c>
      <c r="N213" s="5" cm="1">
        <f t="array" ref="N213">MAX(IF((ProjectInfoTable[ProjectName]=ContinuousStatsTable[[#This Row],[ProjectName]]),(ProjectInfoTable[ProjectName]=ContinuousStatsTable[[#This Row],[ProjectName]])*ProjectInfoTable[NumberOfReplications]))</f>
        <v>10</v>
      </c>
      <c r="O213" s="5" cm="1">
        <f t="array" ref="O213">IFERROR(AVERAGE(IF((ContinuousStatsTable[GroupByKey]=ContinuousStatsTable[[#This Row],[GroupByKey]]),(ContinuousStatsTable[GroupByKey]=ContinuousStatsTable[[#This Row],[GroupByKey]])*ContinuousStatsTable[Average])),0)</f>
        <v>0.54938142053560801</v>
      </c>
      <c r="P213" s="5" cm="1">
        <f t="array" ref="P213">IFERROR(_xlfn.STDEV.S(IF((ContinuousStatsTable[GroupByKey]=ContinuousStatsTable[[#This Row],[GroupByKey]]),(ContinuousStatsTable[GroupByKey]=ContinuousStatsTable[[#This Row],[GroupByKey]])*ContinuousStatsTable[Average])),0)</f>
        <v>4.5196387022068685E-3</v>
      </c>
      <c r="Q213" s="5" cm="1">
        <f t="array" ref="Q213">MAX(IF((ProjectInfoTable[ProjectName]=ContinuousStatsTable[[#This Row],[ProjectName]]),(ProjectInfoTable[ProjectName]=ContinuousStatsTable[[#This Row],[ProjectName]])*ProjectInfoTable[ConfidenceInterval]))</f>
        <v>0.95</v>
      </c>
      <c r="R2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3.2331547581159752E-3</v>
      </c>
      <c r="S213" s="5" cm="1">
        <f t="array" ref="S213">MIN(IF((ContinuousStatsTable[GroupByKey]=ContinuousStatsTable[[#This Row],[GroupByKey]]),(ContinuousStatsTable[GroupByKey]=ContinuousStatsTable[[#This Row],[GroupByKey]])*ContinuousStatsTable[Average]))</f>
        <v>0.54030874063430001</v>
      </c>
      <c r="T213" s="5" cm="1">
        <f t="array" ref="T213">MAX(IF((ContinuousStatsTable[GroupByKey]=ContinuousStatsTable[[#This Row],[GroupByKey]]),(ContinuousStatsTable[GroupByKey]=ContinuousStatsTable[[#This Row],[GroupByKey]])*ContinuousStatsTable[Average]))</f>
        <v>0.55566835138728998</v>
      </c>
      <c r="U213" s="5">
        <f>IF((ContinuousStatsTable[[#This Row],[RepsRequested]]&gt;1),ContinuousStatsTable[[#This Row],[HalfWidth]],ContinuousStatsTable[[#This Row],[BatchMeansHalfWidth]])</f>
        <v>3.2331547581159752E-3</v>
      </c>
    </row>
    <row r="214" spans="1:21" x14ac:dyDescent="0.25">
      <c r="A214" t="s">
        <v>67</v>
      </c>
      <c r="B214" t="s">
        <v>69</v>
      </c>
      <c r="C214">
        <v>8</v>
      </c>
      <c r="D214" t="s">
        <v>108</v>
      </c>
      <c r="E214" t="s">
        <v>97</v>
      </c>
      <c r="F214" t="s">
        <v>106</v>
      </c>
      <c r="G214">
        <v>0.55186795556101498</v>
      </c>
      <c r="H214">
        <v>8.7033417430335998E-3</v>
      </c>
      <c r="I214">
        <v>0</v>
      </c>
      <c r="J214">
        <v>1</v>
      </c>
      <c r="K214">
        <v>1</v>
      </c>
      <c r="L214">
        <v>0</v>
      </c>
      <c r="M214" s="5" t="str">
        <f>ContinuousStatsTable[[#This Row],[ProjectName]]&amp;ContinuousStatsTable[[#This Row],[Name]]&amp;ContinuousStatsTable[[#This Row],[Type]]&amp;ContinuousStatsTable[[#This Row],[Source]]</f>
        <v>Unnamed ProjectPAINTERNumber BusyResource</v>
      </c>
      <c r="N214" s="5" cm="1">
        <f t="array" ref="N214">MAX(IF((ProjectInfoTable[ProjectName]=ContinuousStatsTable[[#This Row],[ProjectName]]),(ProjectInfoTable[ProjectName]=ContinuousStatsTable[[#This Row],[ProjectName]])*ProjectInfoTable[NumberOfReplications]))</f>
        <v>10</v>
      </c>
      <c r="O214" s="5" cm="1">
        <f t="array" ref="O214">IFERROR(AVERAGE(IF((ContinuousStatsTable[GroupByKey]=ContinuousStatsTable[[#This Row],[GroupByKey]]),(ContinuousStatsTable[GroupByKey]=ContinuousStatsTable[[#This Row],[GroupByKey]])*ContinuousStatsTable[Average])),0)</f>
        <v>0.54938142053560801</v>
      </c>
      <c r="P214" s="5" cm="1">
        <f t="array" ref="P214">IFERROR(_xlfn.STDEV.S(IF((ContinuousStatsTable[GroupByKey]=ContinuousStatsTable[[#This Row],[GroupByKey]]),(ContinuousStatsTable[GroupByKey]=ContinuousStatsTable[[#This Row],[GroupByKey]])*ContinuousStatsTable[Average])),0)</f>
        <v>4.5196387022068685E-3</v>
      </c>
      <c r="Q214" s="5" cm="1">
        <f t="array" ref="Q214">MAX(IF((ProjectInfoTable[ProjectName]=ContinuousStatsTable[[#This Row],[ProjectName]]),(ProjectInfoTable[ProjectName]=ContinuousStatsTable[[#This Row],[ProjectName]])*ProjectInfoTable[ConfidenceInterval]))</f>
        <v>0.95</v>
      </c>
      <c r="R2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3.2331547581159752E-3</v>
      </c>
      <c r="S214" s="5" cm="1">
        <f t="array" ref="S214">MIN(IF((ContinuousStatsTable[GroupByKey]=ContinuousStatsTable[[#This Row],[GroupByKey]]),(ContinuousStatsTable[GroupByKey]=ContinuousStatsTable[[#This Row],[GroupByKey]])*ContinuousStatsTable[Average]))</f>
        <v>0.54030874063430001</v>
      </c>
      <c r="T214" s="5" cm="1">
        <f t="array" ref="T214">MAX(IF((ContinuousStatsTable[GroupByKey]=ContinuousStatsTable[[#This Row],[GroupByKey]]),(ContinuousStatsTable[GroupByKey]=ContinuousStatsTable[[#This Row],[GroupByKey]])*ContinuousStatsTable[Average]))</f>
        <v>0.55566835138728998</v>
      </c>
      <c r="U214" s="5">
        <f>IF((ContinuousStatsTable[[#This Row],[RepsRequested]]&gt;1),ContinuousStatsTable[[#This Row],[HalfWidth]],ContinuousStatsTable[[#This Row],[BatchMeansHalfWidth]])</f>
        <v>3.2331547581159752E-3</v>
      </c>
    </row>
    <row r="215" spans="1:21" x14ac:dyDescent="0.25">
      <c r="A215" t="s">
        <v>67</v>
      </c>
      <c r="B215" t="s">
        <v>69</v>
      </c>
      <c r="C215">
        <v>8</v>
      </c>
      <c r="D215" t="s">
        <v>108</v>
      </c>
      <c r="E215" t="s">
        <v>99</v>
      </c>
      <c r="F215" t="s">
        <v>106</v>
      </c>
      <c r="G215">
        <v>1</v>
      </c>
      <c r="H215">
        <v>2E+20</v>
      </c>
      <c r="I215">
        <v>1</v>
      </c>
      <c r="J215">
        <v>1</v>
      </c>
      <c r="K215">
        <v>1</v>
      </c>
      <c r="L215">
        <v>0</v>
      </c>
      <c r="M215" s="5" t="str">
        <f>ContinuousStatsTable[[#This Row],[ProjectName]]&amp;ContinuousStatsTable[[#This Row],[Name]]&amp;ContinuousStatsTable[[#This Row],[Type]]&amp;ContinuousStatsTable[[#This Row],[Source]]</f>
        <v>Unnamed ProjectPAINTERNumber ScheduledResource</v>
      </c>
      <c r="N215" s="5" cm="1">
        <f t="array" ref="N215">MAX(IF((ProjectInfoTable[ProjectName]=ContinuousStatsTable[[#This Row],[ProjectName]]),(ProjectInfoTable[ProjectName]=ContinuousStatsTable[[#This Row],[ProjectName]])*ProjectInfoTable[NumberOfReplications]))</f>
        <v>10</v>
      </c>
      <c r="O215" s="5" cm="1">
        <f t="array" ref="O215">IFERROR(AVERAGE(IF((ContinuousStatsTable[GroupByKey]=ContinuousStatsTable[[#This Row],[GroupByKey]]),(ContinuousStatsTable[GroupByKey]=ContinuousStatsTable[[#This Row],[GroupByKey]])*ContinuousStatsTable[Average])),0)</f>
        <v>1</v>
      </c>
      <c r="P215" s="5" cm="1">
        <f t="array" ref="P215">IFERROR(_xlfn.STDEV.S(IF((ContinuousStatsTable[GroupByKey]=ContinuousStatsTable[[#This Row],[GroupByKey]]),(ContinuousStatsTable[GroupByKey]=ContinuousStatsTable[[#This Row],[GroupByKey]])*ContinuousStatsTable[Average])),0)</f>
        <v>0</v>
      </c>
      <c r="Q215" s="5" cm="1">
        <f t="array" ref="Q215">MAX(IF((ProjectInfoTable[ProjectName]=ContinuousStatsTable[[#This Row],[ProjectName]]),(ProjectInfoTable[ProjectName]=ContinuousStatsTable[[#This Row],[ProjectName]])*ProjectInfoTable[ConfidenceInterval]))</f>
        <v>0.95</v>
      </c>
      <c r="R2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5" s="5" cm="1">
        <f t="array" ref="S215">MIN(IF((ContinuousStatsTable[GroupByKey]=ContinuousStatsTable[[#This Row],[GroupByKey]]),(ContinuousStatsTable[GroupByKey]=ContinuousStatsTable[[#This Row],[GroupByKey]])*ContinuousStatsTable[Average]))</f>
        <v>1</v>
      </c>
      <c r="T215" s="5" cm="1">
        <f t="array" ref="T215">MAX(IF((ContinuousStatsTable[GroupByKey]=ContinuousStatsTable[[#This Row],[GroupByKey]]),(ContinuousStatsTable[GroupByKey]=ContinuousStatsTable[[#This Row],[GroupByKey]])*ContinuousStatsTable[Average]))</f>
        <v>1</v>
      </c>
      <c r="U215" s="5">
        <f>IF((ContinuousStatsTable[[#This Row],[RepsRequested]]&gt;1),ContinuousStatsTable[[#This Row],[HalfWidth]],ContinuousStatsTable[[#This Row],[BatchMeansHalfWidth]])</f>
        <v>0</v>
      </c>
    </row>
    <row r="216" spans="1:21" x14ac:dyDescent="0.25">
      <c r="A216" t="s">
        <v>67</v>
      </c>
      <c r="B216" t="s">
        <v>69</v>
      </c>
      <c r="C216">
        <v>8</v>
      </c>
      <c r="D216" t="s">
        <v>84</v>
      </c>
      <c r="E216" t="s">
        <v>101</v>
      </c>
      <c r="F216" t="s">
        <v>72</v>
      </c>
      <c r="G216">
        <v>0.61345457047356799</v>
      </c>
      <c r="H216">
        <v>5.2631393540587303E-2</v>
      </c>
      <c r="I216">
        <v>0</v>
      </c>
      <c r="J216">
        <v>5</v>
      </c>
      <c r="K216">
        <v>1</v>
      </c>
      <c r="L216">
        <v>0</v>
      </c>
      <c r="M216" s="5" t="str">
        <f>ContinuousStatsTable[[#This Row],[ProjectName]]&amp;ContinuousStatsTable[[#This Row],[Name]]&amp;ContinuousStatsTable[[#This Row],[Type]]&amp;ContinuousStatsTable[[#This Row],[Source]]</f>
        <v>Unnamed ProjectPackQNumber WaitingQueue</v>
      </c>
      <c r="N216" s="5" cm="1">
        <f t="array" ref="N216">MAX(IF((ProjectInfoTable[ProjectName]=ContinuousStatsTable[[#This Row],[ProjectName]]),(ProjectInfoTable[ProjectName]=ContinuousStatsTable[[#This Row],[ProjectName]])*ProjectInfoTable[NumberOfReplications]))</f>
        <v>10</v>
      </c>
      <c r="O216" s="5" cm="1">
        <f t="array" ref="O216">IFERROR(AVERAGE(IF((ContinuousStatsTable[GroupByKey]=ContinuousStatsTable[[#This Row],[GroupByKey]]),(ContinuousStatsTable[GroupByKey]=ContinuousStatsTable[[#This Row],[GroupByKey]])*ContinuousStatsTable[Average])),0)</f>
        <v>0.5830563488318371</v>
      </c>
      <c r="P216" s="5" cm="1">
        <f t="array" ref="P216">IFERROR(_xlfn.STDEV.S(IF((ContinuousStatsTable[GroupByKey]=ContinuousStatsTable[[#This Row],[GroupByKey]]),(ContinuousStatsTable[GroupByKey]=ContinuousStatsTable[[#This Row],[GroupByKey]])*ContinuousStatsTable[Average])),0)</f>
        <v>3.7349781067397253E-2</v>
      </c>
      <c r="Q216" s="5" cm="1">
        <f t="array" ref="Q216">MAX(IF((ProjectInfoTable[ProjectName]=ContinuousStatsTable[[#This Row],[ProjectName]]),(ProjectInfoTable[ProjectName]=ContinuousStatsTable[[#This Row],[ProjectName]])*ProjectInfoTable[ConfidenceInterval]))</f>
        <v>0.95</v>
      </c>
      <c r="R2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2.6718423823055008E-2</v>
      </c>
      <c r="S216" s="5" cm="1">
        <f t="array" ref="S216">MIN(IF((ContinuousStatsTable[GroupByKey]=ContinuousStatsTable[[#This Row],[GroupByKey]]),(ContinuousStatsTable[GroupByKey]=ContinuousStatsTable[[#This Row],[GroupByKey]])*ContinuousStatsTable[Average]))</f>
        <v>0.51031500523829298</v>
      </c>
      <c r="T216" s="5" cm="1">
        <f t="array" ref="T216">MAX(IF((ContinuousStatsTable[GroupByKey]=ContinuousStatsTable[[#This Row],[GroupByKey]]),(ContinuousStatsTable[GroupByKey]=ContinuousStatsTable[[#This Row],[GroupByKey]])*ContinuousStatsTable[Average]))</f>
        <v>0.63800950130876</v>
      </c>
      <c r="U216" s="5">
        <f>IF((ContinuousStatsTable[[#This Row],[RepsRequested]]&gt;1),ContinuousStatsTable[[#This Row],[HalfWidth]],ContinuousStatsTable[[#This Row],[BatchMeansHalfWidth]])</f>
        <v>2.6718423823055008E-2</v>
      </c>
    </row>
    <row r="217" spans="1:21" x14ac:dyDescent="0.25">
      <c r="A217" t="s">
        <v>67</v>
      </c>
      <c r="B217" t="s">
        <v>69</v>
      </c>
      <c r="C217">
        <v>8</v>
      </c>
      <c r="D217" t="s">
        <v>85</v>
      </c>
      <c r="E217" t="s">
        <v>101</v>
      </c>
      <c r="F217" t="s">
        <v>72</v>
      </c>
      <c r="G217">
        <v>1.5184686380194601E-2</v>
      </c>
      <c r="H217">
        <v>1.1101606051776699E-3</v>
      </c>
      <c r="I217">
        <v>0</v>
      </c>
      <c r="J217">
        <v>1</v>
      </c>
      <c r="K217">
        <v>0</v>
      </c>
      <c r="L217">
        <v>0</v>
      </c>
      <c r="M217" s="5" t="str">
        <f>ContinuousStatsTable[[#This Row],[ProjectName]]&amp;ContinuousStatsTable[[#This Row],[Name]]&amp;ContinuousStatsTable[[#This Row],[Type]]&amp;ContinuousStatsTable[[#This Row],[Source]]</f>
        <v>Unnamed ProjectPackReqQNumber WaitingQueue</v>
      </c>
      <c r="N217" s="5" cm="1">
        <f t="array" ref="N217">MAX(IF((ProjectInfoTable[ProjectName]=ContinuousStatsTable[[#This Row],[ProjectName]]),(ProjectInfoTable[ProjectName]=ContinuousStatsTable[[#This Row],[ProjectName]])*ProjectInfoTable[NumberOfReplications]))</f>
        <v>10</v>
      </c>
      <c r="O217" s="5" cm="1">
        <f t="array" ref="O217">IFERROR(AVERAGE(IF((ContinuousStatsTable[GroupByKey]=ContinuousStatsTable[[#This Row],[GroupByKey]]),(ContinuousStatsTable[GroupByKey]=ContinuousStatsTable[[#This Row],[GroupByKey]])*ContinuousStatsTable[Average])),0)</f>
        <v>1.5083245089254998E-2</v>
      </c>
      <c r="P217" s="5" cm="1">
        <f t="array" ref="P217">IFERROR(_xlfn.STDEV.S(IF((ContinuousStatsTable[GroupByKey]=ContinuousStatsTable[[#This Row],[GroupByKey]]),(ContinuousStatsTable[GroupByKey]=ContinuousStatsTable[[#This Row],[GroupByKey]])*ContinuousStatsTable[Average])),0)</f>
        <v>5.836712228493759E-4</v>
      </c>
      <c r="Q217" s="5" cm="1">
        <f t="array" ref="Q217">MAX(IF((ProjectInfoTable[ProjectName]=ContinuousStatsTable[[#This Row],[ProjectName]]),(ProjectInfoTable[ProjectName]=ContinuousStatsTable[[#This Row],[ProjectName]])*ProjectInfoTable[ConfidenceInterval]))</f>
        <v>0.95</v>
      </c>
      <c r="R2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4.1753324008164384E-4</v>
      </c>
      <c r="S217" s="5" cm="1">
        <f t="array" ref="S217">MIN(IF((ContinuousStatsTable[GroupByKey]=ContinuousStatsTable[[#This Row],[GroupByKey]]),(ContinuousStatsTable[GroupByKey]=ContinuousStatsTable[[#This Row],[GroupByKey]])*ContinuousStatsTable[Average]))</f>
        <v>1.41054163109371E-2</v>
      </c>
      <c r="T217" s="5" cm="1">
        <f t="array" ref="T217">MAX(IF((ContinuousStatsTable[GroupByKey]=ContinuousStatsTable[[#This Row],[GroupByKey]]),(ContinuousStatsTable[GroupByKey]=ContinuousStatsTable[[#This Row],[GroupByKey]])*ContinuousStatsTable[Average]))</f>
        <v>1.6052913612351699E-2</v>
      </c>
      <c r="U217" s="5">
        <f>IF((ContinuousStatsTable[[#This Row],[RepsRequested]]&gt;1),ContinuousStatsTable[[#This Row],[HalfWidth]],ContinuousStatsTable[[#This Row],[BatchMeansHalfWidth]])</f>
        <v>4.1753324008164384E-4</v>
      </c>
    </row>
    <row r="218" spans="1:21" x14ac:dyDescent="0.25">
      <c r="A218" t="s">
        <v>67</v>
      </c>
      <c r="B218" t="s">
        <v>69</v>
      </c>
      <c r="C218">
        <v>8</v>
      </c>
      <c r="D218" t="s">
        <v>86</v>
      </c>
      <c r="E218" t="s">
        <v>101</v>
      </c>
      <c r="F218" t="s">
        <v>72</v>
      </c>
      <c r="G218">
        <v>6.2032099653087598E-2</v>
      </c>
      <c r="H218">
        <v>5.3586944362300597E-3</v>
      </c>
      <c r="I218">
        <v>0</v>
      </c>
      <c r="J218">
        <v>2</v>
      </c>
      <c r="K218">
        <v>0</v>
      </c>
      <c r="L218">
        <v>0</v>
      </c>
      <c r="M218" s="5" t="str">
        <f>ContinuousStatsTable[[#This Row],[ProjectName]]&amp;ContinuousStatsTable[[#This Row],[Name]]&amp;ContinuousStatsTable[[#This Row],[Type]]&amp;ContinuousStatsTable[[#This Row],[Source]]</f>
        <v>Unnamed ProjectPaintQNumber WaitingQueue</v>
      </c>
      <c r="N218" s="5" cm="1">
        <f t="array" ref="N218">MAX(IF((ProjectInfoTable[ProjectName]=ContinuousStatsTable[[#This Row],[ProjectName]]),(ProjectInfoTable[ProjectName]=ContinuousStatsTable[[#This Row],[ProjectName]])*ProjectInfoTable[NumberOfReplications]))</f>
        <v>10</v>
      </c>
      <c r="O218" s="5" cm="1">
        <f t="array" ref="O218">IFERROR(AVERAGE(IF((ContinuousStatsTable[GroupByKey]=ContinuousStatsTable[[#This Row],[GroupByKey]]),(ContinuousStatsTable[GroupByKey]=ContinuousStatsTable[[#This Row],[GroupByKey]])*ContinuousStatsTable[Average])),0)</f>
        <v>6.2655374167183184E-2</v>
      </c>
      <c r="P218" s="5" cm="1">
        <f t="array" ref="P218">IFERROR(_xlfn.STDEV.S(IF((ContinuousStatsTable[GroupByKey]=ContinuousStatsTable[[#This Row],[GroupByKey]]),(ContinuousStatsTable[GroupByKey]=ContinuousStatsTable[[#This Row],[GroupByKey]])*ContinuousStatsTable[Average])),0)</f>
        <v>1.297076259729802E-3</v>
      </c>
      <c r="Q218" s="5" cm="1">
        <f t="array" ref="Q218">MAX(IF((ProjectInfoTable[ProjectName]=ContinuousStatsTable[[#This Row],[ProjectName]]),(ProjectInfoTable[ProjectName]=ContinuousStatsTable[[#This Row],[ProjectName]])*ProjectInfoTable[ConfidenceInterval]))</f>
        <v>0.95</v>
      </c>
      <c r="R2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9.2787245996831338E-4</v>
      </c>
      <c r="S218" s="5" cm="1">
        <f t="array" ref="S218">MIN(IF((ContinuousStatsTable[GroupByKey]=ContinuousStatsTable[[#This Row],[GroupByKey]]),(ContinuousStatsTable[GroupByKey]=ContinuousStatsTable[[#This Row],[GroupByKey]])*ContinuousStatsTable[Average]))</f>
        <v>6.05919548276165E-2</v>
      </c>
      <c r="T218" s="5" cm="1">
        <f t="array" ref="T218">MAX(IF((ContinuousStatsTable[GroupByKey]=ContinuousStatsTable[[#This Row],[GroupByKey]]),(ContinuousStatsTable[GroupByKey]=ContinuousStatsTable[[#This Row],[GroupByKey]])*ContinuousStatsTable[Average]))</f>
        <v>6.4938397569822504E-2</v>
      </c>
      <c r="U218" s="5">
        <f>IF((ContinuousStatsTable[[#This Row],[RepsRequested]]&gt;1),ContinuousStatsTable[[#This Row],[HalfWidth]],ContinuousStatsTable[[#This Row],[BatchMeansHalfWidth]])</f>
        <v>9.2787245996831338E-4</v>
      </c>
    </row>
    <row r="219" spans="1:21" x14ac:dyDescent="0.25">
      <c r="A219" t="s">
        <v>67</v>
      </c>
      <c r="B219" t="s">
        <v>69</v>
      </c>
      <c r="C219">
        <v>8</v>
      </c>
      <c r="D219" t="s">
        <v>87</v>
      </c>
      <c r="E219" t="s">
        <v>101</v>
      </c>
      <c r="F219" t="s">
        <v>72</v>
      </c>
      <c r="G219">
        <v>1.2486039561954199E-2</v>
      </c>
      <c r="H219">
        <v>7.55026622059471E-4</v>
      </c>
      <c r="I219">
        <v>0</v>
      </c>
      <c r="J219">
        <v>2</v>
      </c>
      <c r="K219">
        <v>0</v>
      </c>
      <c r="L219">
        <v>0</v>
      </c>
      <c r="M219" s="5" t="str">
        <f>ContinuousStatsTable[[#This Row],[ProjectName]]&amp;ContinuousStatsTable[[#This Row],[Name]]&amp;ContinuousStatsTable[[#This Row],[Type]]&amp;ContinuousStatsTable[[#This Row],[Source]]</f>
        <v>Unnamed ProjectPaintReqQNumber WaitingQueue</v>
      </c>
      <c r="N219" s="5" cm="1">
        <f t="array" ref="N219">MAX(IF((ProjectInfoTable[ProjectName]=ContinuousStatsTable[[#This Row],[ProjectName]]),(ProjectInfoTable[ProjectName]=ContinuousStatsTable[[#This Row],[ProjectName]])*ProjectInfoTable[NumberOfReplications]))</f>
        <v>10</v>
      </c>
      <c r="O219" s="5" cm="1">
        <f t="array" ref="O219">IFERROR(AVERAGE(IF((ContinuousStatsTable[GroupByKey]=ContinuousStatsTable[[#This Row],[GroupByKey]]),(ContinuousStatsTable[GroupByKey]=ContinuousStatsTable[[#This Row],[GroupByKey]])*ContinuousStatsTable[Average])),0)</f>
        <v>1.232491804183645E-2</v>
      </c>
      <c r="P219" s="5" cm="1">
        <f t="array" ref="P219">IFERROR(_xlfn.STDEV.S(IF((ContinuousStatsTable[GroupByKey]=ContinuousStatsTable[[#This Row],[GroupByKey]]),(ContinuousStatsTable[GroupByKey]=ContinuousStatsTable[[#This Row],[GroupByKey]])*ContinuousStatsTable[Average])),0)</f>
        <v>4.2846031814523761E-4</v>
      </c>
      <c r="Q219" s="5" cm="1">
        <f t="array" ref="Q219">MAX(IF((ProjectInfoTable[ProjectName]=ContinuousStatsTable[[#This Row],[ProjectName]]),(ProjectInfoTable[ProjectName]=ContinuousStatsTable[[#This Row],[ProjectName]])*ProjectInfoTable[ConfidenceInterval]))</f>
        <v>0.95</v>
      </c>
      <c r="R2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3.0650204751958381E-4</v>
      </c>
      <c r="S219" s="5" cm="1">
        <f t="array" ref="S219">MIN(IF((ContinuousStatsTable[GroupByKey]=ContinuousStatsTable[[#This Row],[GroupByKey]]),(ContinuousStatsTable[GroupByKey]=ContinuousStatsTable[[#This Row],[GroupByKey]])*ContinuousStatsTable[Average]))</f>
        <v>1.1842209288638999E-2</v>
      </c>
      <c r="T219" s="5" cm="1">
        <f t="array" ref="T219">MAX(IF((ContinuousStatsTable[GroupByKey]=ContinuousStatsTable[[#This Row],[GroupByKey]]),(ContinuousStatsTable[GroupByKey]=ContinuousStatsTable[[#This Row],[GroupByKey]])*ContinuousStatsTable[Average]))</f>
        <v>1.30420022653657E-2</v>
      </c>
      <c r="U219" s="5">
        <f>IF((ContinuousStatsTable[[#This Row],[RepsRequested]]&gt;1),ContinuousStatsTable[[#This Row],[HalfWidth]],ContinuousStatsTable[[#This Row],[BatchMeansHalfWidth]])</f>
        <v>3.0650204751958381E-4</v>
      </c>
    </row>
    <row r="220" spans="1:21" x14ac:dyDescent="0.25">
      <c r="A220" t="s">
        <v>67</v>
      </c>
      <c r="B220" t="s">
        <v>69</v>
      </c>
      <c r="C220">
        <v>8</v>
      </c>
      <c r="D220" t="s">
        <v>109</v>
      </c>
      <c r="E220" t="s">
        <v>105</v>
      </c>
      <c r="F220" t="s">
        <v>106</v>
      </c>
      <c r="G220">
        <v>0.82389862608839404</v>
      </c>
      <c r="H220">
        <v>1.0921090655302701E-2</v>
      </c>
      <c r="I220">
        <v>0</v>
      </c>
      <c r="J220">
        <v>1</v>
      </c>
      <c r="K220">
        <v>1</v>
      </c>
      <c r="L220">
        <v>0</v>
      </c>
      <c r="M220" s="5" t="str">
        <f>ContinuousStatsTable[[#This Row],[ProjectName]]&amp;ContinuousStatsTable[[#This Row],[Name]]&amp;ContinuousStatsTable[[#This Row],[Type]]&amp;ContinuousStatsTable[[#This Row],[Source]]</f>
        <v>Unnamed ProjectWORKERInstantaneous UtilizationResource</v>
      </c>
      <c r="N220" s="5" cm="1">
        <f t="array" ref="N220">MAX(IF((ProjectInfoTable[ProjectName]=ContinuousStatsTable[[#This Row],[ProjectName]]),(ProjectInfoTable[ProjectName]=ContinuousStatsTable[[#This Row],[ProjectName]])*ProjectInfoTable[NumberOfReplications]))</f>
        <v>10</v>
      </c>
      <c r="O220" s="5" cm="1">
        <f t="array" ref="O220">IFERROR(AVERAGE(IF((ContinuousStatsTable[GroupByKey]=ContinuousStatsTable[[#This Row],[GroupByKey]]),(ContinuousStatsTable[GroupByKey]=ContinuousStatsTable[[#This Row],[GroupByKey]])*ContinuousStatsTable[Average])),0)</f>
        <v>0.82030090075893936</v>
      </c>
      <c r="P220" s="5" cm="1">
        <f t="array" ref="P220">IFERROR(_xlfn.STDEV.S(IF((ContinuousStatsTable[GroupByKey]=ContinuousStatsTable[[#This Row],[GroupByKey]]),(ContinuousStatsTable[GroupByKey]=ContinuousStatsTable[[#This Row],[GroupByKey]])*ContinuousStatsTable[Average])),0)</f>
        <v>6.9684713894533476E-3</v>
      </c>
      <c r="Q220" s="5" cm="1">
        <f t="array" ref="Q220">MAX(IF((ProjectInfoTable[ProjectName]=ContinuousStatsTable[[#This Row],[ProjectName]]),(ProjectInfoTable[ProjectName]=ContinuousStatsTable[[#This Row],[ProjectName]])*ProjectInfoTable[ConfidenceInterval]))</f>
        <v>0.95</v>
      </c>
      <c r="R2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4.9849441325044447E-3</v>
      </c>
      <c r="S220" s="5" cm="1">
        <f t="array" ref="S220">MIN(IF((ContinuousStatsTable[GroupByKey]=ContinuousStatsTable[[#This Row],[GroupByKey]]),(ContinuousStatsTable[GroupByKey]=ContinuousStatsTable[[#This Row],[GroupByKey]])*ContinuousStatsTable[Average]))</f>
        <v>0.81151215762737705</v>
      </c>
      <c r="T220" s="5" cm="1">
        <f t="array" ref="T220">MAX(IF((ContinuousStatsTable[GroupByKey]=ContinuousStatsTable[[#This Row],[GroupByKey]]),(ContinuousStatsTable[GroupByKey]=ContinuousStatsTable[[#This Row],[GroupByKey]])*ContinuousStatsTable[Average]))</f>
        <v>0.832837691284112</v>
      </c>
      <c r="U220" s="5">
        <f>IF((ContinuousStatsTable[[#This Row],[RepsRequested]]&gt;1),ContinuousStatsTable[[#This Row],[HalfWidth]],ContinuousStatsTable[[#This Row],[BatchMeansHalfWidth]])</f>
        <v>4.9849441325044447E-3</v>
      </c>
    </row>
    <row r="221" spans="1:21" x14ac:dyDescent="0.25">
      <c r="A221" t="s">
        <v>67</v>
      </c>
      <c r="B221" t="s">
        <v>69</v>
      </c>
      <c r="C221">
        <v>8</v>
      </c>
      <c r="D221" t="s">
        <v>109</v>
      </c>
      <c r="E221" t="s">
        <v>97</v>
      </c>
      <c r="F221" t="s">
        <v>106</v>
      </c>
      <c r="G221">
        <v>0.82389862608839404</v>
      </c>
      <c r="H221">
        <v>1.0921090655302701E-2</v>
      </c>
      <c r="I221">
        <v>0</v>
      </c>
      <c r="J221">
        <v>1</v>
      </c>
      <c r="K221">
        <v>1</v>
      </c>
      <c r="L221">
        <v>0</v>
      </c>
      <c r="M221" s="5" t="str">
        <f>ContinuousStatsTable[[#This Row],[ProjectName]]&amp;ContinuousStatsTable[[#This Row],[Name]]&amp;ContinuousStatsTable[[#This Row],[Type]]&amp;ContinuousStatsTable[[#This Row],[Source]]</f>
        <v>Unnamed ProjectWORKERNumber BusyResource</v>
      </c>
      <c r="N221" s="5" cm="1">
        <f t="array" ref="N221">MAX(IF((ProjectInfoTable[ProjectName]=ContinuousStatsTable[[#This Row],[ProjectName]]),(ProjectInfoTable[ProjectName]=ContinuousStatsTable[[#This Row],[ProjectName]])*ProjectInfoTable[NumberOfReplications]))</f>
        <v>10</v>
      </c>
      <c r="O221" s="5" cm="1">
        <f t="array" ref="O221">IFERROR(AVERAGE(IF((ContinuousStatsTable[GroupByKey]=ContinuousStatsTable[[#This Row],[GroupByKey]]),(ContinuousStatsTable[GroupByKey]=ContinuousStatsTable[[#This Row],[GroupByKey]])*ContinuousStatsTable[Average])),0)</f>
        <v>0.82030090075893936</v>
      </c>
      <c r="P221" s="5" cm="1">
        <f t="array" ref="P221">IFERROR(_xlfn.STDEV.S(IF((ContinuousStatsTable[GroupByKey]=ContinuousStatsTable[[#This Row],[GroupByKey]]),(ContinuousStatsTable[GroupByKey]=ContinuousStatsTable[[#This Row],[GroupByKey]])*ContinuousStatsTable[Average])),0)</f>
        <v>6.9684713894533476E-3</v>
      </c>
      <c r="Q221" s="5" cm="1">
        <f t="array" ref="Q221">MAX(IF((ProjectInfoTable[ProjectName]=ContinuousStatsTable[[#This Row],[ProjectName]]),(ProjectInfoTable[ProjectName]=ContinuousStatsTable[[#This Row],[ProjectName]])*ProjectInfoTable[ConfidenceInterval]))</f>
        <v>0.95</v>
      </c>
      <c r="R2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4.9849441325044447E-3</v>
      </c>
      <c r="S221" s="5" cm="1">
        <f t="array" ref="S221">MIN(IF((ContinuousStatsTable[GroupByKey]=ContinuousStatsTable[[#This Row],[GroupByKey]]),(ContinuousStatsTable[GroupByKey]=ContinuousStatsTable[[#This Row],[GroupByKey]])*ContinuousStatsTable[Average]))</f>
        <v>0.81151215762737705</v>
      </c>
      <c r="T221" s="5" cm="1">
        <f t="array" ref="T221">MAX(IF((ContinuousStatsTable[GroupByKey]=ContinuousStatsTable[[#This Row],[GroupByKey]]),(ContinuousStatsTable[GroupByKey]=ContinuousStatsTable[[#This Row],[GroupByKey]])*ContinuousStatsTable[Average]))</f>
        <v>0.832837691284112</v>
      </c>
      <c r="U221" s="5">
        <f>IF((ContinuousStatsTable[[#This Row],[RepsRequested]]&gt;1),ContinuousStatsTable[[#This Row],[HalfWidth]],ContinuousStatsTable[[#This Row],[BatchMeansHalfWidth]])</f>
        <v>4.9849441325044447E-3</v>
      </c>
    </row>
    <row r="222" spans="1:21" x14ac:dyDescent="0.25">
      <c r="A222" t="s">
        <v>67</v>
      </c>
      <c r="B222" t="s">
        <v>69</v>
      </c>
      <c r="C222">
        <v>8</v>
      </c>
      <c r="D222" t="s">
        <v>109</v>
      </c>
      <c r="E222" t="s">
        <v>99</v>
      </c>
      <c r="F222" t="s">
        <v>106</v>
      </c>
      <c r="G222">
        <v>1</v>
      </c>
      <c r="H222">
        <v>2E+20</v>
      </c>
      <c r="I222">
        <v>1</v>
      </c>
      <c r="J222">
        <v>1</v>
      </c>
      <c r="K222">
        <v>1</v>
      </c>
      <c r="L222">
        <v>0</v>
      </c>
      <c r="M222" s="5" t="str">
        <f>ContinuousStatsTable[[#This Row],[ProjectName]]&amp;ContinuousStatsTable[[#This Row],[Name]]&amp;ContinuousStatsTable[[#This Row],[Type]]&amp;ContinuousStatsTable[[#This Row],[Source]]</f>
        <v>Unnamed ProjectWORKERNumber ScheduledResource</v>
      </c>
      <c r="N222" s="5" cm="1">
        <f t="array" ref="N222">MAX(IF((ProjectInfoTable[ProjectName]=ContinuousStatsTable[[#This Row],[ProjectName]]),(ProjectInfoTable[ProjectName]=ContinuousStatsTable[[#This Row],[ProjectName]])*ProjectInfoTable[NumberOfReplications]))</f>
        <v>10</v>
      </c>
      <c r="O222" s="5" cm="1">
        <f t="array" ref="O222">IFERROR(AVERAGE(IF((ContinuousStatsTable[GroupByKey]=ContinuousStatsTable[[#This Row],[GroupByKey]]),(ContinuousStatsTable[GroupByKey]=ContinuousStatsTable[[#This Row],[GroupByKey]])*ContinuousStatsTable[Average])),0)</f>
        <v>1</v>
      </c>
      <c r="P222" s="5" cm="1">
        <f t="array" ref="P222">IFERROR(_xlfn.STDEV.S(IF((ContinuousStatsTable[GroupByKey]=ContinuousStatsTable[[#This Row],[GroupByKey]]),(ContinuousStatsTable[GroupByKey]=ContinuousStatsTable[[#This Row],[GroupByKey]])*ContinuousStatsTable[Average])),0)</f>
        <v>0</v>
      </c>
      <c r="Q222" s="5" cm="1">
        <f t="array" ref="Q222">MAX(IF((ProjectInfoTable[ProjectName]=ContinuousStatsTable[[#This Row],[ProjectName]]),(ProjectInfoTable[ProjectName]=ContinuousStatsTable[[#This Row],[ProjectName]])*ProjectInfoTable[ConfidenceInterval]))</f>
        <v>0.95</v>
      </c>
      <c r="R2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2" s="5" cm="1">
        <f t="array" ref="S222">MIN(IF((ContinuousStatsTable[GroupByKey]=ContinuousStatsTable[[#This Row],[GroupByKey]]),(ContinuousStatsTable[GroupByKey]=ContinuousStatsTable[[#This Row],[GroupByKey]])*ContinuousStatsTable[Average]))</f>
        <v>1</v>
      </c>
      <c r="T222" s="5" cm="1">
        <f t="array" ref="T222">MAX(IF((ContinuousStatsTable[GroupByKey]=ContinuousStatsTable[[#This Row],[GroupByKey]]),(ContinuousStatsTable[GroupByKey]=ContinuousStatsTable[[#This Row],[GroupByKey]])*ContinuousStatsTable[Average]))</f>
        <v>1</v>
      </c>
      <c r="U222" s="5">
        <f>IF((ContinuousStatsTable[[#This Row],[RepsRequested]]&gt;1),ContinuousStatsTable[[#This Row],[HalfWidth]],ContinuousStatsTable[[#This Row],[BatchMeansHalfWidth]])</f>
        <v>0</v>
      </c>
    </row>
    <row r="223" spans="1:21" x14ac:dyDescent="0.25">
      <c r="A223" t="s">
        <v>67</v>
      </c>
      <c r="B223" t="s">
        <v>69</v>
      </c>
      <c r="C223">
        <v>8</v>
      </c>
      <c r="D223" t="s">
        <v>94</v>
      </c>
      <c r="E223" t="s">
        <v>101</v>
      </c>
      <c r="F223" t="s">
        <v>72</v>
      </c>
      <c r="G223">
        <v>1.78767510227992</v>
      </c>
      <c r="H223">
        <v>0.16778381856466901</v>
      </c>
      <c r="I223">
        <v>0</v>
      </c>
      <c r="J223">
        <v>20</v>
      </c>
      <c r="K223">
        <v>3</v>
      </c>
      <c r="L223">
        <v>0</v>
      </c>
      <c r="M223" s="5" t="str">
        <f>ContinuousStatsTable[[#This Row],[ProjectName]]&amp;ContinuousStatsTable[[#This Row],[Name]]&amp;ContinuousStatsTable[[#This Row],[Type]]&amp;ContinuousStatsTable[[#This Row],[Source]]</f>
        <v>Unnamed ProjectWorkStationQNumber WaitingQueue</v>
      </c>
      <c r="N223" s="5" cm="1">
        <f t="array" ref="N223">MAX(IF((ProjectInfoTable[ProjectName]=ContinuousStatsTable[[#This Row],[ProjectName]]),(ProjectInfoTable[ProjectName]=ContinuousStatsTable[[#This Row],[ProjectName]])*ProjectInfoTable[NumberOfReplications]))</f>
        <v>10</v>
      </c>
      <c r="O223" s="5" cm="1">
        <f t="array" ref="O223">IFERROR(AVERAGE(IF((ContinuousStatsTable[GroupByKey]=ContinuousStatsTable[[#This Row],[GroupByKey]]),(ContinuousStatsTable[GroupByKey]=ContinuousStatsTable[[#This Row],[GroupByKey]])*ContinuousStatsTable[Average])),0)</f>
        <v>1.7984099951452888</v>
      </c>
      <c r="P223" s="5" cm="1">
        <f t="array" ref="P223">IFERROR(_xlfn.STDEV.S(IF((ContinuousStatsTable[GroupByKey]=ContinuousStatsTable[[#This Row],[GroupByKey]]),(ContinuousStatsTable[GroupByKey]=ContinuousStatsTable[[#This Row],[GroupByKey]])*ContinuousStatsTable[Average])),0)</f>
        <v>9.41481017902569E-2</v>
      </c>
      <c r="Q223" s="5" cm="1">
        <f t="array" ref="Q223">MAX(IF((ProjectInfoTable[ProjectName]=ContinuousStatsTable[[#This Row],[ProjectName]]),(ProjectInfoTable[ProjectName]=ContinuousStatsTable[[#This Row],[ProjectName]])*ProjectInfoTable[ConfidenceInterval]))</f>
        <v>0.95</v>
      </c>
      <c r="R2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6.7349494799689366E-2</v>
      </c>
      <c r="S223" s="5" cm="1">
        <f t="array" ref="S223">MIN(IF((ContinuousStatsTable[GroupByKey]=ContinuousStatsTable[[#This Row],[GroupByKey]]),(ContinuousStatsTable[GroupByKey]=ContinuousStatsTable[[#This Row],[GroupByKey]])*ContinuousStatsTable[Average]))</f>
        <v>1.6808414073062801</v>
      </c>
      <c r="T223" s="5" cm="1">
        <f t="array" ref="T223">MAX(IF((ContinuousStatsTable[GroupByKey]=ContinuousStatsTable[[#This Row],[GroupByKey]]),(ContinuousStatsTable[GroupByKey]=ContinuousStatsTable[[#This Row],[GroupByKey]])*ContinuousStatsTable[Average]))</f>
        <v>1.96303981301246</v>
      </c>
      <c r="U223" s="5">
        <f>IF((ContinuousStatsTable[[#This Row],[RepsRequested]]&gt;1),ContinuousStatsTable[[#This Row],[HalfWidth]],ContinuousStatsTable[[#This Row],[BatchMeansHalfWidth]])</f>
        <v>6.7349494799689366E-2</v>
      </c>
    </row>
    <row r="224" spans="1:21" x14ac:dyDescent="0.25">
      <c r="A224" t="s">
        <v>67</v>
      </c>
      <c r="B224" t="s">
        <v>69</v>
      </c>
      <c r="C224">
        <v>8</v>
      </c>
      <c r="D224" t="s">
        <v>95</v>
      </c>
      <c r="E224" t="s">
        <v>101</v>
      </c>
      <c r="F224" t="s">
        <v>72</v>
      </c>
      <c r="G224">
        <v>1.3043627620443501E-2</v>
      </c>
      <c r="H224">
        <v>8.8210703845838202E-4</v>
      </c>
      <c r="I224">
        <v>0</v>
      </c>
      <c r="J224">
        <v>1</v>
      </c>
      <c r="K224">
        <v>0</v>
      </c>
      <c r="L224">
        <v>0</v>
      </c>
      <c r="M224" s="5" t="str">
        <f>ContinuousStatsTable[[#This Row],[ProjectName]]&amp;ContinuousStatsTable[[#This Row],[Name]]&amp;ContinuousStatsTable[[#This Row],[Type]]&amp;ContinuousStatsTable[[#This Row],[Source]]</f>
        <v>Unnamed ProjectWorkStationReqQNumber WaitingQueue</v>
      </c>
      <c r="N224" s="5" cm="1">
        <f t="array" ref="N224">MAX(IF((ProjectInfoTable[ProjectName]=ContinuousStatsTable[[#This Row],[ProjectName]]),(ProjectInfoTable[ProjectName]=ContinuousStatsTable[[#This Row],[ProjectName]])*ProjectInfoTable[NumberOfReplications]))</f>
        <v>10</v>
      </c>
      <c r="O224" s="5" cm="1">
        <f t="array" ref="O224">IFERROR(AVERAGE(IF((ContinuousStatsTable[GroupByKey]=ContinuousStatsTable[[#This Row],[GroupByKey]]),(ContinuousStatsTable[GroupByKey]=ContinuousStatsTable[[#This Row],[GroupByKey]])*ContinuousStatsTable[Average])),0)</f>
        <v>1.2897450081583859E-2</v>
      </c>
      <c r="P224" s="5" cm="1">
        <f t="array" ref="P224">IFERROR(_xlfn.STDEV.S(IF((ContinuousStatsTable[GroupByKey]=ContinuousStatsTable[[#This Row],[GroupByKey]]),(ContinuousStatsTable[GroupByKey]=ContinuousStatsTable[[#This Row],[GroupByKey]])*ContinuousStatsTable[Average])),0)</f>
        <v>4.2374090710035878E-4</v>
      </c>
      <c r="Q224" s="5" cm="1">
        <f t="array" ref="Q224">MAX(IF((ProjectInfoTable[ProjectName]=ContinuousStatsTable[[#This Row],[ProjectName]]),(ProjectInfoTable[ProjectName]=ContinuousStatsTable[[#This Row],[ProjectName]])*ProjectInfoTable[ConfidenceInterval]))</f>
        <v>0.95</v>
      </c>
      <c r="R2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3.0312598423651549E-4</v>
      </c>
      <c r="S224" s="5" cm="1">
        <f t="array" ref="S224">MIN(IF((ContinuousStatsTable[GroupByKey]=ContinuousStatsTable[[#This Row],[GroupByKey]]),(ContinuousStatsTable[GroupByKey]=ContinuousStatsTable[[#This Row],[GroupByKey]])*ContinuousStatsTable[Average]))</f>
        <v>1.2232643269307701E-2</v>
      </c>
      <c r="T224" s="5" cm="1">
        <f t="array" ref="T224">MAX(IF((ContinuousStatsTable[GroupByKey]=ContinuousStatsTable[[#This Row],[GroupByKey]]),(ContinuousStatsTable[GroupByKey]=ContinuousStatsTable[[#This Row],[GroupByKey]])*ContinuousStatsTable[Average]))</f>
        <v>1.34073753437328E-2</v>
      </c>
      <c r="U224" s="5">
        <f>IF((ContinuousStatsTable[[#This Row],[RepsRequested]]&gt;1),ContinuousStatsTable[[#This Row],[HalfWidth]],ContinuousStatsTable[[#This Row],[BatchMeansHalfWidth]])</f>
        <v>3.0312598423651549E-4</v>
      </c>
    </row>
    <row r="225" spans="1:21" x14ac:dyDescent="0.25">
      <c r="A225" t="s">
        <v>67</v>
      </c>
      <c r="B225" t="s">
        <v>69</v>
      </c>
      <c r="C225">
        <v>8</v>
      </c>
      <c r="D225" t="s">
        <v>110</v>
      </c>
      <c r="E225" t="s">
        <v>111</v>
      </c>
      <c r="F225" t="s">
        <v>90</v>
      </c>
      <c r="G225">
        <v>0.67881807787146298</v>
      </c>
      <c r="H225">
        <v>1.4673655558452899E-2</v>
      </c>
      <c r="I225">
        <v>0</v>
      </c>
      <c r="J225">
        <v>6</v>
      </c>
      <c r="K225">
        <v>1</v>
      </c>
      <c r="L225">
        <v>0</v>
      </c>
      <c r="M225" s="5" t="str">
        <f>ContinuousStatsTable[[#This Row],[ProjectName]]&amp;ContinuousStatsTable[[#This Row],[Name]]&amp;ContinuousStatsTable[[#This Row],[Type]]&amp;ContinuousStatsTable[[#This Row],[Source]]</f>
        <v>Unnamed ProjectvNumWaitingRequestsVariableUser Specified</v>
      </c>
      <c r="N225" s="5" cm="1">
        <f t="array" ref="N225">MAX(IF((ProjectInfoTable[ProjectName]=ContinuousStatsTable[[#This Row],[ProjectName]]),(ProjectInfoTable[ProjectName]=ContinuousStatsTable[[#This Row],[ProjectName]])*ProjectInfoTable[NumberOfReplications]))</f>
        <v>10</v>
      </c>
      <c r="O225" s="5" cm="1">
        <f t="array" ref="O225">IFERROR(AVERAGE(IF((ContinuousStatsTable[GroupByKey]=ContinuousStatsTable[[#This Row],[GroupByKey]]),(ContinuousStatsTable[GroupByKey]=ContinuousStatsTable[[#This Row],[GroupByKey]])*ContinuousStatsTable[Average])),0)</f>
        <v>0.67697821611736619</v>
      </c>
      <c r="P225" s="5" cm="1">
        <f t="array" ref="P225">IFERROR(_xlfn.STDEV.S(IF((ContinuousStatsTable[GroupByKey]=ContinuousStatsTable[[#This Row],[GroupByKey]]),(ContinuousStatsTable[GroupByKey]=ContinuousStatsTable[[#This Row],[GroupByKey]])*ContinuousStatsTable[Average])),0)</f>
        <v>6.3714899668086428E-3</v>
      </c>
      <c r="Q225" s="5" cm="1">
        <f t="array" ref="Q225">MAX(IF((ProjectInfoTable[ProjectName]=ContinuousStatsTable[[#This Row],[ProjectName]]),(ProjectInfoTable[ProjectName]=ContinuousStatsTable[[#This Row],[ProjectName]])*ProjectInfoTable[ConfidenceInterval]))</f>
        <v>0.95</v>
      </c>
      <c r="R2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4.5578893490793634E-3</v>
      </c>
      <c r="S225" s="5" cm="1">
        <f t="array" ref="S225">MIN(IF((ContinuousStatsTable[GroupByKey]=ContinuousStatsTable[[#This Row],[GroupByKey]]),(ContinuousStatsTable[GroupByKey]=ContinuousStatsTable[[#This Row],[GroupByKey]])*ContinuousStatsTable[Average]))</f>
        <v>0.66877542384053201</v>
      </c>
      <c r="T225" s="5" cm="1">
        <f t="array" ref="T225">MAX(IF((ContinuousStatsTable[GroupByKey]=ContinuousStatsTable[[#This Row],[GroupByKey]]),(ContinuousStatsTable[GroupByKey]=ContinuousStatsTable[[#This Row],[GroupByKey]])*ContinuousStatsTable[Average]))</f>
        <v>0.69059318471793496</v>
      </c>
      <c r="U225" s="5">
        <f>IF((ContinuousStatsTable[[#This Row],[RepsRequested]]&gt;1),ContinuousStatsTable[[#This Row],[HalfWidth]],ContinuousStatsTable[[#This Row],[BatchMeansHalfWidth]])</f>
        <v>4.5578893490793634E-3</v>
      </c>
    </row>
    <row r="226" spans="1:21" x14ac:dyDescent="0.25">
      <c r="A226" t="s">
        <v>67</v>
      </c>
      <c r="B226" t="s">
        <v>69</v>
      </c>
      <c r="C226">
        <v>9</v>
      </c>
      <c r="D226" t="s">
        <v>96</v>
      </c>
      <c r="E226" t="s">
        <v>97</v>
      </c>
      <c r="F226" t="s">
        <v>98</v>
      </c>
      <c r="G226">
        <v>2.0794068734910902</v>
      </c>
      <c r="H226">
        <v>1.01906908734858E-2</v>
      </c>
      <c r="I226">
        <v>0</v>
      </c>
      <c r="J226">
        <v>3</v>
      </c>
      <c r="K226">
        <v>2</v>
      </c>
      <c r="L226">
        <v>0</v>
      </c>
      <c r="M226" s="5" t="str">
        <f>ContinuousStatsTable[[#This Row],[ProjectName]]&amp;ContinuousStatsTable[[#This Row],[Name]]&amp;ContinuousStatsTable[[#This Row],[Type]]&amp;ContinuousStatsTable[[#This Row],[Source]]</f>
        <v>Unnamed ProjectAGVNumber BusyTransporter</v>
      </c>
      <c r="N226" s="5" cm="1">
        <f t="array" ref="N226">MAX(IF((ProjectInfoTable[ProjectName]=ContinuousStatsTable[[#This Row],[ProjectName]]),(ProjectInfoTable[ProjectName]=ContinuousStatsTable[[#This Row],[ProjectName]])*ProjectInfoTable[NumberOfReplications]))</f>
        <v>10</v>
      </c>
      <c r="O226" s="5" cm="1">
        <f t="array" ref="O226">IFERROR(AVERAGE(IF((ContinuousStatsTable[GroupByKey]=ContinuousStatsTable[[#This Row],[GroupByKey]]),(ContinuousStatsTable[GroupByKey]=ContinuousStatsTable[[#This Row],[GroupByKey]])*ContinuousStatsTable[Average])),0)</f>
        <v>2.078872627125893</v>
      </c>
      <c r="P226" s="5" cm="1">
        <f t="array" ref="P226">IFERROR(_xlfn.STDEV.S(IF((ContinuousStatsTable[GroupByKey]=ContinuousStatsTable[[#This Row],[GroupByKey]]),(ContinuousStatsTable[GroupByKey]=ContinuousStatsTable[[#This Row],[GroupByKey]])*ContinuousStatsTable[Average])),0)</f>
        <v>5.2787009755182E-3</v>
      </c>
      <c r="Q226" s="5" cm="1">
        <f t="array" ref="Q226">MAX(IF((ProjectInfoTable[ProjectName]=ContinuousStatsTable[[#This Row],[ProjectName]]),(ProjectInfoTable[ProjectName]=ContinuousStatsTable[[#This Row],[ProjectName]])*ProjectInfoTable[ConfidenceInterval]))</f>
        <v>0.95</v>
      </c>
      <c r="R2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3.7761551973910287E-3</v>
      </c>
      <c r="S226" s="5" cm="1">
        <f t="array" ref="S226">MIN(IF((ContinuousStatsTable[GroupByKey]=ContinuousStatsTable[[#This Row],[GroupByKey]]),(ContinuousStatsTable[GroupByKey]=ContinuousStatsTable[[#This Row],[GroupByKey]])*ContinuousStatsTable[Average]))</f>
        <v>2.07228794584704</v>
      </c>
      <c r="T226" s="5" cm="1">
        <f t="array" ref="T226">MAX(IF((ContinuousStatsTable[GroupByKey]=ContinuousStatsTable[[#This Row],[GroupByKey]]),(ContinuousStatsTable[GroupByKey]=ContinuousStatsTable[[#This Row],[GroupByKey]])*ContinuousStatsTable[Average]))</f>
        <v>2.08892452747873</v>
      </c>
      <c r="U226" s="5">
        <f>IF((ContinuousStatsTable[[#This Row],[RepsRequested]]&gt;1),ContinuousStatsTable[[#This Row],[HalfWidth]],ContinuousStatsTable[[#This Row],[BatchMeansHalfWidth]])</f>
        <v>3.7761551973910287E-3</v>
      </c>
    </row>
    <row r="227" spans="1:21" x14ac:dyDescent="0.25">
      <c r="A227" t="s">
        <v>67</v>
      </c>
      <c r="B227" t="s">
        <v>69</v>
      </c>
      <c r="C227">
        <v>9</v>
      </c>
      <c r="D227" t="s">
        <v>96</v>
      </c>
      <c r="E227" t="s">
        <v>99</v>
      </c>
      <c r="F227" t="s">
        <v>98</v>
      </c>
      <c r="G227">
        <v>3</v>
      </c>
      <c r="H227">
        <v>2E+20</v>
      </c>
      <c r="I227">
        <v>3</v>
      </c>
      <c r="J227">
        <v>3</v>
      </c>
      <c r="K227">
        <v>3</v>
      </c>
      <c r="L227">
        <v>0</v>
      </c>
      <c r="M227" s="5" t="str">
        <f>ContinuousStatsTable[[#This Row],[ProjectName]]&amp;ContinuousStatsTable[[#This Row],[Name]]&amp;ContinuousStatsTable[[#This Row],[Type]]&amp;ContinuousStatsTable[[#This Row],[Source]]</f>
        <v>Unnamed ProjectAGVNumber ScheduledTransporter</v>
      </c>
      <c r="N227" s="5" cm="1">
        <f t="array" ref="N227">MAX(IF((ProjectInfoTable[ProjectName]=ContinuousStatsTable[[#This Row],[ProjectName]]),(ProjectInfoTable[ProjectName]=ContinuousStatsTable[[#This Row],[ProjectName]])*ProjectInfoTable[NumberOfReplications]))</f>
        <v>10</v>
      </c>
      <c r="O227" s="5" cm="1">
        <f t="array" ref="O227">IFERROR(AVERAGE(IF((ContinuousStatsTable[GroupByKey]=ContinuousStatsTable[[#This Row],[GroupByKey]]),(ContinuousStatsTable[GroupByKey]=ContinuousStatsTable[[#This Row],[GroupByKey]])*ContinuousStatsTable[Average])),0)</f>
        <v>3</v>
      </c>
      <c r="P227" s="5" cm="1">
        <f t="array" ref="P227">IFERROR(_xlfn.STDEV.S(IF((ContinuousStatsTable[GroupByKey]=ContinuousStatsTable[[#This Row],[GroupByKey]]),(ContinuousStatsTable[GroupByKey]=ContinuousStatsTable[[#This Row],[GroupByKey]])*ContinuousStatsTable[Average])),0)</f>
        <v>0</v>
      </c>
      <c r="Q227" s="5" cm="1">
        <f t="array" ref="Q227">MAX(IF((ProjectInfoTable[ProjectName]=ContinuousStatsTable[[#This Row],[ProjectName]]),(ProjectInfoTable[ProjectName]=ContinuousStatsTable[[#This Row],[ProjectName]])*ProjectInfoTable[ConfidenceInterval]))</f>
        <v>0.95</v>
      </c>
      <c r="R2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7" s="5" cm="1">
        <f t="array" ref="S227">MIN(IF((ContinuousStatsTable[GroupByKey]=ContinuousStatsTable[[#This Row],[GroupByKey]]),(ContinuousStatsTable[GroupByKey]=ContinuousStatsTable[[#This Row],[GroupByKey]])*ContinuousStatsTable[Average]))</f>
        <v>3</v>
      </c>
      <c r="T227" s="5" cm="1">
        <f t="array" ref="T227">MAX(IF((ContinuousStatsTable[GroupByKey]=ContinuousStatsTable[[#This Row],[GroupByKey]]),(ContinuousStatsTable[GroupByKey]=ContinuousStatsTable[[#This Row],[GroupByKey]])*ContinuousStatsTable[Average]))</f>
        <v>3</v>
      </c>
      <c r="U227" s="5">
        <f>IF((ContinuousStatsTable[[#This Row],[RepsRequested]]&gt;1),ContinuousStatsTable[[#This Row],[HalfWidth]],ContinuousStatsTable[[#This Row],[BatchMeansHalfWidth]])</f>
        <v>0</v>
      </c>
    </row>
    <row r="228" spans="1:21" x14ac:dyDescent="0.25">
      <c r="A228" t="s">
        <v>67</v>
      </c>
      <c r="B228" t="s">
        <v>69</v>
      </c>
      <c r="C228">
        <v>9</v>
      </c>
      <c r="D228" t="s">
        <v>96</v>
      </c>
      <c r="E228" t="s">
        <v>100</v>
      </c>
      <c r="F228" t="s">
        <v>98</v>
      </c>
      <c r="G228">
        <v>0.69313562449703803</v>
      </c>
      <c r="H228">
        <v>3.3968969578285001E-3</v>
      </c>
      <c r="I228">
        <v>0</v>
      </c>
      <c r="J228">
        <v>1</v>
      </c>
      <c r="K228">
        <v>0.66666666666666696</v>
      </c>
      <c r="L228">
        <v>0</v>
      </c>
      <c r="M228" s="5" t="str">
        <f>ContinuousStatsTable[[#This Row],[ProjectName]]&amp;ContinuousStatsTable[[#This Row],[Name]]&amp;ContinuousStatsTable[[#This Row],[Type]]&amp;ContinuousStatsTable[[#This Row],[Source]]</f>
        <v>Unnamed ProjectAGVUtilizationTransporter</v>
      </c>
      <c r="N228" s="5" cm="1">
        <f t="array" ref="N228">MAX(IF((ProjectInfoTable[ProjectName]=ContinuousStatsTable[[#This Row],[ProjectName]]),(ProjectInfoTable[ProjectName]=ContinuousStatsTable[[#This Row],[ProjectName]])*ProjectInfoTable[NumberOfReplications]))</f>
        <v>10</v>
      </c>
      <c r="O228" s="5" cm="1">
        <f t="array" ref="O228">IFERROR(AVERAGE(IF((ContinuousStatsTable[GroupByKey]=ContinuousStatsTable[[#This Row],[GroupByKey]]),(ContinuousStatsTable[GroupByKey]=ContinuousStatsTable[[#This Row],[GroupByKey]])*ContinuousStatsTable[Average])),0)</f>
        <v>0.69295754237529772</v>
      </c>
      <c r="P228" s="5" cm="1">
        <f t="array" ref="P228">IFERROR(_xlfn.STDEV.S(IF((ContinuousStatsTable[GroupByKey]=ContinuousStatsTable[[#This Row],[GroupByKey]]),(ContinuousStatsTable[GroupByKey]=ContinuousStatsTable[[#This Row],[GroupByKey]])*ContinuousStatsTable[Average])),0)</f>
        <v>1.759566991837834E-3</v>
      </c>
      <c r="Q228" s="5" cm="1">
        <f t="array" ref="Q228">MAX(IF((ProjectInfoTable[ProjectName]=ContinuousStatsTable[[#This Row],[ProjectName]]),(ProjectInfoTable[ProjectName]=ContinuousStatsTable[[#This Row],[ProjectName]])*ProjectInfoTable[ConfidenceInterval]))</f>
        <v>0.95</v>
      </c>
      <c r="R2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1.2587183991292225E-3</v>
      </c>
      <c r="S228" s="5" cm="1">
        <f t="array" ref="S228">MIN(IF((ContinuousStatsTable[GroupByKey]=ContinuousStatsTable[[#This Row],[GroupByKey]]),(ContinuousStatsTable[GroupByKey]=ContinuousStatsTable[[#This Row],[GroupByKey]])*ContinuousStatsTable[Average]))</f>
        <v>0.69076264861567704</v>
      </c>
      <c r="T228" s="5" cm="1">
        <f t="array" ref="T228">MAX(IF((ContinuousStatsTable[GroupByKey]=ContinuousStatsTable[[#This Row],[GroupByKey]]),(ContinuousStatsTable[GroupByKey]=ContinuousStatsTable[[#This Row],[GroupByKey]])*ContinuousStatsTable[Average]))</f>
        <v>0.69630817582623705</v>
      </c>
      <c r="U228" s="5">
        <f>IF((ContinuousStatsTable[[#This Row],[RepsRequested]]&gt;1),ContinuousStatsTable[[#This Row],[HalfWidth]],ContinuousStatsTable[[#This Row],[BatchMeansHalfWidth]])</f>
        <v>1.2587183991292225E-3</v>
      </c>
    </row>
    <row r="229" spans="1:21" x14ac:dyDescent="0.25">
      <c r="A229" t="s">
        <v>67</v>
      </c>
      <c r="B229" t="s">
        <v>69</v>
      </c>
      <c r="C229">
        <v>9</v>
      </c>
      <c r="D229" t="s">
        <v>70</v>
      </c>
      <c r="E229" t="s">
        <v>101</v>
      </c>
      <c r="F229" t="s">
        <v>72</v>
      </c>
      <c r="G229">
        <v>3.04055239944248E-2</v>
      </c>
      <c r="H229">
        <v>2.3788988616007499E-3</v>
      </c>
      <c r="I229">
        <v>0</v>
      </c>
      <c r="J229">
        <v>4</v>
      </c>
      <c r="K229">
        <v>0</v>
      </c>
      <c r="L229">
        <v>0</v>
      </c>
      <c r="M229" s="5" t="str">
        <f>ContinuousStatsTable[[#This Row],[ProjectName]]&amp;ContinuousStatsTable[[#This Row],[Name]]&amp;ContinuousStatsTable[[#This Row],[Type]]&amp;ContinuousStatsTable[[#This Row],[Source]]</f>
        <v>Unnamed ProjectEnter Request AGV.QueueNumber WaitingQueue</v>
      </c>
      <c r="N229" s="5" cm="1">
        <f t="array" ref="N229">MAX(IF((ProjectInfoTable[ProjectName]=ContinuousStatsTable[[#This Row],[ProjectName]]),(ProjectInfoTable[ProjectName]=ContinuousStatsTable[[#This Row],[ProjectName]])*ProjectInfoTable[NumberOfReplications]))</f>
        <v>10</v>
      </c>
      <c r="O229" s="5" cm="1">
        <f t="array" ref="O229">IFERROR(AVERAGE(IF((ContinuousStatsTable[GroupByKey]=ContinuousStatsTable[[#This Row],[GroupByKey]]),(ContinuousStatsTable[GroupByKey]=ContinuousStatsTable[[#This Row],[GroupByKey]])*ContinuousStatsTable[Average])),0)</f>
        <v>3.1035047783347335E-2</v>
      </c>
      <c r="P229" s="5" cm="1">
        <f t="array" ref="P229">IFERROR(_xlfn.STDEV.S(IF((ContinuousStatsTable[GroupByKey]=ContinuousStatsTable[[#This Row],[GroupByKey]]),(ContinuousStatsTable[GroupByKey]=ContinuousStatsTable[[#This Row],[GroupByKey]])*ContinuousStatsTable[Average])),0)</f>
        <v>1.214427597616889E-3</v>
      </c>
      <c r="Q229" s="5" cm="1">
        <f t="array" ref="Q229">MAX(IF((ProjectInfoTable[ProjectName]=ContinuousStatsTable[[#This Row],[ProjectName]]),(ProjectInfoTable[ProjectName]=ContinuousStatsTable[[#This Row],[ProjectName]])*ProjectInfoTable[ConfidenceInterval]))</f>
        <v>0.95</v>
      </c>
      <c r="R2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8.6874916875660508E-4</v>
      </c>
      <c r="S229" s="5" cm="1">
        <f t="array" ref="S229">MIN(IF((ContinuousStatsTable[GroupByKey]=ContinuousStatsTable[[#This Row],[GroupByKey]]),(ContinuousStatsTable[GroupByKey]=ContinuousStatsTable[[#This Row],[GroupByKey]])*ContinuousStatsTable[Average]))</f>
        <v>2.9772007867277201E-2</v>
      </c>
      <c r="T229" s="5" cm="1">
        <f t="array" ref="T229">MAX(IF((ContinuousStatsTable[GroupByKey]=ContinuousStatsTable[[#This Row],[GroupByKey]]),(ContinuousStatsTable[GroupByKey]=ContinuousStatsTable[[#This Row],[GroupByKey]])*ContinuousStatsTable[Average]))</f>
        <v>3.3809532279706102E-2</v>
      </c>
      <c r="U229" s="5">
        <f>IF((ContinuousStatsTable[[#This Row],[RepsRequested]]&gt;1),ContinuousStatsTable[[#This Row],[HalfWidth]],ContinuousStatsTable[[#This Row],[BatchMeansHalfWidth]])</f>
        <v>8.6874916875660508E-4</v>
      </c>
    </row>
    <row r="230" spans="1:21" x14ac:dyDescent="0.25">
      <c r="A230" t="s">
        <v>67</v>
      </c>
      <c r="B230" t="s">
        <v>69</v>
      </c>
      <c r="C230">
        <v>9</v>
      </c>
      <c r="D230" t="s">
        <v>102</v>
      </c>
      <c r="E230" t="s">
        <v>103</v>
      </c>
      <c r="F230" t="s">
        <v>77</v>
      </c>
      <c r="G230">
        <v>0</v>
      </c>
      <c r="H230">
        <v>2E+20</v>
      </c>
      <c r="I230">
        <v>0</v>
      </c>
      <c r="J230">
        <v>1</v>
      </c>
      <c r="K230">
        <v>0</v>
      </c>
      <c r="L230">
        <v>0</v>
      </c>
      <c r="M230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30" s="5" cm="1">
        <f t="array" ref="N230">MAX(IF((ProjectInfoTable[ProjectName]=ContinuousStatsTable[[#This Row],[ProjectName]]),(ProjectInfoTable[ProjectName]=ContinuousStatsTable[[#This Row],[ProjectName]])*ProjectInfoTable[NumberOfReplications]))</f>
        <v>10</v>
      </c>
      <c r="O230" s="5" cm="1">
        <f t="array" ref="O230">IFERROR(AVERAGE(IF((ContinuousStatsTable[GroupByKey]=ContinuousStatsTable[[#This Row],[GroupByKey]]),(ContinuousStatsTable[GroupByKey]=ContinuousStatsTable[[#This Row],[GroupByKey]])*ContinuousStatsTable[Average])),0)</f>
        <v>0</v>
      </c>
      <c r="P230" s="5" cm="1">
        <f t="array" ref="P230">IFERROR(_xlfn.STDEV.S(IF((ContinuousStatsTable[GroupByKey]=ContinuousStatsTable[[#This Row],[GroupByKey]]),(ContinuousStatsTable[GroupByKey]=ContinuousStatsTable[[#This Row],[GroupByKey]])*ContinuousStatsTable[Average])),0)</f>
        <v>0</v>
      </c>
      <c r="Q230" s="5" cm="1">
        <f t="array" ref="Q230">MAX(IF((ProjectInfoTable[ProjectName]=ContinuousStatsTable[[#This Row],[ProjectName]]),(ProjectInfoTable[ProjectName]=ContinuousStatsTable[[#This Row],[ProjectName]])*ProjectInfoTable[ConfidenceInterval]))</f>
        <v>0.95</v>
      </c>
      <c r="R2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0" s="5" cm="1">
        <f t="array" ref="S230">MIN(IF((ContinuousStatsTable[GroupByKey]=ContinuousStatsTable[[#This Row],[GroupByKey]]),(ContinuousStatsTable[GroupByKey]=ContinuousStatsTable[[#This Row],[GroupByKey]])*ContinuousStatsTable[Average]))</f>
        <v>0</v>
      </c>
      <c r="T230" s="5" cm="1">
        <f t="array" ref="T230">MAX(IF((ContinuousStatsTable[GroupByKey]=ContinuousStatsTable[[#This Row],[GroupByKey]]),(ContinuousStatsTable[GroupByKey]=ContinuousStatsTable[[#This Row],[GroupByKey]])*ContinuousStatsTable[Average]))</f>
        <v>0</v>
      </c>
      <c r="U230" s="5">
        <f>IF((ContinuousStatsTable[[#This Row],[RepsRequested]]&gt;1),ContinuousStatsTable[[#This Row],[HalfWidth]],ContinuousStatsTable[[#This Row],[BatchMeansHalfWidth]])</f>
        <v>0</v>
      </c>
    </row>
    <row r="231" spans="1:21" x14ac:dyDescent="0.25">
      <c r="A231" t="s">
        <v>67</v>
      </c>
      <c r="B231" t="s">
        <v>69</v>
      </c>
      <c r="C231">
        <v>9</v>
      </c>
      <c r="D231" t="s">
        <v>104</v>
      </c>
      <c r="E231" t="s">
        <v>105</v>
      </c>
      <c r="F231" t="s">
        <v>106</v>
      </c>
      <c r="G231">
        <v>0.52047864599343696</v>
      </c>
      <c r="H231">
        <v>1.22601301860078E-2</v>
      </c>
      <c r="I231">
        <v>0</v>
      </c>
      <c r="J231">
        <v>1</v>
      </c>
      <c r="K231">
        <v>0</v>
      </c>
      <c r="L231">
        <v>0</v>
      </c>
      <c r="M231" s="5" t="str">
        <f>ContinuousStatsTable[[#This Row],[ProjectName]]&amp;ContinuousStatsTable[[#This Row],[Name]]&amp;ContinuousStatsTable[[#This Row],[Type]]&amp;ContinuousStatsTable[[#This Row],[Source]]</f>
        <v>Unnamed ProjectNEWPAINTERInstantaneous UtilizationResource</v>
      </c>
      <c r="N231" s="5" cm="1">
        <f t="array" ref="N231">MAX(IF((ProjectInfoTable[ProjectName]=ContinuousStatsTable[[#This Row],[ProjectName]]),(ProjectInfoTable[ProjectName]=ContinuousStatsTable[[#This Row],[ProjectName]])*ProjectInfoTable[NumberOfReplications]))</f>
        <v>10</v>
      </c>
      <c r="O231" s="5" cm="1">
        <f t="array" ref="O231">IFERROR(AVERAGE(IF((ContinuousStatsTable[GroupByKey]=ContinuousStatsTable[[#This Row],[GroupByKey]]),(ContinuousStatsTable[GroupByKey]=ContinuousStatsTable[[#This Row],[GroupByKey]])*ContinuousStatsTable[Average])),0)</f>
        <v>0.52518723279433455</v>
      </c>
      <c r="P231" s="5" cm="1">
        <f t="array" ref="P231">IFERROR(_xlfn.STDEV.S(IF((ContinuousStatsTable[GroupByKey]=ContinuousStatsTable[[#This Row],[GroupByKey]]),(ContinuousStatsTable[GroupByKey]=ContinuousStatsTable[[#This Row],[GroupByKey]])*ContinuousStatsTable[Average])),0)</f>
        <v>8.4087502405714581E-3</v>
      </c>
      <c r="Q231" s="5" cm="1">
        <f t="array" ref="Q231">MAX(IF((ProjectInfoTable[ProjectName]=ContinuousStatsTable[[#This Row],[ProjectName]]),(ProjectInfoTable[ProjectName]=ContinuousStatsTable[[#This Row],[ProjectName]])*ProjectInfoTable[ConfidenceInterval]))</f>
        <v>0.95</v>
      </c>
      <c r="R2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6.0152575551752803E-3</v>
      </c>
      <c r="S231" s="5" cm="1">
        <f t="array" ref="S231">MIN(IF((ContinuousStatsTable[GroupByKey]=ContinuousStatsTable[[#This Row],[GroupByKey]]),(ContinuousStatsTable[GroupByKey]=ContinuousStatsTable[[#This Row],[GroupByKey]])*ContinuousStatsTable[Average]))</f>
        <v>0.51150896826018899</v>
      </c>
      <c r="T231" s="5" cm="1">
        <f t="array" ref="T231">MAX(IF((ContinuousStatsTable[GroupByKey]=ContinuousStatsTable[[#This Row],[GroupByKey]]),(ContinuousStatsTable[GroupByKey]=ContinuousStatsTable[[#This Row],[GroupByKey]])*ContinuousStatsTable[Average]))</f>
        <v>0.54003281556404203</v>
      </c>
      <c r="U231" s="5">
        <f>IF((ContinuousStatsTable[[#This Row],[RepsRequested]]&gt;1),ContinuousStatsTable[[#This Row],[HalfWidth]],ContinuousStatsTable[[#This Row],[BatchMeansHalfWidth]])</f>
        <v>6.0152575551752803E-3</v>
      </c>
    </row>
    <row r="232" spans="1:21" x14ac:dyDescent="0.25">
      <c r="A232" t="s">
        <v>67</v>
      </c>
      <c r="B232" t="s">
        <v>69</v>
      </c>
      <c r="C232">
        <v>9</v>
      </c>
      <c r="D232" t="s">
        <v>104</v>
      </c>
      <c r="E232" t="s">
        <v>97</v>
      </c>
      <c r="F232" t="s">
        <v>106</v>
      </c>
      <c r="G232">
        <v>0.52047864599343696</v>
      </c>
      <c r="H232">
        <v>1.22601301860078E-2</v>
      </c>
      <c r="I232">
        <v>0</v>
      </c>
      <c r="J232">
        <v>1</v>
      </c>
      <c r="K232">
        <v>0</v>
      </c>
      <c r="L232">
        <v>0</v>
      </c>
      <c r="M232" s="5" t="str">
        <f>ContinuousStatsTable[[#This Row],[ProjectName]]&amp;ContinuousStatsTable[[#This Row],[Name]]&amp;ContinuousStatsTable[[#This Row],[Type]]&amp;ContinuousStatsTable[[#This Row],[Source]]</f>
        <v>Unnamed ProjectNEWPAINTERNumber BusyResource</v>
      </c>
      <c r="N232" s="5" cm="1">
        <f t="array" ref="N232">MAX(IF((ProjectInfoTable[ProjectName]=ContinuousStatsTable[[#This Row],[ProjectName]]),(ProjectInfoTable[ProjectName]=ContinuousStatsTable[[#This Row],[ProjectName]])*ProjectInfoTable[NumberOfReplications]))</f>
        <v>10</v>
      </c>
      <c r="O232" s="5" cm="1">
        <f t="array" ref="O232">IFERROR(AVERAGE(IF((ContinuousStatsTable[GroupByKey]=ContinuousStatsTable[[#This Row],[GroupByKey]]),(ContinuousStatsTable[GroupByKey]=ContinuousStatsTable[[#This Row],[GroupByKey]])*ContinuousStatsTable[Average])),0)</f>
        <v>0.52518723279433455</v>
      </c>
      <c r="P232" s="5" cm="1">
        <f t="array" ref="P232">IFERROR(_xlfn.STDEV.S(IF((ContinuousStatsTable[GroupByKey]=ContinuousStatsTable[[#This Row],[GroupByKey]]),(ContinuousStatsTable[GroupByKey]=ContinuousStatsTable[[#This Row],[GroupByKey]])*ContinuousStatsTable[Average])),0)</f>
        <v>8.4087502405714581E-3</v>
      </c>
      <c r="Q232" s="5" cm="1">
        <f t="array" ref="Q232">MAX(IF((ProjectInfoTable[ProjectName]=ContinuousStatsTable[[#This Row],[ProjectName]]),(ProjectInfoTable[ProjectName]=ContinuousStatsTable[[#This Row],[ProjectName]])*ProjectInfoTable[ConfidenceInterval]))</f>
        <v>0.95</v>
      </c>
      <c r="R2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6.0152575551752803E-3</v>
      </c>
      <c r="S232" s="5" cm="1">
        <f t="array" ref="S232">MIN(IF((ContinuousStatsTable[GroupByKey]=ContinuousStatsTable[[#This Row],[GroupByKey]]),(ContinuousStatsTable[GroupByKey]=ContinuousStatsTable[[#This Row],[GroupByKey]])*ContinuousStatsTable[Average]))</f>
        <v>0.51150896826018899</v>
      </c>
      <c r="T232" s="5" cm="1">
        <f t="array" ref="T232">MAX(IF((ContinuousStatsTable[GroupByKey]=ContinuousStatsTable[[#This Row],[GroupByKey]]),(ContinuousStatsTable[GroupByKey]=ContinuousStatsTable[[#This Row],[GroupByKey]])*ContinuousStatsTable[Average]))</f>
        <v>0.54003281556404203</v>
      </c>
      <c r="U232" s="5">
        <f>IF((ContinuousStatsTable[[#This Row],[RepsRequested]]&gt;1),ContinuousStatsTable[[#This Row],[HalfWidth]],ContinuousStatsTable[[#This Row],[BatchMeansHalfWidth]])</f>
        <v>6.0152575551752803E-3</v>
      </c>
    </row>
    <row r="233" spans="1:21" x14ac:dyDescent="0.25">
      <c r="A233" t="s">
        <v>67</v>
      </c>
      <c r="B233" t="s">
        <v>69</v>
      </c>
      <c r="C233">
        <v>9</v>
      </c>
      <c r="D233" t="s">
        <v>104</v>
      </c>
      <c r="E233" t="s">
        <v>99</v>
      </c>
      <c r="F233" t="s">
        <v>106</v>
      </c>
      <c r="G233">
        <v>1</v>
      </c>
      <c r="H233">
        <v>2E+20</v>
      </c>
      <c r="I233">
        <v>1</v>
      </c>
      <c r="J233">
        <v>1</v>
      </c>
      <c r="K233">
        <v>1</v>
      </c>
      <c r="L233">
        <v>0</v>
      </c>
      <c r="M233" s="5" t="str">
        <f>ContinuousStatsTable[[#This Row],[ProjectName]]&amp;ContinuousStatsTable[[#This Row],[Name]]&amp;ContinuousStatsTable[[#This Row],[Type]]&amp;ContinuousStatsTable[[#This Row],[Source]]</f>
        <v>Unnamed ProjectNEWPAINTERNumber ScheduledResource</v>
      </c>
      <c r="N233" s="5" cm="1">
        <f t="array" ref="N233">MAX(IF((ProjectInfoTable[ProjectName]=ContinuousStatsTable[[#This Row],[ProjectName]]),(ProjectInfoTable[ProjectName]=ContinuousStatsTable[[#This Row],[ProjectName]])*ProjectInfoTable[NumberOfReplications]))</f>
        <v>10</v>
      </c>
      <c r="O233" s="5" cm="1">
        <f t="array" ref="O233">IFERROR(AVERAGE(IF((ContinuousStatsTable[GroupByKey]=ContinuousStatsTable[[#This Row],[GroupByKey]]),(ContinuousStatsTable[GroupByKey]=ContinuousStatsTable[[#This Row],[GroupByKey]])*ContinuousStatsTable[Average])),0)</f>
        <v>1</v>
      </c>
      <c r="P233" s="5" cm="1">
        <f t="array" ref="P233">IFERROR(_xlfn.STDEV.S(IF((ContinuousStatsTable[GroupByKey]=ContinuousStatsTable[[#This Row],[GroupByKey]]),(ContinuousStatsTable[GroupByKey]=ContinuousStatsTable[[#This Row],[GroupByKey]])*ContinuousStatsTable[Average])),0)</f>
        <v>0</v>
      </c>
      <c r="Q233" s="5" cm="1">
        <f t="array" ref="Q233">MAX(IF((ProjectInfoTable[ProjectName]=ContinuousStatsTable[[#This Row],[ProjectName]]),(ProjectInfoTable[ProjectName]=ContinuousStatsTable[[#This Row],[ProjectName]])*ProjectInfoTable[ConfidenceInterval]))</f>
        <v>0.95</v>
      </c>
      <c r="R2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3" s="5" cm="1">
        <f t="array" ref="S233">MIN(IF((ContinuousStatsTable[GroupByKey]=ContinuousStatsTable[[#This Row],[GroupByKey]]),(ContinuousStatsTable[GroupByKey]=ContinuousStatsTable[[#This Row],[GroupByKey]])*ContinuousStatsTable[Average]))</f>
        <v>1</v>
      </c>
      <c r="T233" s="5" cm="1">
        <f t="array" ref="T233">MAX(IF((ContinuousStatsTable[GroupByKey]=ContinuousStatsTable[[#This Row],[GroupByKey]]),(ContinuousStatsTable[GroupByKey]=ContinuousStatsTable[[#This Row],[GroupByKey]])*ContinuousStatsTable[Average]))</f>
        <v>1</v>
      </c>
      <c r="U233" s="5">
        <f>IF((ContinuousStatsTable[[#This Row],[RepsRequested]]&gt;1),ContinuousStatsTable[[#This Row],[HalfWidth]],ContinuousStatsTable[[#This Row],[BatchMeansHalfWidth]])</f>
        <v>0</v>
      </c>
    </row>
    <row r="234" spans="1:21" x14ac:dyDescent="0.25">
      <c r="A234" t="s">
        <v>67</v>
      </c>
      <c r="B234" t="s">
        <v>69</v>
      </c>
      <c r="C234">
        <v>9</v>
      </c>
      <c r="D234" t="s">
        <v>73</v>
      </c>
      <c r="E234" t="s">
        <v>101</v>
      </c>
      <c r="F234" t="s">
        <v>72</v>
      </c>
      <c r="G234">
        <v>0.173932894243709</v>
      </c>
      <c r="H234">
        <v>1.9121617547237402E-2</v>
      </c>
      <c r="I234">
        <v>0</v>
      </c>
      <c r="J234">
        <v>4</v>
      </c>
      <c r="K234">
        <v>0</v>
      </c>
      <c r="L234">
        <v>0</v>
      </c>
      <c r="M234" s="5" t="str">
        <f>ContinuousStatsTable[[#This Row],[ProjectName]]&amp;ContinuousStatsTable[[#This Row],[Name]]&amp;ContinuousStatsTable[[#This Row],[Type]]&amp;ContinuousStatsTable[[#This Row],[Source]]</f>
        <v>Unnamed ProjectNewPaintQNumber WaitingQueue</v>
      </c>
      <c r="N234" s="5" cm="1">
        <f t="array" ref="N234">MAX(IF((ProjectInfoTable[ProjectName]=ContinuousStatsTable[[#This Row],[ProjectName]]),(ProjectInfoTable[ProjectName]=ContinuousStatsTable[[#This Row],[ProjectName]])*ProjectInfoTable[NumberOfReplications]))</f>
        <v>10</v>
      </c>
      <c r="O234" s="5" cm="1">
        <f t="array" ref="O234">IFERROR(AVERAGE(IF((ContinuousStatsTable[GroupByKey]=ContinuousStatsTable[[#This Row],[GroupByKey]]),(ContinuousStatsTable[GroupByKey]=ContinuousStatsTable[[#This Row],[GroupByKey]])*ContinuousStatsTable[Average])),0)</f>
        <v>0.19175082727765341</v>
      </c>
      <c r="P234" s="5" cm="1">
        <f t="array" ref="P234">IFERROR(_xlfn.STDEV.S(IF((ContinuousStatsTable[GroupByKey]=ContinuousStatsTable[[#This Row],[GroupByKey]]),(ContinuousStatsTable[GroupByKey]=ContinuousStatsTable[[#This Row],[GroupByKey]])*ContinuousStatsTable[Average])),0)</f>
        <v>1.5966644693782381E-2</v>
      </c>
      <c r="Q234" s="5" cm="1">
        <f t="array" ref="Q234">MAX(IF((ProjectInfoTable[ProjectName]=ContinuousStatsTable[[#This Row],[ProjectName]]),(ProjectInfoTable[ProjectName]=ContinuousStatsTable[[#This Row],[ProjectName]])*ProjectInfoTable[ConfidenceInterval]))</f>
        <v>0.95</v>
      </c>
      <c r="R2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1.1421849546877095E-2</v>
      </c>
      <c r="S234" s="5" cm="1">
        <f t="array" ref="S234">MIN(IF((ContinuousStatsTable[GroupByKey]=ContinuousStatsTable[[#This Row],[GroupByKey]]),(ContinuousStatsTable[GroupByKey]=ContinuousStatsTable[[#This Row],[GroupByKey]])*ContinuousStatsTable[Average]))</f>
        <v>0.17015628683515099</v>
      </c>
      <c r="T234" s="5" cm="1">
        <f t="array" ref="T234">MAX(IF((ContinuousStatsTable[GroupByKey]=ContinuousStatsTable[[#This Row],[GroupByKey]]),(ContinuousStatsTable[GroupByKey]=ContinuousStatsTable[[#This Row],[GroupByKey]])*ContinuousStatsTable[Average]))</f>
        <v>0.217869952503708</v>
      </c>
      <c r="U234" s="5">
        <f>IF((ContinuousStatsTable[[#This Row],[RepsRequested]]&gt;1),ContinuousStatsTable[[#This Row],[HalfWidth]],ContinuousStatsTable[[#This Row],[BatchMeansHalfWidth]])</f>
        <v>1.1421849546877095E-2</v>
      </c>
    </row>
    <row r="235" spans="1:21" x14ac:dyDescent="0.25">
      <c r="A235" t="s">
        <v>67</v>
      </c>
      <c r="B235" t="s">
        <v>69</v>
      </c>
      <c r="C235">
        <v>9</v>
      </c>
      <c r="D235" t="s">
        <v>74</v>
      </c>
      <c r="E235" t="s">
        <v>101</v>
      </c>
      <c r="F235" t="s">
        <v>72</v>
      </c>
      <c r="G235">
        <v>4.8373031091962903E-3</v>
      </c>
      <c r="H235">
        <v>3.6066396962137299E-4</v>
      </c>
      <c r="I235">
        <v>0</v>
      </c>
      <c r="J235">
        <v>1</v>
      </c>
      <c r="K235">
        <v>0</v>
      </c>
      <c r="L235">
        <v>0</v>
      </c>
      <c r="M235" s="5" t="str">
        <f>ContinuousStatsTable[[#This Row],[ProjectName]]&amp;ContinuousStatsTable[[#This Row],[Name]]&amp;ContinuousStatsTable[[#This Row],[Type]]&amp;ContinuousStatsTable[[#This Row],[Source]]</f>
        <v>Unnamed ProjectNewPaintReqQNumber WaitingQueue</v>
      </c>
      <c r="N235" s="5" cm="1">
        <f t="array" ref="N235">MAX(IF((ProjectInfoTable[ProjectName]=ContinuousStatsTable[[#This Row],[ProjectName]]),(ProjectInfoTable[ProjectName]=ContinuousStatsTable[[#This Row],[ProjectName]])*ProjectInfoTable[NumberOfReplications]))</f>
        <v>10</v>
      </c>
      <c r="O235" s="5" cm="1">
        <f t="array" ref="O235">IFERROR(AVERAGE(IF((ContinuousStatsTable[GroupByKey]=ContinuousStatsTable[[#This Row],[GroupByKey]]),(ContinuousStatsTable[GroupByKey]=ContinuousStatsTable[[#This Row],[GroupByKey]])*ContinuousStatsTable[Average])),0)</f>
        <v>4.7461022101932173E-3</v>
      </c>
      <c r="P235" s="5" cm="1">
        <f t="array" ref="P235">IFERROR(_xlfn.STDEV.S(IF((ContinuousStatsTable[GroupByKey]=ContinuousStatsTable[[#This Row],[GroupByKey]]),(ContinuousStatsTable[GroupByKey]=ContinuousStatsTable[[#This Row],[GroupByKey]])*ContinuousStatsTable[Average])),0)</f>
        <v>2.0643575159293872E-4</v>
      </c>
      <c r="Q235" s="5" cm="1">
        <f t="array" ref="Q235">MAX(IF((ProjectInfoTable[ProjectName]=ContinuousStatsTable[[#This Row],[ProjectName]]),(ProjectInfoTable[ProjectName]=ContinuousStatsTable[[#This Row],[ProjectName]])*ProjectInfoTable[ConfidenceInterval]))</f>
        <v>0.95</v>
      </c>
      <c r="R2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1.4767524054125336E-4</v>
      </c>
      <c r="S235" s="5" cm="1">
        <f t="array" ref="S235">MIN(IF((ContinuousStatsTable[GroupByKey]=ContinuousStatsTable[[#This Row],[GroupByKey]]),(ContinuousStatsTable[GroupByKey]=ContinuousStatsTable[[#This Row],[GroupByKey]])*ContinuousStatsTable[Average]))</f>
        <v>4.3438456155572196E-3</v>
      </c>
      <c r="T235" s="5" cm="1">
        <f t="array" ref="T235">MAX(IF((ContinuousStatsTable[GroupByKey]=ContinuousStatsTable[[#This Row],[GroupByKey]]),(ContinuousStatsTable[GroupByKey]=ContinuousStatsTable[[#This Row],[GroupByKey]])*ContinuousStatsTable[Average]))</f>
        <v>5.0878342070728201E-3</v>
      </c>
      <c r="U235" s="5">
        <f>IF((ContinuousStatsTable[[#This Row],[RepsRequested]]&gt;1),ContinuousStatsTable[[#This Row],[HalfWidth]],ContinuousStatsTable[[#This Row],[BatchMeansHalfWidth]])</f>
        <v>1.4767524054125336E-4</v>
      </c>
    </row>
    <row r="236" spans="1:21" x14ac:dyDescent="0.25">
      <c r="A236" t="s">
        <v>67</v>
      </c>
      <c r="B236" t="s">
        <v>69</v>
      </c>
      <c r="C236">
        <v>9</v>
      </c>
      <c r="D236" t="s">
        <v>75</v>
      </c>
      <c r="E236" t="s">
        <v>103</v>
      </c>
      <c r="F236" t="s">
        <v>77</v>
      </c>
      <c r="G236">
        <v>2.4957350600538599</v>
      </c>
      <c r="H236">
        <v>0.110842955258267</v>
      </c>
      <c r="I236">
        <v>0</v>
      </c>
      <c r="J236">
        <v>14</v>
      </c>
      <c r="K236">
        <v>2</v>
      </c>
      <c r="L236">
        <v>0</v>
      </c>
      <c r="M236" s="5" t="str">
        <f>ContinuousStatsTable[[#This Row],[ProjectName]]&amp;ContinuousStatsTable[[#This Row],[Name]]&amp;ContinuousStatsTable[[#This Row],[Type]]&amp;ContinuousStatsTable[[#This Row],[Source]]</f>
        <v>Unnamed ProjectNewPartWIPEntity</v>
      </c>
      <c r="N236" s="5" cm="1">
        <f t="array" ref="N236">MAX(IF((ProjectInfoTable[ProjectName]=ContinuousStatsTable[[#This Row],[ProjectName]]),(ProjectInfoTable[ProjectName]=ContinuousStatsTable[[#This Row],[ProjectName]])*ProjectInfoTable[NumberOfReplications]))</f>
        <v>10</v>
      </c>
      <c r="O236" s="5" cm="1">
        <f t="array" ref="O236">IFERROR(AVERAGE(IF((ContinuousStatsTable[GroupByKey]=ContinuousStatsTable[[#This Row],[GroupByKey]]),(ContinuousStatsTable[GroupByKey]=ContinuousStatsTable[[#This Row],[GroupByKey]])*ContinuousStatsTable[Average])),0)</f>
        <v>2.5498900061729541</v>
      </c>
      <c r="P236" s="5" cm="1">
        <f t="array" ref="P236">IFERROR(_xlfn.STDEV.S(IF((ContinuousStatsTable[GroupByKey]=ContinuousStatsTable[[#This Row],[GroupByKey]]),(ContinuousStatsTable[GroupByKey]=ContinuousStatsTable[[#This Row],[GroupByKey]])*ContinuousStatsTable[Average])),0)</f>
        <v>7.472159430415927E-2</v>
      </c>
      <c r="Q236" s="5" cm="1">
        <f t="array" ref="Q236">MAX(IF((ProjectInfoTable[ProjectName]=ContinuousStatsTable[[#This Row],[ProjectName]]),(ProjectInfoTable[ProjectName]=ContinuousStatsTable[[#This Row],[ProjectName]])*ProjectInfoTable[ConfidenceInterval]))</f>
        <v>0.95</v>
      </c>
      <c r="R2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5.3452608510618609E-2</v>
      </c>
      <c r="S236" s="5" cm="1">
        <f t="array" ref="S236">MIN(IF((ContinuousStatsTable[GroupByKey]=ContinuousStatsTable[[#This Row],[GroupByKey]]),(ContinuousStatsTable[GroupByKey]=ContinuousStatsTable[[#This Row],[GroupByKey]])*ContinuousStatsTable[Average]))</f>
        <v>2.4192292508998099</v>
      </c>
      <c r="T236" s="5" cm="1">
        <f t="array" ref="T236">MAX(IF((ContinuousStatsTable[GroupByKey]=ContinuousStatsTable[[#This Row],[GroupByKey]]),(ContinuousStatsTable[GroupByKey]=ContinuousStatsTable[[#This Row],[GroupByKey]])*ContinuousStatsTable[Average]))</f>
        <v>2.6620431560013098</v>
      </c>
      <c r="U236" s="5">
        <f>IF((ContinuousStatsTable[[#This Row],[RepsRequested]]&gt;1),ContinuousStatsTable[[#This Row],[HalfWidth]],ContinuousStatsTable[[#This Row],[BatchMeansHalfWidth]])</f>
        <v>5.3452608510618609E-2</v>
      </c>
    </row>
    <row r="237" spans="1:21" x14ac:dyDescent="0.25">
      <c r="A237" t="s">
        <v>67</v>
      </c>
      <c r="B237" t="s">
        <v>69</v>
      </c>
      <c r="C237">
        <v>9</v>
      </c>
      <c r="D237" t="s">
        <v>83</v>
      </c>
      <c r="E237" t="s">
        <v>103</v>
      </c>
      <c r="F237" t="s">
        <v>77</v>
      </c>
      <c r="G237">
        <v>4.9200206759892202</v>
      </c>
      <c r="H237">
        <v>0.21917397006161701</v>
      </c>
      <c r="I237">
        <v>0</v>
      </c>
      <c r="J237">
        <v>20</v>
      </c>
      <c r="K237">
        <v>4</v>
      </c>
      <c r="L237">
        <v>0</v>
      </c>
      <c r="M237" s="5" t="str">
        <f>ContinuousStatsTable[[#This Row],[ProjectName]]&amp;ContinuousStatsTable[[#This Row],[Name]]&amp;ContinuousStatsTable[[#This Row],[Type]]&amp;ContinuousStatsTable[[#This Row],[Source]]</f>
        <v>Unnamed ProjectOldPartWIPEntity</v>
      </c>
      <c r="N237" s="5" cm="1">
        <f t="array" ref="N237">MAX(IF((ProjectInfoTable[ProjectName]=ContinuousStatsTable[[#This Row],[ProjectName]]),(ProjectInfoTable[ProjectName]=ContinuousStatsTable[[#This Row],[ProjectName]])*ProjectInfoTable[NumberOfReplications]))</f>
        <v>10</v>
      </c>
      <c r="O237" s="5" cm="1">
        <f t="array" ref="O237">IFERROR(AVERAGE(IF((ContinuousStatsTable[GroupByKey]=ContinuousStatsTable[[#This Row],[GroupByKey]]),(ContinuousStatsTable[GroupByKey]=ContinuousStatsTable[[#This Row],[GroupByKey]])*ContinuousStatsTable[Average])),0)</f>
        <v>4.9513834264802963</v>
      </c>
      <c r="P237" s="5" cm="1">
        <f t="array" ref="P237">IFERROR(_xlfn.STDEV.S(IF((ContinuousStatsTable[GroupByKey]=ContinuousStatsTable[[#This Row],[GroupByKey]]),(ContinuousStatsTable[GroupByKey]=ContinuousStatsTable[[#This Row],[GroupByKey]])*ContinuousStatsTable[Average])),0)</f>
        <v>0.10244397191297382</v>
      </c>
      <c r="Q237" s="5" cm="1">
        <f t="array" ref="Q237">MAX(IF((ProjectInfoTable[ProjectName]=ContinuousStatsTable[[#This Row],[ProjectName]]),(ProjectInfoTable[ProjectName]=ContinuousStatsTable[[#This Row],[ProjectName]])*ProjectInfoTable[ConfidenceInterval]))</f>
        <v>0.95</v>
      </c>
      <c r="R2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7.3284002783010616E-2</v>
      </c>
      <c r="S237" s="5" cm="1">
        <f t="array" ref="S237">MIN(IF((ContinuousStatsTable[GroupByKey]=ContinuousStatsTable[[#This Row],[GroupByKey]]),(ContinuousStatsTable[GroupByKey]=ContinuousStatsTable[[#This Row],[GroupByKey]])*ContinuousStatsTable[Average]))</f>
        <v>4.82855853416822</v>
      </c>
      <c r="T237" s="5" cm="1">
        <f t="array" ref="T237">MAX(IF((ContinuousStatsTable[GroupByKey]=ContinuousStatsTable[[#This Row],[GroupByKey]]),(ContinuousStatsTable[GroupByKey]=ContinuousStatsTable[[#This Row],[GroupByKey]])*ContinuousStatsTable[Average]))</f>
        <v>5.1212851674768203</v>
      </c>
      <c r="U237" s="5">
        <f>IF((ContinuousStatsTable[[#This Row],[RepsRequested]]&gt;1),ContinuousStatsTable[[#This Row],[HalfWidth]],ContinuousStatsTable[[#This Row],[BatchMeansHalfWidth]])</f>
        <v>7.3284002783010616E-2</v>
      </c>
    </row>
    <row r="238" spans="1:21" x14ac:dyDescent="0.25">
      <c r="A238" t="s">
        <v>67</v>
      </c>
      <c r="B238" t="s">
        <v>69</v>
      </c>
      <c r="C238">
        <v>9</v>
      </c>
      <c r="D238" t="s">
        <v>107</v>
      </c>
      <c r="E238" t="s">
        <v>105</v>
      </c>
      <c r="F238" t="s">
        <v>106</v>
      </c>
      <c r="G238">
        <v>0.815755455608563</v>
      </c>
      <c r="H238">
        <v>1.11742129920092E-2</v>
      </c>
      <c r="I238">
        <v>0</v>
      </c>
      <c r="J238">
        <v>1</v>
      </c>
      <c r="K238">
        <v>0</v>
      </c>
      <c r="L238">
        <v>0</v>
      </c>
      <c r="M238" s="5" t="str">
        <f>ContinuousStatsTable[[#This Row],[ProjectName]]&amp;ContinuousStatsTable[[#This Row],[Name]]&amp;ContinuousStatsTable[[#This Row],[Type]]&amp;ContinuousStatsTable[[#This Row],[Source]]</f>
        <v>Unnamed ProjectPACKERInstantaneous UtilizationResource</v>
      </c>
      <c r="N238" s="5" cm="1">
        <f t="array" ref="N238">MAX(IF((ProjectInfoTable[ProjectName]=ContinuousStatsTable[[#This Row],[ProjectName]]),(ProjectInfoTable[ProjectName]=ContinuousStatsTable[[#This Row],[ProjectName]])*ProjectInfoTable[NumberOfReplications]))</f>
        <v>10</v>
      </c>
      <c r="O238" s="5" cm="1">
        <f t="array" ref="O238">IFERROR(AVERAGE(IF((ContinuousStatsTable[GroupByKey]=ContinuousStatsTable[[#This Row],[GroupByKey]]),(ContinuousStatsTable[GroupByKey]=ContinuousStatsTable[[#This Row],[GroupByKey]])*ContinuousStatsTable[Average])),0)</f>
        <v>0.81557194281027567</v>
      </c>
      <c r="P238" s="5" cm="1">
        <f t="array" ref="P238">IFERROR(_xlfn.STDEV.S(IF((ContinuousStatsTable[GroupByKey]=ContinuousStatsTable[[#This Row],[GroupByKey]]),(ContinuousStatsTable[GroupByKey]=ContinuousStatsTable[[#This Row],[GroupByKey]])*ContinuousStatsTable[Average])),0)</f>
        <v>6.9416851287817331E-3</v>
      </c>
      <c r="Q238" s="5" cm="1">
        <f t="array" ref="Q238">MAX(IF((ProjectInfoTable[ProjectName]=ContinuousStatsTable[[#This Row],[ProjectName]]),(ProjectInfoTable[ProjectName]=ContinuousStatsTable[[#This Row],[ProjectName]])*ProjectInfoTable[ConfidenceInterval]))</f>
        <v>0.95</v>
      </c>
      <c r="R2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4.9657823959478754E-3</v>
      </c>
      <c r="S238" s="5" cm="1">
        <f t="array" ref="S238">MIN(IF((ContinuousStatsTable[GroupByKey]=ContinuousStatsTable[[#This Row],[GroupByKey]]),(ContinuousStatsTable[GroupByKey]=ContinuousStatsTable[[#This Row],[GroupByKey]])*ContinuousStatsTable[Average]))</f>
        <v>0.80675605099888203</v>
      </c>
      <c r="T238" s="5" cm="1">
        <f t="array" ref="T238">MAX(IF((ContinuousStatsTable[GroupByKey]=ContinuousStatsTable[[#This Row],[GroupByKey]]),(ContinuousStatsTable[GroupByKey]=ContinuousStatsTable[[#This Row],[GroupByKey]])*ContinuousStatsTable[Average]))</f>
        <v>0.82818429749007605</v>
      </c>
      <c r="U238" s="5">
        <f>IF((ContinuousStatsTable[[#This Row],[RepsRequested]]&gt;1),ContinuousStatsTable[[#This Row],[HalfWidth]],ContinuousStatsTable[[#This Row],[BatchMeansHalfWidth]])</f>
        <v>4.9657823959478754E-3</v>
      </c>
    </row>
    <row r="239" spans="1:21" x14ac:dyDescent="0.25">
      <c r="A239" t="s">
        <v>67</v>
      </c>
      <c r="B239" t="s">
        <v>69</v>
      </c>
      <c r="C239">
        <v>9</v>
      </c>
      <c r="D239" t="s">
        <v>107</v>
      </c>
      <c r="E239" t="s">
        <v>97</v>
      </c>
      <c r="F239" t="s">
        <v>106</v>
      </c>
      <c r="G239">
        <v>0.815755455608563</v>
      </c>
      <c r="H239">
        <v>1.11742129920092E-2</v>
      </c>
      <c r="I239">
        <v>0</v>
      </c>
      <c r="J239">
        <v>1</v>
      </c>
      <c r="K239">
        <v>0</v>
      </c>
      <c r="L239">
        <v>0</v>
      </c>
      <c r="M239" s="5" t="str">
        <f>ContinuousStatsTable[[#This Row],[ProjectName]]&amp;ContinuousStatsTable[[#This Row],[Name]]&amp;ContinuousStatsTable[[#This Row],[Type]]&amp;ContinuousStatsTable[[#This Row],[Source]]</f>
        <v>Unnamed ProjectPACKERNumber BusyResource</v>
      </c>
      <c r="N239" s="5" cm="1">
        <f t="array" ref="N239">MAX(IF((ProjectInfoTable[ProjectName]=ContinuousStatsTable[[#This Row],[ProjectName]]),(ProjectInfoTable[ProjectName]=ContinuousStatsTable[[#This Row],[ProjectName]])*ProjectInfoTable[NumberOfReplications]))</f>
        <v>10</v>
      </c>
      <c r="O239" s="5" cm="1">
        <f t="array" ref="O239">IFERROR(AVERAGE(IF((ContinuousStatsTable[GroupByKey]=ContinuousStatsTable[[#This Row],[GroupByKey]]),(ContinuousStatsTable[GroupByKey]=ContinuousStatsTable[[#This Row],[GroupByKey]])*ContinuousStatsTable[Average])),0)</f>
        <v>0.81557194281027567</v>
      </c>
      <c r="P239" s="5" cm="1">
        <f t="array" ref="P239">IFERROR(_xlfn.STDEV.S(IF((ContinuousStatsTable[GroupByKey]=ContinuousStatsTable[[#This Row],[GroupByKey]]),(ContinuousStatsTable[GroupByKey]=ContinuousStatsTable[[#This Row],[GroupByKey]])*ContinuousStatsTable[Average])),0)</f>
        <v>6.9416851287817331E-3</v>
      </c>
      <c r="Q239" s="5" cm="1">
        <f t="array" ref="Q239">MAX(IF((ProjectInfoTable[ProjectName]=ContinuousStatsTable[[#This Row],[ProjectName]]),(ProjectInfoTable[ProjectName]=ContinuousStatsTable[[#This Row],[ProjectName]])*ProjectInfoTable[ConfidenceInterval]))</f>
        <v>0.95</v>
      </c>
      <c r="R2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4.9657823959478754E-3</v>
      </c>
      <c r="S239" s="5" cm="1">
        <f t="array" ref="S239">MIN(IF((ContinuousStatsTable[GroupByKey]=ContinuousStatsTable[[#This Row],[GroupByKey]]),(ContinuousStatsTable[GroupByKey]=ContinuousStatsTable[[#This Row],[GroupByKey]])*ContinuousStatsTable[Average]))</f>
        <v>0.80675605099888203</v>
      </c>
      <c r="T239" s="5" cm="1">
        <f t="array" ref="T239">MAX(IF((ContinuousStatsTable[GroupByKey]=ContinuousStatsTable[[#This Row],[GroupByKey]]),(ContinuousStatsTable[GroupByKey]=ContinuousStatsTable[[#This Row],[GroupByKey]])*ContinuousStatsTable[Average]))</f>
        <v>0.82818429749007605</v>
      </c>
      <c r="U239" s="5">
        <f>IF((ContinuousStatsTable[[#This Row],[RepsRequested]]&gt;1),ContinuousStatsTable[[#This Row],[HalfWidth]],ContinuousStatsTable[[#This Row],[BatchMeansHalfWidth]])</f>
        <v>4.9657823959478754E-3</v>
      </c>
    </row>
    <row r="240" spans="1:21" x14ac:dyDescent="0.25">
      <c r="A240" t="s">
        <v>67</v>
      </c>
      <c r="B240" t="s">
        <v>69</v>
      </c>
      <c r="C240">
        <v>9</v>
      </c>
      <c r="D240" t="s">
        <v>107</v>
      </c>
      <c r="E240" t="s">
        <v>99</v>
      </c>
      <c r="F240" t="s">
        <v>106</v>
      </c>
      <c r="G240">
        <v>1</v>
      </c>
      <c r="H240">
        <v>2E+20</v>
      </c>
      <c r="I240">
        <v>1</v>
      </c>
      <c r="J240">
        <v>1</v>
      </c>
      <c r="K240">
        <v>1</v>
      </c>
      <c r="L240">
        <v>0</v>
      </c>
      <c r="M240" s="5" t="str">
        <f>ContinuousStatsTable[[#This Row],[ProjectName]]&amp;ContinuousStatsTable[[#This Row],[Name]]&amp;ContinuousStatsTable[[#This Row],[Type]]&amp;ContinuousStatsTable[[#This Row],[Source]]</f>
        <v>Unnamed ProjectPACKERNumber ScheduledResource</v>
      </c>
      <c r="N240" s="5" cm="1">
        <f t="array" ref="N240">MAX(IF((ProjectInfoTable[ProjectName]=ContinuousStatsTable[[#This Row],[ProjectName]]),(ProjectInfoTable[ProjectName]=ContinuousStatsTable[[#This Row],[ProjectName]])*ProjectInfoTable[NumberOfReplications]))</f>
        <v>10</v>
      </c>
      <c r="O240" s="5" cm="1">
        <f t="array" ref="O240">IFERROR(AVERAGE(IF((ContinuousStatsTable[GroupByKey]=ContinuousStatsTable[[#This Row],[GroupByKey]]),(ContinuousStatsTable[GroupByKey]=ContinuousStatsTable[[#This Row],[GroupByKey]])*ContinuousStatsTable[Average])),0)</f>
        <v>1</v>
      </c>
      <c r="P240" s="5" cm="1">
        <f t="array" ref="P240">IFERROR(_xlfn.STDEV.S(IF((ContinuousStatsTable[GroupByKey]=ContinuousStatsTable[[#This Row],[GroupByKey]]),(ContinuousStatsTable[GroupByKey]=ContinuousStatsTable[[#This Row],[GroupByKey]])*ContinuousStatsTable[Average])),0)</f>
        <v>0</v>
      </c>
      <c r="Q240" s="5" cm="1">
        <f t="array" ref="Q240">MAX(IF((ProjectInfoTable[ProjectName]=ContinuousStatsTable[[#This Row],[ProjectName]]),(ProjectInfoTable[ProjectName]=ContinuousStatsTable[[#This Row],[ProjectName]])*ProjectInfoTable[ConfidenceInterval]))</f>
        <v>0.95</v>
      </c>
      <c r="R2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0" s="5" cm="1">
        <f t="array" ref="S240">MIN(IF((ContinuousStatsTable[GroupByKey]=ContinuousStatsTable[[#This Row],[GroupByKey]]),(ContinuousStatsTable[GroupByKey]=ContinuousStatsTable[[#This Row],[GroupByKey]])*ContinuousStatsTable[Average]))</f>
        <v>1</v>
      </c>
      <c r="T240" s="5" cm="1">
        <f t="array" ref="T240">MAX(IF((ContinuousStatsTable[GroupByKey]=ContinuousStatsTable[[#This Row],[GroupByKey]]),(ContinuousStatsTable[GroupByKey]=ContinuousStatsTable[[#This Row],[GroupByKey]])*ContinuousStatsTable[Average]))</f>
        <v>1</v>
      </c>
      <c r="U240" s="5">
        <f>IF((ContinuousStatsTable[[#This Row],[RepsRequested]]&gt;1),ContinuousStatsTable[[#This Row],[HalfWidth]],ContinuousStatsTable[[#This Row],[BatchMeansHalfWidth]])</f>
        <v>0</v>
      </c>
    </row>
    <row r="241" spans="1:21" x14ac:dyDescent="0.25">
      <c r="A241" t="s">
        <v>67</v>
      </c>
      <c r="B241" t="s">
        <v>69</v>
      </c>
      <c r="C241">
        <v>9</v>
      </c>
      <c r="D241" t="s">
        <v>108</v>
      </c>
      <c r="E241" t="s">
        <v>105</v>
      </c>
      <c r="F241" t="s">
        <v>106</v>
      </c>
      <c r="G241">
        <v>0.55170450646758595</v>
      </c>
      <c r="H241">
        <v>9.2285510626745008E-3</v>
      </c>
      <c r="I241">
        <v>0</v>
      </c>
      <c r="J241">
        <v>1</v>
      </c>
      <c r="K241">
        <v>1</v>
      </c>
      <c r="L241">
        <v>0</v>
      </c>
      <c r="M241" s="5" t="str">
        <f>ContinuousStatsTable[[#This Row],[ProjectName]]&amp;ContinuousStatsTable[[#This Row],[Name]]&amp;ContinuousStatsTable[[#This Row],[Type]]&amp;ContinuousStatsTable[[#This Row],[Source]]</f>
        <v>Unnamed ProjectPAINTERInstantaneous UtilizationResource</v>
      </c>
      <c r="N241" s="5" cm="1">
        <f t="array" ref="N241">MAX(IF((ProjectInfoTable[ProjectName]=ContinuousStatsTable[[#This Row],[ProjectName]]),(ProjectInfoTable[ProjectName]=ContinuousStatsTable[[#This Row],[ProjectName]])*ProjectInfoTable[NumberOfReplications]))</f>
        <v>10</v>
      </c>
      <c r="O241" s="5" cm="1">
        <f t="array" ref="O241">IFERROR(AVERAGE(IF((ContinuousStatsTable[GroupByKey]=ContinuousStatsTable[[#This Row],[GroupByKey]]),(ContinuousStatsTable[GroupByKey]=ContinuousStatsTable[[#This Row],[GroupByKey]])*ContinuousStatsTable[Average])),0)</f>
        <v>0.54938142053560801</v>
      </c>
      <c r="P241" s="5" cm="1">
        <f t="array" ref="P241">IFERROR(_xlfn.STDEV.S(IF((ContinuousStatsTable[GroupByKey]=ContinuousStatsTable[[#This Row],[GroupByKey]]),(ContinuousStatsTable[GroupByKey]=ContinuousStatsTable[[#This Row],[GroupByKey]])*ContinuousStatsTable[Average])),0)</f>
        <v>4.5196387022068685E-3</v>
      </c>
      <c r="Q241" s="5" cm="1">
        <f t="array" ref="Q241">MAX(IF((ProjectInfoTable[ProjectName]=ContinuousStatsTable[[#This Row],[ProjectName]]),(ProjectInfoTable[ProjectName]=ContinuousStatsTable[[#This Row],[ProjectName]])*ProjectInfoTable[ConfidenceInterval]))</f>
        <v>0.95</v>
      </c>
      <c r="R2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3.2331547581159752E-3</v>
      </c>
      <c r="S241" s="5" cm="1">
        <f t="array" ref="S241">MIN(IF((ContinuousStatsTable[GroupByKey]=ContinuousStatsTable[[#This Row],[GroupByKey]]),(ContinuousStatsTable[GroupByKey]=ContinuousStatsTable[[#This Row],[GroupByKey]])*ContinuousStatsTable[Average]))</f>
        <v>0.54030874063430001</v>
      </c>
      <c r="T241" s="5" cm="1">
        <f t="array" ref="T241">MAX(IF((ContinuousStatsTable[GroupByKey]=ContinuousStatsTable[[#This Row],[GroupByKey]]),(ContinuousStatsTable[GroupByKey]=ContinuousStatsTable[[#This Row],[GroupByKey]])*ContinuousStatsTable[Average]))</f>
        <v>0.55566835138728998</v>
      </c>
      <c r="U241" s="5">
        <f>IF((ContinuousStatsTable[[#This Row],[RepsRequested]]&gt;1),ContinuousStatsTable[[#This Row],[HalfWidth]],ContinuousStatsTable[[#This Row],[BatchMeansHalfWidth]])</f>
        <v>3.2331547581159752E-3</v>
      </c>
    </row>
    <row r="242" spans="1:21" x14ac:dyDescent="0.25">
      <c r="A242" t="s">
        <v>67</v>
      </c>
      <c r="B242" t="s">
        <v>69</v>
      </c>
      <c r="C242">
        <v>9</v>
      </c>
      <c r="D242" t="s">
        <v>108</v>
      </c>
      <c r="E242" t="s">
        <v>97</v>
      </c>
      <c r="F242" t="s">
        <v>106</v>
      </c>
      <c r="G242">
        <v>0.55170450646758595</v>
      </c>
      <c r="H242">
        <v>9.2285510626745008E-3</v>
      </c>
      <c r="I242">
        <v>0</v>
      </c>
      <c r="J242">
        <v>1</v>
      </c>
      <c r="K242">
        <v>1</v>
      </c>
      <c r="L242">
        <v>0</v>
      </c>
      <c r="M242" s="5" t="str">
        <f>ContinuousStatsTable[[#This Row],[ProjectName]]&amp;ContinuousStatsTable[[#This Row],[Name]]&amp;ContinuousStatsTable[[#This Row],[Type]]&amp;ContinuousStatsTable[[#This Row],[Source]]</f>
        <v>Unnamed ProjectPAINTERNumber BusyResource</v>
      </c>
      <c r="N242" s="5" cm="1">
        <f t="array" ref="N242">MAX(IF((ProjectInfoTable[ProjectName]=ContinuousStatsTable[[#This Row],[ProjectName]]),(ProjectInfoTable[ProjectName]=ContinuousStatsTable[[#This Row],[ProjectName]])*ProjectInfoTable[NumberOfReplications]))</f>
        <v>10</v>
      </c>
      <c r="O242" s="5" cm="1">
        <f t="array" ref="O242">IFERROR(AVERAGE(IF((ContinuousStatsTable[GroupByKey]=ContinuousStatsTable[[#This Row],[GroupByKey]]),(ContinuousStatsTable[GroupByKey]=ContinuousStatsTable[[#This Row],[GroupByKey]])*ContinuousStatsTable[Average])),0)</f>
        <v>0.54938142053560801</v>
      </c>
      <c r="P242" s="5" cm="1">
        <f t="array" ref="P242">IFERROR(_xlfn.STDEV.S(IF((ContinuousStatsTable[GroupByKey]=ContinuousStatsTable[[#This Row],[GroupByKey]]),(ContinuousStatsTable[GroupByKey]=ContinuousStatsTable[[#This Row],[GroupByKey]])*ContinuousStatsTable[Average])),0)</f>
        <v>4.5196387022068685E-3</v>
      </c>
      <c r="Q242" s="5" cm="1">
        <f t="array" ref="Q242">MAX(IF((ProjectInfoTable[ProjectName]=ContinuousStatsTable[[#This Row],[ProjectName]]),(ProjectInfoTable[ProjectName]=ContinuousStatsTable[[#This Row],[ProjectName]])*ProjectInfoTable[ConfidenceInterval]))</f>
        <v>0.95</v>
      </c>
      <c r="R2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3.2331547581159752E-3</v>
      </c>
      <c r="S242" s="5" cm="1">
        <f t="array" ref="S242">MIN(IF((ContinuousStatsTable[GroupByKey]=ContinuousStatsTable[[#This Row],[GroupByKey]]),(ContinuousStatsTable[GroupByKey]=ContinuousStatsTable[[#This Row],[GroupByKey]])*ContinuousStatsTable[Average]))</f>
        <v>0.54030874063430001</v>
      </c>
      <c r="T242" s="5" cm="1">
        <f t="array" ref="T242">MAX(IF((ContinuousStatsTable[GroupByKey]=ContinuousStatsTable[[#This Row],[GroupByKey]]),(ContinuousStatsTable[GroupByKey]=ContinuousStatsTable[[#This Row],[GroupByKey]])*ContinuousStatsTable[Average]))</f>
        <v>0.55566835138728998</v>
      </c>
      <c r="U242" s="5">
        <f>IF((ContinuousStatsTable[[#This Row],[RepsRequested]]&gt;1),ContinuousStatsTable[[#This Row],[HalfWidth]],ContinuousStatsTable[[#This Row],[BatchMeansHalfWidth]])</f>
        <v>3.2331547581159752E-3</v>
      </c>
    </row>
    <row r="243" spans="1:21" x14ac:dyDescent="0.25">
      <c r="A243" t="s">
        <v>67</v>
      </c>
      <c r="B243" t="s">
        <v>69</v>
      </c>
      <c r="C243">
        <v>9</v>
      </c>
      <c r="D243" t="s">
        <v>108</v>
      </c>
      <c r="E243" t="s">
        <v>99</v>
      </c>
      <c r="F243" t="s">
        <v>106</v>
      </c>
      <c r="G243">
        <v>1</v>
      </c>
      <c r="H243">
        <v>2E+20</v>
      </c>
      <c r="I243">
        <v>1</v>
      </c>
      <c r="J243">
        <v>1</v>
      </c>
      <c r="K243">
        <v>1</v>
      </c>
      <c r="L243">
        <v>0</v>
      </c>
      <c r="M243" s="5" t="str">
        <f>ContinuousStatsTable[[#This Row],[ProjectName]]&amp;ContinuousStatsTable[[#This Row],[Name]]&amp;ContinuousStatsTable[[#This Row],[Type]]&amp;ContinuousStatsTable[[#This Row],[Source]]</f>
        <v>Unnamed ProjectPAINTERNumber ScheduledResource</v>
      </c>
      <c r="N243" s="5" cm="1">
        <f t="array" ref="N243">MAX(IF((ProjectInfoTable[ProjectName]=ContinuousStatsTable[[#This Row],[ProjectName]]),(ProjectInfoTable[ProjectName]=ContinuousStatsTable[[#This Row],[ProjectName]])*ProjectInfoTable[NumberOfReplications]))</f>
        <v>10</v>
      </c>
      <c r="O243" s="5" cm="1">
        <f t="array" ref="O243">IFERROR(AVERAGE(IF((ContinuousStatsTable[GroupByKey]=ContinuousStatsTable[[#This Row],[GroupByKey]]),(ContinuousStatsTable[GroupByKey]=ContinuousStatsTable[[#This Row],[GroupByKey]])*ContinuousStatsTable[Average])),0)</f>
        <v>1</v>
      </c>
      <c r="P243" s="5" cm="1">
        <f t="array" ref="P243">IFERROR(_xlfn.STDEV.S(IF((ContinuousStatsTable[GroupByKey]=ContinuousStatsTable[[#This Row],[GroupByKey]]),(ContinuousStatsTable[GroupByKey]=ContinuousStatsTable[[#This Row],[GroupByKey]])*ContinuousStatsTable[Average])),0)</f>
        <v>0</v>
      </c>
      <c r="Q243" s="5" cm="1">
        <f t="array" ref="Q243">MAX(IF((ProjectInfoTable[ProjectName]=ContinuousStatsTable[[#This Row],[ProjectName]]),(ProjectInfoTable[ProjectName]=ContinuousStatsTable[[#This Row],[ProjectName]])*ProjectInfoTable[ConfidenceInterval]))</f>
        <v>0.95</v>
      </c>
      <c r="R2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3" s="5" cm="1">
        <f t="array" ref="S243">MIN(IF((ContinuousStatsTable[GroupByKey]=ContinuousStatsTable[[#This Row],[GroupByKey]]),(ContinuousStatsTable[GroupByKey]=ContinuousStatsTable[[#This Row],[GroupByKey]])*ContinuousStatsTable[Average]))</f>
        <v>1</v>
      </c>
      <c r="T243" s="5" cm="1">
        <f t="array" ref="T243">MAX(IF((ContinuousStatsTable[GroupByKey]=ContinuousStatsTable[[#This Row],[GroupByKey]]),(ContinuousStatsTable[GroupByKey]=ContinuousStatsTable[[#This Row],[GroupByKey]])*ContinuousStatsTable[Average]))</f>
        <v>1</v>
      </c>
      <c r="U243" s="5">
        <f>IF((ContinuousStatsTable[[#This Row],[RepsRequested]]&gt;1),ContinuousStatsTable[[#This Row],[HalfWidth]],ContinuousStatsTable[[#This Row],[BatchMeansHalfWidth]])</f>
        <v>0</v>
      </c>
    </row>
    <row r="244" spans="1:21" x14ac:dyDescent="0.25">
      <c r="A244" t="s">
        <v>67</v>
      </c>
      <c r="B244" t="s">
        <v>69</v>
      </c>
      <c r="C244">
        <v>9</v>
      </c>
      <c r="D244" t="s">
        <v>84</v>
      </c>
      <c r="E244" t="s">
        <v>101</v>
      </c>
      <c r="F244" t="s">
        <v>72</v>
      </c>
      <c r="G244">
        <v>0.57424773747648605</v>
      </c>
      <c r="H244">
        <v>4.8445716961909198E-2</v>
      </c>
      <c r="I244">
        <v>0</v>
      </c>
      <c r="J244">
        <v>6</v>
      </c>
      <c r="K244">
        <v>0</v>
      </c>
      <c r="L244">
        <v>0</v>
      </c>
      <c r="M244" s="5" t="str">
        <f>ContinuousStatsTable[[#This Row],[ProjectName]]&amp;ContinuousStatsTable[[#This Row],[Name]]&amp;ContinuousStatsTable[[#This Row],[Type]]&amp;ContinuousStatsTable[[#This Row],[Source]]</f>
        <v>Unnamed ProjectPackQNumber WaitingQueue</v>
      </c>
      <c r="N244" s="5" cm="1">
        <f t="array" ref="N244">MAX(IF((ProjectInfoTable[ProjectName]=ContinuousStatsTable[[#This Row],[ProjectName]]),(ProjectInfoTable[ProjectName]=ContinuousStatsTable[[#This Row],[ProjectName]])*ProjectInfoTable[NumberOfReplications]))</f>
        <v>10</v>
      </c>
      <c r="O244" s="5" cm="1">
        <f t="array" ref="O244">IFERROR(AVERAGE(IF((ContinuousStatsTable[GroupByKey]=ContinuousStatsTable[[#This Row],[GroupByKey]]),(ContinuousStatsTable[GroupByKey]=ContinuousStatsTable[[#This Row],[GroupByKey]])*ContinuousStatsTable[Average])),0)</f>
        <v>0.5830563488318371</v>
      </c>
      <c r="P244" s="5" cm="1">
        <f t="array" ref="P244">IFERROR(_xlfn.STDEV.S(IF((ContinuousStatsTable[GroupByKey]=ContinuousStatsTable[[#This Row],[GroupByKey]]),(ContinuousStatsTable[GroupByKey]=ContinuousStatsTable[[#This Row],[GroupByKey]])*ContinuousStatsTable[Average])),0)</f>
        <v>3.7349781067397253E-2</v>
      </c>
      <c r="Q244" s="5" cm="1">
        <f t="array" ref="Q244">MAX(IF((ProjectInfoTable[ProjectName]=ContinuousStatsTable[[#This Row],[ProjectName]]),(ProjectInfoTable[ProjectName]=ContinuousStatsTable[[#This Row],[ProjectName]])*ProjectInfoTable[ConfidenceInterval]))</f>
        <v>0.95</v>
      </c>
      <c r="R2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2.6718423823055008E-2</v>
      </c>
      <c r="S244" s="5" cm="1">
        <f t="array" ref="S244">MIN(IF((ContinuousStatsTable[GroupByKey]=ContinuousStatsTable[[#This Row],[GroupByKey]]),(ContinuousStatsTable[GroupByKey]=ContinuousStatsTable[[#This Row],[GroupByKey]])*ContinuousStatsTable[Average]))</f>
        <v>0.51031500523829298</v>
      </c>
      <c r="T244" s="5" cm="1">
        <f t="array" ref="T244">MAX(IF((ContinuousStatsTable[GroupByKey]=ContinuousStatsTable[[#This Row],[GroupByKey]]),(ContinuousStatsTable[GroupByKey]=ContinuousStatsTable[[#This Row],[GroupByKey]])*ContinuousStatsTable[Average]))</f>
        <v>0.63800950130876</v>
      </c>
      <c r="U244" s="5">
        <f>IF((ContinuousStatsTable[[#This Row],[RepsRequested]]&gt;1),ContinuousStatsTable[[#This Row],[HalfWidth]],ContinuousStatsTable[[#This Row],[BatchMeansHalfWidth]])</f>
        <v>2.6718423823055008E-2</v>
      </c>
    </row>
    <row r="245" spans="1:21" x14ac:dyDescent="0.25">
      <c r="A245" t="s">
        <v>67</v>
      </c>
      <c r="B245" t="s">
        <v>69</v>
      </c>
      <c r="C245">
        <v>9</v>
      </c>
      <c r="D245" t="s">
        <v>85</v>
      </c>
      <c r="E245" t="s">
        <v>101</v>
      </c>
      <c r="F245" t="s">
        <v>72</v>
      </c>
      <c r="G245">
        <v>1.5520501612039401E-2</v>
      </c>
      <c r="H245">
        <v>9.7071693016636705E-4</v>
      </c>
      <c r="I245">
        <v>0</v>
      </c>
      <c r="J245">
        <v>1</v>
      </c>
      <c r="K245">
        <v>0</v>
      </c>
      <c r="L245">
        <v>0</v>
      </c>
      <c r="M245" s="5" t="str">
        <f>ContinuousStatsTable[[#This Row],[ProjectName]]&amp;ContinuousStatsTable[[#This Row],[Name]]&amp;ContinuousStatsTable[[#This Row],[Type]]&amp;ContinuousStatsTable[[#This Row],[Source]]</f>
        <v>Unnamed ProjectPackReqQNumber WaitingQueue</v>
      </c>
      <c r="N245" s="5" cm="1">
        <f t="array" ref="N245">MAX(IF((ProjectInfoTable[ProjectName]=ContinuousStatsTable[[#This Row],[ProjectName]]),(ProjectInfoTable[ProjectName]=ContinuousStatsTable[[#This Row],[ProjectName]])*ProjectInfoTable[NumberOfReplications]))</f>
        <v>10</v>
      </c>
      <c r="O245" s="5" cm="1">
        <f t="array" ref="O245">IFERROR(AVERAGE(IF((ContinuousStatsTable[GroupByKey]=ContinuousStatsTable[[#This Row],[GroupByKey]]),(ContinuousStatsTable[GroupByKey]=ContinuousStatsTable[[#This Row],[GroupByKey]])*ContinuousStatsTable[Average])),0)</f>
        <v>1.5083245089254998E-2</v>
      </c>
      <c r="P245" s="5" cm="1">
        <f t="array" ref="P245">IFERROR(_xlfn.STDEV.S(IF((ContinuousStatsTable[GroupByKey]=ContinuousStatsTable[[#This Row],[GroupByKey]]),(ContinuousStatsTable[GroupByKey]=ContinuousStatsTable[[#This Row],[GroupByKey]])*ContinuousStatsTable[Average])),0)</f>
        <v>5.836712228493759E-4</v>
      </c>
      <c r="Q245" s="5" cm="1">
        <f t="array" ref="Q245">MAX(IF((ProjectInfoTable[ProjectName]=ContinuousStatsTable[[#This Row],[ProjectName]]),(ProjectInfoTable[ProjectName]=ContinuousStatsTable[[#This Row],[ProjectName]])*ProjectInfoTable[ConfidenceInterval]))</f>
        <v>0.95</v>
      </c>
      <c r="R2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4.1753324008164384E-4</v>
      </c>
      <c r="S245" s="5" cm="1">
        <f t="array" ref="S245">MIN(IF((ContinuousStatsTable[GroupByKey]=ContinuousStatsTable[[#This Row],[GroupByKey]]),(ContinuousStatsTable[GroupByKey]=ContinuousStatsTable[[#This Row],[GroupByKey]])*ContinuousStatsTable[Average]))</f>
        <v>1.41054163109371E-2</v>
      </c>
      <c r="T245" s="5" cm="1">
        <f t="array" ref="T245">MAX(IF((ContinuousStatsTable[GroupByKey]=ContinuousStatsTable[[#This Row],[GroupByKey]]),(ContinuousStatsTable[GroupByKey]=ContinuousStatsTable[[#This Row],[GroupByKey]])*ContinuousStatsTable[Average]))</f>
        <v>1.6052913612351699E-2</v>
      </c>
      <c r="U245" s="5">
        <f>IF((ContinuousStatsTable[[#This Row],[RepsRequested]]&gt;1),ContinuousStatsTable[[#This Row],[HalfWidth]],ContinuousStatsTable[[#This Row],[BatchMeansHalfWidth]])</f>
        <v>4.1753324008164384E-4</v>
      </c>
    </row>
    <row r="246" spans="1:21" x14ac:dyDescent="0.25">
      <c r="A246" t="s">
        <v>67</v>
      </c>
      <c r="B246" t="s">
        <v>69</v>
      </c>
      <c r="C246">
        <v>9</v>
      </c>
      <c r="D246" t="s">
        <v>86</v>
      </c>
      <c r="E246" t="s">
        <v>101</v>
      </c>
      <c r="F246" t="s">
        <v>72</v>
      </c>
      <c r="G246">
        <v>6.1140384170327501E-2</v>
      </c>
      <c r="H246">
        <v>4.18172842940905E-3</v>
      </c>
      <c r="I246">
        <v>0</v>
      </c>
      <c r="J246">
        <v>2</v>
      </c>
      <c r="K246">
        <v>0</v>
      </c>
      <c r="L246">
        <v>0</v>
      </c>
      <c r="M246" s="5" t="str">
        <f>ContinuousStatsTable[[#This Row],[ProjectName]]&amp;ContinuousStatsTable[[#This Row],[Name]]&amp;ContinuousStatsTable[[#This Row],[Type]]&amp;ContinuousStatsTable[[#This Row],[Source]]</f>
        <v>Unnamed ProjectPaintQNumber WaitingQueue</v>
      </c>
      <c r="N246" s="5" cm="1">
        <f t="array" ref="N246">MAX(IF((ProjectInfoTable[ProjectName]=ContinuousStatsTable[[#This Row],[ProjectName]]),(ProjectInfoTable[ProjectName]=ContinuousStatsTable[[#This Row],[ProjectName]])*ProjectInfoTable[NumberOfReplications]))</f>
        <v>10</v>
      </c>
      <c r="O246" s="5" cm="1">
        <f t="array" ref="O246">IFERROR(AVERAGE(IF((ContinuousStatsTable[GroupByKey]=ContinuousStatsTable[[#This Row],[GroupByKey]]),(ContinuousStatsTable[GroupByKey]=ContinuousStatsTable[[#This Row],[GroupByKey]])*ContinuousStatsTable[Average])),0)</f>
        <v>6.2655374167183184E-2</v>
      </c>
      <c r="P246" s="5" cm="1">
        <f t="array" ref="P246">IFERROR(_xlfn.STDEV.S(IF((ContinuousStatsTable[GroupByKey]=ContinuousStatsTable[[#This Row],[GroupByKey]]),(ContinuousStatsTable[GroupByKey]=ContinuousStatsTable[[#This Row],[GroupByKey]])*ContinuousStatsTable[Average])),0)</f>
        <v>1.297076259729802E-3</v>
      </c>
      <c r="Q246" s="5" cm="1">
        <f t="array" ref="Q246">MAX(IF((ProjectInfoTable[ProjectName]=ContinuousStatsTable[[#This Row],[ProjectName]]),(ProjectInfoTable[ProjectName]=ContinuousStatsTable[[#This Row],[ProjectName]])*ProjectInfoTable[ConfidenceInterval]))</f>
        <v>0.95</v>
      </c>
      <c r="R2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9.2787245996831338E-4</v>
      </c>
      <c r="S246" s="5" cm="1">
        <f t="array" ref="S246">MIN(IF((ContinuousStatsTable[GroupByKey]=ContinuousStatsTable[[#This Row],[GroupByKey]]),(ContinuousStatsTable[GroupByKey]=ContinuousStatsTable[[#This Row],[GroupByKey]])*ContinuousStatsTable[Average]))</f>
        <v>6.05919548276165E-2</v>
      </c>
      <c r="T246" s="5" cm="1">
        <f t="array" ref="T246">MAX(IF((ContinuousStatsTable[GroupByKey]=ContinuousStatsTable[[#This Row],[GroupByKey]]),(ContinuousStatsTable[GroupByKey]=ContinuousStatsTable[[#This Row],[GroupByKey]])*ContinuousStatsTable[Average]))</f>
        <v>6.4938397569822504E-2</v>
      </c>
      <c r="U246" s="5">
        <f>IF((ContinuousStatsTable[[#This Row],[RepsRequested]]&gt;1),ContinuousStatsTable[[#This Row],[HalfWidth]],ContinuousStatsTable[[#This Row],[BatchMeansHalfWidth]])</f>
        <v>9.2787245996831338E-4</v>
      </c>
    </row>
    <row r="247" spans="1:21" x14ac:dyDescent="0.25">
      <c r="A247" t="s">
        <v>67</v>
      </c>
      <c r="B247" t="s">
        <v>69</v>
      </c>
      <c r="C247">
        <v>9</v>
      </c>
      <c r="D247" t="s">
        <v>87</v>
      </c>
      <c r="E247" t="s">
        <v>101</v>
      </c>
      <c r="F247" t="s">
        <v>72</v>
      </c>
      <c r="G247">
        <v>1.2020746578646499E-2</v>
      </c>
      <c r="H247">
        <v>7.06007599995309E-4</v>
      </c>
      <c r="I247">
        <v>0</v>
      </c>
      <c r="J247">
        <v>1</v>
      </c>
      <c r="K247">
        <v>0</v>
      </c>
      <c r="L247">
        <v>0</v>
      </c>
      <c r="M247" s="5" t="str">
        <f>ContinuousStatsTable[[#This Row],[ProjectName]]&amp;ContinuousStatsTable[[#This Row],[Name]]&amp;ContinuousStatsTable[[#This Row],[Type]]&amp;ContinuousStatsTable[[#This Row],[Source]]</f>
        <v>Unnamed ProjectPaintReqQNumber WaitingQueue</v>
      </c>
      <c r="N247" s="5" cm="1">
        <f t="array" ref="N247">MAX(IF((ProjectInfoTable[ProjectName]=ContinuousStatsTable[[#This Row],[ProjectName]]),(ProjectInfoTable[ProjectName]=ContinuousStatsTable[[#This Row],[ProjectName]])*ProjectInfoTable[NumberOfReplications]))</f>
        <v>10</v>
      </c>
      <c r="O247" s="5" cm="1">
        <f t="array" ref="O247">IFERROR(AVERAGE(IF((ContinuousStatsTable[GroupByKey]=ContinuousStatsTable[[#This Row],[GroupByKey]]),(ContinuousStatsTable[GroupByKey]=ContinuousStatsTable[[#This Row],[GroupByKey]])*ContinuousStatsTable[Average])),0)</f>
        <v>1.232491804183645E-2</v>
      </c>
      <c r="P247" s="5" cm="1">
        <f t="array" ref="P247">IFERROR(_xlfn.STDEV.S(IF((ContinuousStatsTable[GroupByKey]=ContinuousStatsTable[[#This Row],[GroupByKey]]),(ContinuousStatsTable[GroupByKey]=ContinuousStatsTable[[#This Row],[GroupByKey]])*ContinuousStatsTable[Average])),0)</f>
        <v>4.2846031814523761E-4</v>
      </c>
      <c r="Q247" s="5" cm="1">
        <f t="array" ref="Q247">MAX(IF((ProjectInfoTable[ProjectName]=ContinuousStatsTable[[#This Row],[ProjectName]]),(ProjectInfoTable[ProjectName]=ContinuousStatsTable[[#This Row],[ProjectName]])*ProjectInfoTable[ConfidenceInterval]))</f>
        <v>0.95</v>
      </c>
      <c r="R2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3.0650204751958381E-4</v>
      </c>
      <c r="S247" s="5" cm="1">
        <f t="array" ref="S247">MIN(IF((ContinuousStatsTable[GroupByKey]=ContinuousStatsTable[[#This Row],[GroupByKey]]),(ContinuousStatsTable[GroupByKey]=ContinuousStatsTable[[#This Row],[GroupByKey]])*ContinuousStatsTable[Average]))</f>
        <v>1.1842209288638999E-2</v>
      </c>
      <c r="T247" s="5" cm="1">
        <f t="array" ref="T247">MAX(IF((ContinuousStatsTable[GroupByKey]=ContinuousStatsTable[[#This Row],[GroupByKey]]),(ContinuousStatsTable[GroupByKey]=ContinuousStatsTable[[#This Row],[GroupByKey]])*ContinuousStatsTable[Average]))</f>
        <v>1.30420022653657E-2</v>
      </c>
      <c r="U247" s="5">
        <f>IF((ContinuousStatsTable[[#This Row],[RepsRequested]]&gt;1),ContinuousStatsTable[[#This Row],[HalfWidth]],ContinuousStatsTable[[#This Row],[BatchMeansHalfWidth]])</f>
        <v>3.0650204751958381E-4</v>
      </c>
    </row>
    <row r="248" spans="1:21" x14ac:dyDescent="0.25">
      <c r="A248" t="s">
        <v>67</v>
      </c>
      <c r="B248" t="s">
        <v>69</v>
      </c>
      <c r="C248">
        <v>9</v>
      </c>
      <c r="D248" t="s">
        <v>109</v>
      </c>
      <c r="E248" t="s">
        <v>105</v>
      </c>
      <c r="F248" t="s">
        <v>106</v>
      </c>
      <c r="G248">
        <v>0.82044403441360703</v>
      </c>
      <c r="H248">
        <v>1.1486056725993199E-2</v>
      </c>
      <c r="I248">
        <v>0</v>
      </c>
      <c r="J248">
        <v>1</v>
      </c>
      <c r="K248">
        <v>1</v>
      </c>
      <c r="L248">
        <v>0</v>
      </c>
      <c r="M248" s="5" t="str">
        <f>ContinuousStatsTable[[#This Row],[ProjectName]]&amp;ContinuousStatsTable[[#This Row],[Name]]&amp;ContinuousStatsTable[[#This Row],[Type]]&amp;ContinuousStatsTable[[#This Row],[Source]]</f>
        <v>Unnamed ProjectWORKERInstantaneous UtilizationResource</v>
      </c>
      <c r="N248" s="5" cm="1">
        <f t="array" ref="N248">MAX(IF((ProjectInfoTable[ProjectName]=ContinuousStatsTable[[#This Row],[ProjectName]]),(ProjectInfoTable[ProjectName]=ContinuousStatsTable[[#This Row],[ProjectName]])*ProjectInfoTable[NumberOfReplications]))</f>
        <v>10</v>
      </c>
      <c r="O248" s="5" cm="1">
        <f t="array" ref="O248">IFERROR(AVERAGE(IF((ContinuousStatsTable[GroupByKey]=ContinuousStatsTable[[#This Row],[GroupByKey]]),(ContinuousStatsTable[GroupByKey]=ContinuousStatsTable[[#This Row],[GroupByKey]])*ContinuousStatsTable[Average])),0)</f>
        <v>0.82030090075893936</v>
      </c>
      <c r="P248" s="5" cm="1">
        <f t="array" ref="P248">IFERROR(_xlfn.STDEV.S(IF((ContinuousStatsTable[GroupByKey]=ContinuousStatsTable[[#This Row],[GroupByKey]]),(ContinuousStatsTable[GroupByKey]=ContinuousStatsTable[[#This Row],[GroupByKey]])*ContinuousStatsTable[Average])),0)</f>
        <v>6.9684713894533476E-3</v>
      </c>
      <c r="Q248" s="5" cm="1">
        <f t="array" ref="Q248">MAX(IF((ProjectInfoTable[ProjectName]=ContinuousStatsTable[[#This Row],[ProjectName]]),(ProjectInfoTable[ProjectName]=ContinuousStatsTable[[#This Row],[ProjectName]])*ProjectInfoTable[ConfidenceInterval]))</f>
        <v>0.95</v>
      </c>
      <c r="R2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4.9849441325044447E-3</v>
      </c>
      <c r="S248" s="5" cm="1">
        <f t="array" ref="S248">MIN(IF((ContinuousStatsTable[GroupByKey]=ContinuousStatsTable[[#This Row],[GroupByKey]]),(ContinuousStatsTable[GroupByKey]=ContinuousStatsTable[[#This Row],[GroupByKey]])*ContinuousStatsTable[Average]))</f>
        <v>0.81151215762737705</v>
      </c>
      <c r="T248" s="5" cm="1">
        <f t="array" ref="T248">MAX(IF((ContinuousStatsTable[GroupByKey]=ContinuousStatsTable[[#This Row],[GroupByKey]]),(ContinuousStatsTable[GroupByKey]=ContinuousStatsTable[[#This Row],[GroupByKey]])*ContinuousStatsTable[Average]))</f>
        <v>0.832837691284112</v>
      </c>
      <c r="U248" s="5">
        <f>IF((ContinuousStatsTable[[#This Row],[RepsRequested]]&gt;1),ContinuousStatsTable[[#This Row],[HalfWidth]],ContinuousStatsTable[[#This Row],[BatchMeansHalfWidth]])</f>
        <v>4.9849441325044447E-3</v>
      </c>
    </row>
    <row r="249" spans="1:21" x14ac:dyDescent="0.25">
      <c r="A249" t="s">
        <v>67</v>
      </c>
      <c r="B249" t="s">
        <v>69</v>
      </c>
      <c r="C249">
        <v>9</v>
      </c>
      <c r="D249" t="s">
        <v>109</v>
      </c>
      <c r="E249" t="s">
        <v>97</v>
      </c>
      <c r="F249" t="s">
        <v>106</v>
      </c>
      <c r="G249">
        <v>0.82044403441360703</v>
      </c>
      <c r="H249">
        <v>1.1486056725993199E-2</v>
      </c>
      <c r="I249">
        <v>0</v>
      </c>
      <c r="J249">
        <v>1</v>
      </c>
      <c r="K249">
        <v>1</v>
      </c>
      <c r="L249">
        <v>0</v>
      </c>
      <c r="M249" s="5" t="str">
        <f>ContinuousStatsTable[[#This Row],[ProjectName]]&amp;ContinuousStatsTable[[#This Row],[Name]]&amp;ContinuousStatsTable[[#This Row],[Type]]&amp;ContinuousStatsTable[[#This Row],[Source]]</f>
        <v>Unnamed ProjectWORKERNumber BusyResource</v>
      </c>
      <c r="N249" s="5" cm="1">
        <f t="array" ref="N249">MAX(IF((ProjectInfoTable[ProjectName]=ContinuousStatsTable[[#This Row],[ProjectName]]),(ProjectInfoTable[ProjectName]=ContinuousStatsTable[[#This Row],[ProjectName]])*ProjectInfoTable[NumberOfReplications]))</f>
        <v>10</v>
      </c>
      <c r="O249" s="5" cm="1">
        <f t="array" ref="O249">IFERROR(AVERAGE(IF((ContinuousStatsTable[GroupByKey]=ContinuousStatsTable[[#This Row],[GroupByKey]]),(ContinuousStatsTable[GroupByKey]=ContinuousStatsTable[[#This Row],[GroupByKey]])*ContinuousStatsTable[Average])),0)</f>
        <v>0.82030090075893936</v>
      </c>
      <c r="P249" s="5" cm="1">
        <f t="array" ref="P249">IFERROR(_xlfn.STDEV.S(IF((ContinuousStatsTable[GroupByKey]=ContinuousStatsTable[[#This Row],[GroupByKey]]),(ContinuousStatsTable[GroupByKey]=ContinuousStatsTable[[#This Row],[GroupByKey]])*ContinuousStatsTable[Average])),0)</f>
        <v>6.9684713894533476E-3</v>
      </c>
      <c r="Q249" s="5" cm="1">
        <f t="array" ref="Q249">MAX(IF((ProjectInfoTable[ProjectName]=ContinuousStatsTable[[#This Row],[ProjectName]]),(ProjectInfoTable[ProjectName]=ContinuousStatsTable[[#This Row],[ProjectName]])*ProjectInfoTable[ConfidenceInterval]))</f>
        <v>0.95</v>
      </c>
      <c r="R2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4.9849441325044447E-3</v>
      </c>
      <c r="S249" s="5" cm="1">
        <f t="array" ref="S249">MIN(IF((ContinuousStatsTable[GroupByKey]=ContinuousStatsTable[[#This Row],[GroupByKey]]),(ContinuousStatsTable[GroupByKey]=ContinuousStatsTable[[#This Row],[GroupByKey]])*ContinuousStatsTable[Average]))</f>
        <v>0.81151215762737705</v>
      </c>
      <c r="T249" s="5" cm="1">
        <f t="array" ref="T249">MAX(IF((ContinuousStatsTable[GroupByKey]=ContinuousStatsTable[[#This Row],[GroupByKey]]),(ContinuousStatsTable[GroupByKey]=ContinuousStatsTable[[#This Row],[GroupByKey]])*ContinuousStatsTable[Average]))</f>
        <v>0.832837691284112</v>
      </c>
      <c r="U249" s="5">
        <f>IF((ContinuousStatsTable[[#This Row],[RepsRequested]]&gt;1),ContinuousStatsTable[[#This Row],[HalfWidth]],ContinuousStatsTable[[#This Row],[BatchMeansHalfWidth]])</f>
        <v>4.9849441325044447E-3</v>
      </c>
    </row>
    <row r="250" spans="1:21" x14ac:dyDescent="0.25">
      <c r="A250" t="s">
        <v>67</v>
      </c>
      <c r="B250" t="s">
        <v>69</v>
      </c>
      <c r="C250">
        <v>9</v>
      </c>
      <c r="D250" t="s">
        <v>109</v>
      </c>
      <c r="E250" t="s">
        <v>99</v>
      </c>
      <c r="F250" t="s">
        <v>106</v>
      </c>
      <c r="G250">
        <v>1</v>
      </c>
      <c r="H250">
        <v>2E+20</v>
      </c>
      <c r="I250">
        <v>1</v>
      </c>
      <c r="J250">
        <v>1</v>
      </c>
      <c r="K250">
        <v>1</v>
      </c>
      <c r="L250">
        <v>0</v>
      </c>
      <c r="M250" s="5" t="str">
        <f>ContinuousStatsTable[[#This Row],[ProjectName]]&amp;ContinuousStatsTable[[#This Row],[Name]]&amp;ContinuousStatsTable[[#This Row],[Type]]&amp;ContinuousStatsTable[[#This Row],[Source]]</f>
        <v>Unnamed ProjectWORKERNumber ScheduledResource</v>
      </c>
      <c r="N250" s="5" cm="1">
        <f t="array" ref="N250">MAX(IF((ProjectInfoTable[ProjectName]=ContinuousStatsTable[[#This Row],[ProjectName]]),(ProjectInfoTable[ProjectName]=ContinuousStatsTable[[#This Row],[ProjectName]])*ProjectInfoTable[NumberOfReplications]))</f>
        <v>10</v>
      </c>
      <c r="O250" s="5" cm="1">
        <f t="array" ref="O250">IFERROR(AVERAGE(IF((ContinuousStatsTable[GroupByKey]=ContinuousStatsTable[[#This Row],[GroupByKey]]),(ContinuousStatsTable[GroupByKey]=ContinuousStatsTable[[#This Row],[GroupByKey]])*ContinuousStatsTable[Average])),0)</f>
        <v>1</v>
      </c>
      <c r="P250" s="5" cm="1">
        <f t="array" ref="P250">IFERROR(_xlfn.STDEV.S(IF((ContinuousStatsTable[GroupByKey]=ContinuousStatsTable[[#This Row],[GroupByKey]]),(ContinuousStatsTable[GroupByKey]=ContinuousStatsTable[[#This Row],[GroupByKey]])*ContinuousStatsTable[Average])),0)</f>
        <v>0</v>
      </c>
      <c r="Q250" s="5" cm="1">
        <f t="array" ref="Q250">MAX(IF((ProjectInfoTable[ProjectName]=ContinuousStatsTable[[#This Row],[ProjectName]]),(ProjectInfoTable[ProjectName]=ContinuousStatsTable[[#This Row],[ProjectName]])*ProjectInfoTable[ConfidenceInterval]))</f>
        <v>0.95</v>
      </c>
      <c r="R2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0" s="5" cm="1">
        <f t="array" ref="S250">MIN(IF((ContinuousStatsTable[GroupByKey]=ContinuousStatsTable[[#This Row],[GroupByKey]]),(ContinuousStatsTable[GroupByKey]=ContinuousStatsTable[[#This Row],[GroupByKey]])*ContinuousStatsTable[Average]))</f>
        <v>1</v>
      </c>
      <c r="T250" s="5" cm="1">
        <f t="array" ref="T250">MAX(IF((ContinuousStatsTable[GroupByKey]=ContinuousStatsTable[[#This Row],[GroupByKey]]),(ContinuousStatsTable[GroupByKey]=ContinuousStatsTable[[#This Row],[GroupByKey]])*ContinuousStatsTable[Average]))</f>
        <v>1</v>
      </c>
      <c r="U250" s="5">
        <f>IF((ContinuousStatsTable[[#This Row],[RepsRequested]]&gt;1),ContinuousStatsTable[[#This Row],[HalfWidth]],ContinuousStatsTable[[#This Row],[BatchMeansHalfWidth]])</f>
        <v>0</v>
      </c>
    </row>
    <row r="251" spans="1:21" x14ac:dyDescent="0.25">
      <c r="A251" t="s">
        <v>67</v>
      </c>
      <c r="B251" t="s">
        <v>69</v>
      </c>
      <c r="C251">
        <v>9</v>
      </c>
      <c r="D251" t="s">
        <v>94</v>
      </c>
      <c r="E251" t="s">
        <v>101</v>
      </c>
      <c r="F251" t="s">
        <v>72</v>
      </c>
      <c r="G251">
        <v>1.7427532361514699</v>
      </c>
      <c r="H251">
        <v>0.21870801408086499</v>
      </c>
      <c r="I251">
        <v>0</v>
      </c>
      <c r="J251">
        <v>21</v>
      </c>
      <c r="K251">
        <v>2</v>
      </c>
      <c r="L251">
        <v>0</v>
      </c>
      <c r="M251" s="5" t="str">
        <f>ContinuousStatsTable[[#This Row],[ProjectName]]&amp;ContinuousStatsTable[[#This Row],[Name]]&amp;ContinuousStatsTable[[#This Row],[Type]]&amp;ContinuousStatsTable[[#This Row],[Source]]</f>
        <v>Unnamed ProjectWorkStationQNumber WaitingQueue</v>
      </c>
      <c r="N251" s="5" cm="1">
        <f t="array" ref="N251">MAX(IF((ProjectInfoTable[ProjectName]=ContinuousStatsTable[[#This Row],[ProjectName]]),(ProjectInfoTable[ProjectName]=ContinuousStatsTable[[#This Row],[ProjectName]])*ProjectInfoTable[NumberOfReplications]))</f>
        <v>10</v>
      </c>
      <c r="O251" s="5" cm="1">
        <f t="array" ref="O251">IFERROR(AVERAGE(IF((ContinuousStatsTable[GroupByKey]=ContinuousStatsTable[[#This Row],[GroupByKey]]),(ContinuousStatsTable[GroupByKey]=ContinuousStatsTable[[#This Row],[GroupByKey]])*ContinuousStatsTable[Average])),0)</f>
        <v>1.7984099951452888</v>
      </c>
      <c r="P251" s="5" cm="1">
        <f t="array" ref="P251">IFERROR(_xlfn.STDEV.S(IF((ContinuousStatsTable[GroupByKey]=ContinuousStatsTable[[#This Row],[GroupByKey]]),(ContinuousStatsTable[GroupByKey]=ContinuousStatsTable[[#This Row],[GroupByKey]])*ContinuousStatsTable[Average])),0)</f>
        <v>9.41481017902569E-2</v>
      </c>
      <c r="Q251" s="5" cm="1">
        <f t="array" ref="Q251">MAX(IF((ProjectInfoTable[ProjectName]=ContinuousStatsTable[[#This Row],[ProjectName]]),(ProjectInfoTable[ProjectName]=ContinuousStatsTable[[#This Row],[ProjectName]])*ProjectInfoTable[ConfidenceInterval]))</f>
        <v>0.95</v>
      </c>
      <c r="R2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6.7349494799689366E-2</v>
      </c>
      <c r="S251" s="5" cm="1">
        <f t="array" ref="S251">MIN(IF((ContinuousStatsTable[GroupByKey]=ContinuousStatsTable[[#This Row],[GroupByKey]]),(ContinuousStatsTable[GroupByKey]=ContinuousStatsTable[[#This Row],[GroupByKey]])*ContinuousStatsTable[Average]))</f>
        <v>1.6808414073062801</v>
      </c>
      <c r="T251" s="5" cm="1">
        <f t="array" ref="T251">MAX(IF((ContinuousStatsTable[GroupByKey]=ContinuousStatsTable[[#This Row],[GroupByKey]]),(ContinuousStatsTable[GroupByKey]=ContinuousStatsTable[[#This Row],[GroupByKey]])*ContinuousStatsTable[Average]))</f>
        <v>1.96303981301246</v>
      </c>
      <c r="U251" s="5">
        <f>IF((ContinuousStatsTable[[#This Row],[RepsRequested]]&gt;1),ContinuousStatsTable[[#This Row],[HalfWidth]],ContinuousStatsTable[[#This Row],[BatchMeansHalfWidth]])</f>
        <v>6.7349494799689366E-2</v>
      </c>
    </row>
    <row r="252" spans="1:21" x14ac:dyDescent="0.25">
      <c r="A252" t="s">
        <v>67</v>
      </c>
      <c r="B252" t="s">
        <v>69</v>
      </c>
      <c r="C252">
        <v>9</v>
      </c>
      <c r="D252" t="s">
        <v>95</v>
      </c>
      <c r="E252" t="s">
        <v>101</v>
      </c>
      <c r="F252" t="s">
        <v>72</v>
      </c>
      <c r="G252">
        <v>1.3107892732469401E-2</v>
      </c>
      <c r="H252">
        <v>7.3081527663652001E-4</v>
      </c>
      <c r="I252">
        <v>0</v>
      </c>
      <c r="J252">
        <v>1</v>
      </c>
      <c r="K252">
        <v>0</v>
      </c>
      <c r="L252">
        <v>0</v>
      </c>
      <c r="M252" s="5" t="str">
        <f>ContinuousStatsTable[[#This Row],[ProjectName]]&amp;ContinuousStatsTable[[#This Row],[Name]]&amp;ContinuousStatsTable[[#This Row],[Type]]&amp;ContinuousStatsTable[[#This Row],[Source]]</f>
        <v>Unnamed ProjectWorkStationReqQNumber WaitingQueue</v>
      </c>
      <c r="N252" s="5" cm="1">
        <f t="array" ref="N252">MAX(IF((ProjectInfoTable[ProjectName]=ContinuousStatsTable[[#This Row],[ProjectName]]),(ProjectInfoTable[ProjectName]=ContinuousStatsTable[[#This Row],[ProjectName]])*ProjectInfoTable[NumberOfReplications]))</f>
        <v>10</v>
      </c>
      <c r="O252" s="5" cm="1">
        <f t="array" ref="O252">IFERROR(AVERAGE(IF((ContinuousStatsTable[GroupByKey]=ContinuousStatsTable[[#This Row],[GroupByKey]]),(ContinuousStatsTable[GroupByKey]=ContinuousStatsTable[[#This Row],[GroupByKey]])*ContinuousStatsTable[Average])),0)</f>
        <v>1.2897450081583859E-2</v>
      </c>
      <c r="P252" s="5" cm="1">
        <f t="array" ref="P252">IFERROR(_xlfn.STDEV.S(IF((ContinuousStatsTable[GroupByKey]=ContinuousStatsTable[[#This Row],[GroupByKey]]),(ContinuousStatsTable[GroupByKey]=ContinuousStatsTable[[#This Row],[GroupByKey]])*ContinuousStatsTable[Average])),0)</f>
        <v>4.2374090710035878E-4</v>
      </c>
      <c r="Q252" s="5" cm="1">
        <f t="array" ref="Q252">MAX(IF((ProjectInfoTable[ProjectName]=ContinuousStatsTable[[#This Row],[ProjectName]]),(ProjectInfoTable[ProjectName]=ContinuousStatsTable[[#This Row],[ProjectName]])*ProjectInfoTable[ConfidenceInterval]))</f>
        <v>0.95</v>
      </c>
      <c r="R2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3.0312598423651549E-4</v>
      </c>
      <c r="S252" s="5" cm="1">
        <f t="array" ref="S252">MIN(IF((ContinuousStatsTable[GroupByKey]=ContinuousStatsTable[[#This Row],[GroupByKey]]),(ContinuousStatsTable[GroupByKey]=ContinuousStatsTable[[#This Row],[GroupByKey]])*ContinuousStatsTable[Average]))</f>
        <v>1.2232643269307701E-2</v>
      </c>
      <c r="T252" s="5" cm="1">
        <f t="array" ref="T252">MAX(IF((ContinuousStatsTable[GroupByKey]=ContinuousStatsTable[[#This Row],[GroupByKey]]),(ContinuousStatsTable[GroupByKey]=ContinuousStatsTable[[#This Row],[GroupByKey]])*ContinuousStatsTable[Average]))</f>
        <v>1.34073753437328E-2</v>
      </c>
      <c r="U252" s="5">
        <f>IF((ContinuousStatsTable[[#This Row],[RepsRequested]]&gt;1),ContinuousStatsTable[[#This Row],[HalfWidth]],ContinuousStatsTable[[#This Row],[BatchMeansHalfWidth]])</f>
        <v>3.0312598423651549E-4</v>
      </c>
    </row>
    <row r="253" spans="1:21" x14ac:dyDescent="0.25">
      <c r="A253" t="s">
        <v>67</v>
      </c>
      <c r="B253" t="s">
        <v>69</v>
      </c>
      <c r="C253">
        <v>9</v>
      </c>
      <c r="D253" t="s">
        <v>110</v>
      </c>
      <c r="E253" t="s">
        <v>111</v>
      </c>
      <c r="F253" t="s">
        <v>90</v>
      </c>
      <c r="G253">
        <v>0.67651603441296504</v>
      </c>
      <c r="H253">
        <v>1.4565639596001099E-2</v>
      </c>
      <c r="I253">
        <v>0</v>
      </c>
      <c r="J253">
        <v>6</v>
      </c>
      <c r="K253">
        <v>0</v>
      </c>
      <c r="L253">
        <v>0</v>
      </c>
      <c r="M253" s="5" t="str">
        <f>ContinuousStatsTable[[#This Row],[ProjectName]]&amp;ContinuousStatsTable[[#This Row],[Name]]&amp;ContinuousStatsTable[[#This Row],[Type]]&amp;ContinuousStatsTable[[#This Row],[Source]]</f>
        <v>Unnamed ProjectvNumWaitingRequestsVariableUser Specified</v>
      </c>
      <c r="N253" s="5" cm="1">
        <f t="array" ref="N253">MAX(IF((ProjectInfoTable[ProjectName]=ContinuousStatsTable[[#This Row],[ProjectName]]),(ProjectInfoTable[ProjectName]=ContinuousStatsTable[[#This Row],[ProjectName]])*ProjectInfoTable[NumberOfReplications]))</f>
        <v>10</v>
      </c>
      <c r="O253" s="5" cm="1">
        <f t="array" ref="O253">IFERROR(AVERAGE(IF((ContinuousStatsTable[GroupByKey]=ContinuousStatsTable[[#This Row],[GroupByKey]]),(ContinuousStatsTable[GroupByKey]=ContinuousStatsTable[[#This Row],[GroupByKey]])*ContinuousStatsTable[Average])),0)</f>
        <v>0.67697821611736619</v>
      </c>
      <c r="P253" s="5" cm="1">
        <f t="array" ref="P253">IFERROR(_xlfn.STDEV.S(IF((ContinuousStatsTable[GroupByKey]=ContinuousStatsTable[[#This Row],[GroupByKey]]),(ContinuousStatsTable[GroupByKey]=ContinuousStatsTable[[#This Row],[GroupByKey]])*ContinuousStatsTable[Average])),0)</f>
        <v>6.3714899668086428E-3</v>
      </c>
      <c r="Q253" s="5" cm="1">
        <f t="array" ref="Q253">MAX(IF((ProjectInfoTable[ProjectName]=ContinuousStatsTable[[#This Row],[ProjectName]]),(ProjectInfoTable[ProjectName]=ContinuousStatsTable[[#This Row],[ProjectName]])*ProjectInfoTable[ConfidenceInterval]))</f>
        <v>0.95</v>
      </c>
      <c r="R2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4.5578893490793634E-3</v>
      </c>
      <c r="S253" s="5" cm="1">
        <f t="array" ref="S253">MIN(IF((ContinuousStatsTable[GroupByKey]=ContinuousStatsTable[[#This Row],[GroupByKey]]),(ContinuousStatsTable[GroupByKey]=ContinuousStatsTable[[#This Row],[GroupByKey]])*ContinuousStatsTable[Average]))</f>
        <v>0.66877542384053201</v>
      </c>
      <c r="T253" s="5" cm="1">
        <f t="array" ref="T253">MAX(IF((ContinuousStatsTable[GroupByKey]=ContinuousStatsTable[[#This Row],[GroupByKey]]),(ContinuousStatsTable[GroupByKey]=ContinuousStatsTable[[#This Row],[GroupByKey]])*ContinuousStatsTable[Average]))</f>
        <v>0.69059318471793496</v>
      </c>
      <c r="U253" s="5">
        <f>IF((ContinuousStatsTable[[#This Row],[RepsRequested]]&gt;1),ContinuousStatsTable[[#This Row],[HalfWidth]],ContinuousStatsTable[[#This Row],[BatchMeansHalfWidth]])</f>
        <v>4.5578893490793634E-3</v>
      </c>
    </row>
    <row r="254" spans="1:21" x14ac:dyDescent="0.25">
      <c r="A254" t="s">
        <v>67</v>
      </c>
      <c r="B254" t="s">
        <v>69</v>
      </c>
      <c r="C254">
        <v>10</v>
      </c>
      <c r="D254" t="s">
        <v>96</v>
      </c>
      <c r="E254" t="s">
        <v>97</v>
      </c>
      <c r="F254" t="s">
        <v>98</v>
      </c>
      <c r="G254">
        <v>2.0781077238014301</v>
      </c>
      <c r="H254">
        <v>1.0934354913332301E-2</v>
      </c>
      <c r="I254">
        <v>0</v>
      </c>
      <c r="J254">
        <v>3</v>
      </c>
      <c r="K254">
        <v>2</v>
      </c>
      <c r="L254">
        <v>0</v>
      </c>
      <c r="M254" s="5" t="str">
        <f>ContinuousStatsTable[[#This Row],[ProjectName]]&amp;ContinuousStatsTable[[#This Row],[Name]]&amp;ContinuousStatsTable[[#This Row],[Type]]&amp;ContinuousStatsTable[[#This Row],[Source]]</f>
        <v>Unnamed ProjectAGVNumber BusyTransporter</v>
      </c>
      <c r="N254" s="5" cm="1">
        <f t="array" ref="N254">MAX(IF((ProjectInfoTable[ProjectName]=ContinuousStatsTable[[#This Row],[ProjectName]]),(ProjectInfoTable[ProjectName]=ContinuousStatsTable[[#This Row],[ProjectName]])*ProjectInfoTable[NumberOfReplications]))</f>
        <v>10</v>
      </c>
      <c r="O254" s="5" cm="1">
        <f t="array" ref="O254">IFERROR(AVERAGE(IF((ContinuousStatsTable[GroupByKey]=ContinuousStatsTable[[#This Row],[GroupByKey]]),(ContinuousStatsTable[GroupByKey]=ContinuousStatsTable[[#This Row],[GroupByKey]])*ContinuousStatsTable[Average])),0)</f>
        <v>2.078872627125893</v>
      </c>
      <c r="P254" s="5" cm="1">
        <f t="array" ref="P254">IFERROR(_xlfn.STDEV.S(IF((ContinuousStatsTable[GroupByKey]=ContinuousStatsTable[[#This Row],[GroupByKey]]),(ContinuousStatsTable[GroupByKey]=ContinuousStatsTable[[#This Row],[GroupByKey]])*ContinuousStatsTable[Average])),0)</f>
        <v>5.2787009755182E-3</v>
      </c>
      <c r="Q254" s="5" cm="1">
        <f t="array" ref="Q254">MAX(IF((ProjectInfoTable[ProjectName]=ContinuousStatsTable[[#This Row],[ProjectName]]),(ProjectInfoTable[ProjectName]=ContinuousStatsTable[[#This Row],[ProjectName]])*ProjectInfoTable[ConfidenceInterval]))</f>
        <v>0.95</v>
      </c>
      <c r="R2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3.7761551973910287E-3</v>
      </c>
      <c r="S254" s="5" cm="1">
        <f t="array" ref="S254">MIN(IF((ContinuousStatsTable[GroupByKey]=ContinuousStatsTable[[#This Row],[GroupByKey]]),(ContinuousStatsTable[GroupByKey]=ContinuousStatsTable[[#This Row],[GroupByKey]])*ContinuousStatsTable[Average]))</f>
        <v>2.07228794584704</v>
      </c>
      <c r="T254" s="5" cm="1">
        <f t="array" ref="T254">MAX(IF((ContinuousStatsTable[GroupByKey]=ContinuousStatsTable[[#This Row],[GroupByKey]]),(ContinuousStatsTable[GroupByKey]=ContinuousStatsTable[[#This Row],[GroupByKey]])*ContinuousStatsTable[Average]))</f>
        <v>2.08892452747873</v>
      </c>
      <c r="U254" s="5">
        <f>IF((ContinuousStatsTable[[#This Row],[RepsRequested]]&gt;1),ContinuousStatsTable[[#This Row],[HalfWidth]],ContinuousStatsTable[[#This Row],[BatchMeansHalfWidth]])</f>
        <v>3.7761551973910287E-3</v>
      </c>
    </row>
    <row r="255" spans="1:21" x14ac:dyDescent="0.25">
      <c r="A255" t="s">
        <v>67</v>
      </c>
      <c r="B255" t="s">
        <v>69</v>
      </c>
      <c r="C255">
        <v>10</v>
      </c>
      <c r="D255" t="s">
        <v>96</v>
      </c>
      <c r="E255" t="s">
        <v>99</v>
      </c>
      <c r="F255" t="s">
        <v>98</v>
      </c>
      <c r="G255">
        <v>3</v>
      </c>
      <c r="H255">
        <v>2E+20</v>
      </c>
      <c r="I255">
        <v>3</v>
      </c>
      <c r="J255">
        <v>3</v>
      </c>
      <c r="K255">
        <v>3</v>
      </c>
      <c r="L255">
        <v>0</v>
      </c>
      <c r="M255" s="5" t="str">
        <f>ContinuousStatsTable[[#This Row],[ProjectName]]&amp;ContinuousStatsTable[[#This Row],[Name]]&amp;ContinuousStatsTable[[#This Row],[Type]]&amp;ContinuousStatsTable[[#This Row],[Source]]</f>
        <v>Unnamed ProjectAGVNumber ScheduledTransporter</v>
      </c>
      <c r="N255" s="5" cm="1">
        <f t="array" ref="N255">MAX(IF((ProjectInfoTable[ProjectName]=ContinuousStatsTable[[#This Row],[ProjectName]]),(ProjectInfoTable[ProjectName]=ContinuousStatsTable[[#This Row],[ProjectName]])*ProjectInfoTable[NumberOfReplications]))</f>
        <v>10</v>
      </c>
      <c r="O255" s="5" cm="1">
        <f t="array" ref="O255">IFERROR(AVERAGE(IF((ContinuousStatsTable[GroupByKey]=ContinuousStatsTable[[#This Row],[GroupByKey]]),(ContinuousStatsTable[GroupByKey]=ContinuousStatsTable[[#This Row],[GroupByKey]])*ContinuousStatsTable[Average])),0)</f>
        <v>3</v>
      </c>
      <c r="P255" s="5" cm="1">
        <f t="array" ref="P255">IFERROR(_xlfn.STDEV.S(IF((ContinuousStatsTable[GroupByKey]=ContinuousStatsTable[[#This Row],[GroupByKey]]),(ContinuousStatsTable[GroupByKey]=ContinuousStatsTable[[#This Row],[GroupByKey]])*ContinuousStatsTable[Average])),0)</f>
        <v>0</v>
      </c>
      <c r="Q255" s="5" cm="1">
        <f t="array" ref="Q255">MAX(IF((ProjectInfoTable[ProjectName]=ContinuousStatsTable[[#This Row],[ProjectName]]),(ProjectInfoTable[ProjectName]=ContinuousStatsTable[[#This Row],[ProjectName]])*ProjectInfoTable[ConfidenceInterval]))</f>
        <v>0.95</v>
      </c>
      <c r="R2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5" s="5" cm="1">
        <f t="array" ref="S255">MIN(IF((ContinuousStatsTable[GroupByKey]=ContinuousStatsTable[[#This Row],[GroupByKey]]),(ContinuousStatsTable[GroupByKey]=ContinuousStatsTable[[#This Row],[GroupByKey]])*ContinuousStatsTable[Average]))</f>
        <v>3</v>
      </c>
      <c r="T255" s="5" cm="1">
        <f t="array" ref="T255">MAX(IF((ContinuousStatsTable[GroupByKey]=ContinuousStatsTable[[#This Row],[GroupByKey]]),(ContinuousStatsTable[GroupByKey]=ContinuousStatsTable[[#This Row],[GroupByKey]])*ContinuousStatsTable[Average]))</f>
        <v>3</v>
      </c>
      <c r="U255" s="5">
        <f>IF((ContinuousStatsTable[[#This Row],[RepsRequested]]&gt;1),ContinuousStatsTable[[#This Row],[HalfWidth]],ContinuousStatsTable[[#This Row],[BatchMeansHalfWidth]])</f>
        <v>0</v>
      </c>
    </row>
    <row r="256" spans="1:21" x14ac:dyDescent="0.25">
      <c r="A256" t="s">
        <v>67</v>
      </c>
      <c r="B256" t="s">
        <v>69</v>
      </c>
      <c r="C256">
        <v>10</v>
      </c>
      <c r="D256" t="s">
        <v>96</v>
      </c>
      <c r="E256" t="s">
        <v>100</v>
      </c>
      <c r="F256" t="s">
        <v>98</v>
      </c>
      <c r="G256">
        <v>0.69270257460046103</v>
      </c>
      <c r="H256">
        <v>3.6447849711107498E-3</v>
      </c>
      <c r="I256">
        <v>0</v>
      </c>
      <c r="J256">
        <v>1</v>
      </c>
      <c r="K256">
        <v>0.66666666666666696</v>
      </c>
      <c r="L256">
        <v>0</v>
      </c>
      <c r="M256" s="5" t="str">
        <f>ContinuousStatsTable[[#This Row],[ProjectName]]&amp;ContinuousStatsTable[[#This Row],[Name]]&amp;ContinuousStatsTable[[#This Row],[Type]]&amp;ContinuousStatsTable[[#This Row],[Source]]</f>
        <v>Unnamed ProjectAGVUtilizationTransporter</v>
      </c>
      <c r="N256" s="5" cm="1">
        <f t="array" ref="N256">MAX(IF((ProjectInfoTable[ProjectName]=ContinuousStatsTable[[#This Row],[ProjectName]]),(ProjectInfoTable[ProjectName]=ContinuousStatsTable[[#This Row],[ProjectName]])*ProjectInfoTable[NumberOfReplications]))</f>
        <v>10</v>
      </c>
      <c r="O256" s="5" cm="1">
        <f t="array" ref="O256">IFERROR(AVERAGE(IF((ContinuousStatsTable[GroupByKey]=ContinuousStatsTable[[#This Row],[GroupByKey]]),(ContinuousStatsTable[GroupByKey]=ContinuousStatsTable[[#This Row],[GroupByKey]])*ContinuousStatsTable[Average])),0)</f>
        <v>0.69295754237529772</v>
      </c>
      <c r="P256" s="5" cm="1">
        <f t="array" ref="P256">IFERROR(_xlfn.STDEV.S(IF((ContinuousStatsTable[GroupByKey]=ContinuousStatsTable[[#This Row],[GroupByKey]]),(ContinuousStatsTable[GroupByKey]=ContinuousStatsTable[[#This Row],[GroupByKey]])*ContinuousStatsTable[Average])),0)</f>
        <v>1.759566991837834E-3</v>
      </c>
      <c r="Q256" s="5" cm="1">
        <f t="array" ref="Q256">MAX(IF((ProjectInfoTable[ProjectName]=ContinuousStatsTable[[#This Row],[ProjectName]]),(ProjectInfoTable[ProjectName]=ContinuousStatsTable[[#This Row],[ProjectName]])*ProjectInfoTable[ConfidenceInterval]))</f>
        <v>0.95</v>
      </c>
      <c r="R2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1.2587183991292225E-3</v>
      </c>
      <c r="S256" s="5" cm="1">
        <f t="array" ref="S256">MIN(IF((ContinuousStatsTable[GroupByKey]=ContinuousStatsTable[[#This Row],[GroupByKey]]),(ContinuousStatsTable[GroupByKey]=ContinuousStatsTable[[#This Row],[GroupByKey]])*ContinuousStatsTable[Average]))</f>
        <v>0.69076264861567704</v>
      </c>
      <c r="T256" s="5" cm="1">
        <f t="array" ref="T256">MAX(IF((ContinuousStatsTable[GroupByKey]=ContinuousStatsTable[[#This Row],[GroupByKey]]),(ContinuousStatsTable[GroupByKey]=ContinuousStatsTable[[#This Row],[GroupByKey]])*ContinuousStatsTable[Average]))</f>
        <v>0.69630817582623705</v>
      </c>
      <c r="U256" s="5">
        <f>IF((ContinuousStatsTable[[#This Row],[RepsRequested]]&gt;1),ContinuousStatsTable[[#This Row],[HalfWidth]],ContinuousStatsTable[[#This Row],[BatchMeansHalfWidth]])</f>
        <v>1.2587183991292225E-3</v>
      </c>
    </row>
    <row r="257" spans="1:21" x14ac:dyDescent="0.25">
      <c r="A257" t="s">
        <v>67</v>
      </c>
      <c r="B257" t="s">
        <v>69</v>
      </c>
      <c r="C257">
        <v>10</v>
      </c>
      <c r="D257" t="s">
        <v>70</v>
      </c>
      <c r="E257" t="s">
        <v>101</v>
      </c>
      <c r="F257" t="s">
        <v>72</v>
      </c>
      <c r="G257">
        <v>2.9772007867277201E-2</v>
      </c>
      <c r="H257">
        <v>2.4484368586112702E-3</v>
      </c>
      <c r="I257">
        <v>0</v>
      </c>
      <c r="J257">
        <v>6</v>
      </c>
      <c r="K257">
        <v>0</v>
      </c>
      <c r="L257">
        <v>0</v>
      </c>
      <c r="M257" s="5" t="str">
        <f>ContinuousStatsTable[[#This Row],[ProjectName]]&amp;ContinuousStatsTable[[#This Row],[Name]]&amp;ContinuousStatsTable[[#This Row],[Type]]&amp;ContinuousStatsTable[[#This Row],[Source]]</f>
        <v>Unnamed ProjectEnter Request AGV.QueueNumber WaitingQueue</v>
      </c>
      <c r="N257" s="5" cm="1">
        <f t="array" ref="N257">MAX(IF((ProjectInfoTable[ProjectName]=ContinuousStatsTable[[#This Row],[ProjectName]]),(ProjectInfoTable[ProjectName]=ContinuousStatsTable[[#This Row],[ProjectName]])*ProjectInfoTable[NumberOfReplications]))</f>
        <v>10</v>
      </c>
      <c r="O257" s="5" cm="1">
        <f t="array" ref="O257">IFERROR(AVERAGE(IF((ContinuousStatsTable[GroupByKey]=ContinuousStatsTable[[#This Row],[GroupByKey]]),(ContinuousStatsTable[GroupByKey]=ContinuousStatsTable[[#This Row],[GroupByKey]])*ContinuousStatsTable[Average])),0)</f>
        <v>3.1035047783347335E-2</v>
      </c>
      <c r="P257" s="5" cm="1">
        <f t="array" ref="P257">IFERROR(_xlfn.STDEV.S(IF((ContinuousStatsTable[GroupByKey]=ContinuousStatsTable[[#This Row],[GroupByKey]]),(ContinuousStatsTable[GroupByKey]=ContinuousStatsTable[[#This Row],[GroupByKey]])*ContinuousStatsTable[Average])),0)</f>
        <v>1.214427597616889E-3</v>
      </c>
      <c r="Q257" s="5" cm="1">
        <f t="array" ref="Q257">MAX(IF((ProjectInfoTable[ProjectName]=ContinuousStatsTable[[#This Row],[ProjectName]]),(ProjectInfoTable[ProjectName]=ContinuousStatsTable[[#This Row],[ProjectName]])*ProjectInfoTable[ConfidenceInterval]))</f>
        <v>0.95</v>
      </c>
      <c r="R2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8.6874916875660508E-4</v>
      </c>
      <c r="S257" s="5" cm="1">
        <f t="array" ref="S257">MIN(IF((ContinuousStatsTable[GroupByKey]=ContinuousStatsTable[[#This Row],[GroupByKey]]),(ContinuousStatsTable[GroupByKey]=ContinuousStatsTable[[#This Row],[GroupByKey]])*ContinuousStatsTable[Average]))</f>
        <v>2.9772007867277201E-2</v>
      </c>
      <c r="T257" s="5" cm="1">
        <f t="array" ref="T257">MAX(IF((ContinuousStatsTable[GroupByKey]=ContinuousStatsTable[[#This Row],[GroupByKey]]),(ContinuousStatsTable[GroupByKey]=ContinuousStatsTable[[#This Row],[GroupByKey]])*ContinuousStatsTable[Average]))</f>
        <v>3.3809532279706102E-2</v>
      </c>
      <c r="U257" s="5">
        <f>IF((ContinuousStatsTable[[#This Row],[RepsRequested]]&gt;1),ContinuousStatsTable[[#This Row],[HalfWidth]],ContinuousStatsTable[[#This Row],[BatchMeansHalfWidth]])</f>
        <v>8.6874916875660508E-4</v>
      </c>
    </row>
    <row r="258" spans="1:21" x14ac:dyDescent="0.25">
      <c r="A258" t="s">
        <v>67</v>
      </c>
      <c r="B258" t="s">
        <v>69</v>
      </c>
      <c r="C258">
        <v>10</v>
      </c>
      <c r="D258" t="s">
        <v>102</v>
      </c>
      <c r="E258" t="s">
        <v>103</v>
      </c>
      <c r="F258" t="s">
        <v>77</v>
      </c>
      <c r="G258">
        <v>0</v>
      </c>
      <c r="H258">
        <v>2E+20</v>
      </c>
      <c r="I258">
        <v>0</v>
      </c>
      <c r="J258">
        <v>1</v>
      </c>
      <c r="K258">
        <v>0</v>
      </c>
      <c r="L258">
        <v>0</v>
      </c>
      <c r="M258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58" s="5" cm="1">
        <f t="array" ref="N258">MAX(IF((ProjectInfoTable[ProjectName]=ContinuousStatsTable[[#This Row],[ProjectName]]),(ProjectInfoTable[ProjectName]=ContinuousStatsTable[[#This Row],[ProjectName]])*ProjectInfoTable[NumberOfReplications]))</f>
        <v>10</v>
      </c>
      <c r="O258" s="5" cm="1">
        <f t="array" ref="O258">IFERROR(AVERAGE(IF((ContinuousStatsTable[GroupByKey]=ContinuousStatsTable[[#This Row],[GroupByKey]]),(ContinuousStatsTable[GroupByKey]=ContinuousStatsTable[[#This Row],[GroupByKey]])*ContinuousStatsTable[Average])),0)</f>
        <v>0</v>
      </c>
      <c r="P258" s="5" cm="1">
        <f t="array" ref="P258">IFERROR(_xlfn.STDEV.S(IF((ContinuousStatsTable[GroupByKey]=ContinuousStatsTable[[#This Row],[GroupByKey]]),(ContinuousStatsTable[GroupByKey]=ContinuousStatsTable[[#This Row],[GroupByKey]])*ContinuousStatsTable[Average])),0)</f>
        <v>0</v>
      </c>
      <c r="Q258" s="5" cm="1">
        <f t="array" ref="Q258">MAX(IF((ProjectInfoTable[ProjectName]=ContinuousStatsTable[[#This Row],[ProjectName]]),(ProjectInfoTable[ProjectName]=ContinuousStatsTable[[#This Row],[ProjectName]])*ProjectInfoTable[ConfidenceInterval]))</f>
        <v>0.95</v>
      </c>
      <c r="R2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8" s="5" cm="1">
        <f t="array" ref="S258">MIN(IF((ContinuousStatsTable[GroupByKey]=ContinuousStatsTable[[#This Row],[GroupByKey]]),(ContinuousStatsTable[GroupByKey]=ContinuousStatsTable[[#This Row],[GroupByKey]])*ContinuousStatsTable[Average]))</f>
        <v>0</v>
      </c>
      <c r="T258" s="5" cm="1">
        <f t="array" ref="T258">MAX(IF((ContinuousStatsTable[GroupByKey]=ContinuousStatsTable[[#This Row],[GroupByKey]]),(ContinuousStatsTable[GroupByKey]=ContinuousStatsTable[[#This Row],[GroupByKey]])*ContinuousStatsTable[Average]))</f>
        <v>0</v>
      </c>
      <c r="U258" s="5">
        <f>IF((ContinuousStatsTable[[#This Row],[RepsRequested]]&gt;1),ContinuousStatsTable[[#This Row],[HalfWidth]],ContinuousStatsTable[[#This Row],[BatchMeansHalfWidth]])</f>
        <v>0</v>
      </c>
    </row>
    <row r="259" spans="1:21" x14ac:dyDescent="0.25">
      <c r="A259" t="s">
        <v>67</v>
      </c>
      <c r="B259" t="s">
        <v>69</v>
      </c>
      <c r="C259">
        <v>10</v>
      </c>
      <c r="D259" t="s">
        <v>104</v>
      </c>
      <c r="E259" t="s">
        <v>105</v>
      </c>
      <c r="F259" t="s">
        <v>106</v>
      </c>
      <c r="G259">
        <v>0.518227936737782</v>
      </c>
      <c r="H259">
        <v>1.58776398712469E-2</v>
      </c>
      <c r="I259">
        <v>0</v>
      </c>
      <c r="J259">
        <v>1</v>
      </c>
      <c r="K259">
        <v>1</v>
      </c>
      <c r="L259">
        <v>0</v>
      </c>
      <c r="M259" s="5" t="str">
        <f>ContinuousStatsTable[[#This Row],[ProjectName]]&amp;ContinuousStatsTable[[#This Row],[Name]]&amp;ContinuousStatsTable[[#This Row],[Type]]&amp;ContinuousStatsTable[[#This Row],[Source]]</f>
        <v>Unnamed ProjectNEWPAINTERInstantaneous UtilizationResource</v>
      </c>
      <c r="N259" s="5" cm="1">
        <f t="array" ref="N259">MAX(IF((ProjectInfoTable[ProjectName]=ContinuousStatsTable[[#This Row],[ProjectName]]),(ProjectInfoTable[ProjectName]=ContinuousStatsTable[[#This Row],[ProjectName]])*ProjectInfoTable[NumberOfReplications]))</f>
        <v>10</v>
      </c>
      <c r="O259" s="5" cm="1">
        <f t="array" ref="O259">IFERROR(AVERAGE(IF((ContinuousStatsTable[GroupByKey]=ContinuousStatsTable[[#This Row],[GroupByKey]]),(ContinuousStatsTable[GroupByKey]=ContinuousStatsTable[[#This Row],[GroupByKey]])*ContinuousStatsTable[Average])),0)</f>
        <v>0.52518723279433455</v>
      </c>
      <c r="P259" s="5" cm="1">
        <f t="array" ref="P259">IFERROR(_xlfn.STDEV.S(IF((ContinuousStatsTable[GroupByKey]=ContinuousStatsTable[[#This Row],[GroupByKey]]),(ContinuousStatsTable[GroupByKey]=ContinuousStatsTable[[#This Row],[GroupByKey]])*ContinuousStatsTable[Average])),0)</f>
        <v>8.4087502405714581E-3</v>
      </c>
      <c r="Q259" s="5" cm="1">
        <f t="array" ref="Q259">MAX(IF((ProjectInfoTable[ProjectName]=ContinuousStatsTable[[#This Row],[ProjectName]]),(ProjectInfoTable[ProjectName]=ContinuousStatsTable[[#This Row],[ProjectName]])*ProjectInfoTable[ConfidenceInterval]))</f>
        <v>0.95</v>
      </c>
      <c r="R2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6.0152575551752803E-3</v>
      </c>
      <c r="S259" s="5" cm="1">
        <f t="array" ref="S259">MIN(IF((ContinuousStatsTable[GroupByKey]=ContinuousStatsTable[[#This Row],[GroupByKey]]),(ContinuousStatsTable[GroupByKey]=ContinuousStatsTable[[#This Row],[GroupByKey]])*ContinuousStatsTable[Average]))</f>
        <v>0.51150896826018899</v>
      </c>
      <c r="T259" s="5" cm="1">
        <f t="array" ref="T259">MAX(IF((ContinuousStatsTable[GroupByKey]=ContinuousStatsTable[[#This Row],[GroupByKey]]),(ContinuousStatsTable[GroupByKey]=ContinuousStatsTable[[#This Row],[GroupByKey]])*ContinuousStatsTable[Average]))</f>
        <v>0.54003281556404203</v>
      </c>
      <c r="U259" s="5">
        <f>IF((ContinuousStatsTable[[#This Row],[RepsRequested]]&gt;1),ContinuousStatsTable[[#This Row],[HalfWidth]],ContinuousStatsTable[[#This Row],[BatchMeansHalfWidth]])</f>
        <v>6.0152575551752803E-3</v>
      </c>
    </row>
    <row r="260" spans="1:21" x14ac:dyDescent="0.25">
      <c r="A260" t="s">
        <v>67</v>
      </c>
      <c r="B260" t="s">
        <v>69</v>
      </c>
      <c r="C260">
        <v>10</v>
      </c>
      <c r="D260" t="s">
        <v>104</v>
      </c>
      <c r="E260" t="s">
        <v>97</v>
      </c>
      <c r="F260" t="s">
        <v>106</v>
      </c>
      <c r="G260">
        <v>0.518227936737782</v>
      </c>
      <c r="H260">
        <v>1.58776398712469E-2</v>
      </c>
      <c r="I260">
        <v>0</v>
      </c>
      <c r="J260">
        <v>1</v>
      </c>
      <c r="K260">
        <v>1</v>
      </c>
      <c r="L260">
        <v>0</v>
      </c>
      <c r="M260" s="5" t="str">
        <f>ContinuousStatsTable[[#This Row],[ProjectName]]&amp;ContinuousStatsTable[[#This Row],[Name]]&amp;ContinuousStatsTable[[#This Row],[Type]]&amp;ContinuousStatsTable[[#This Row],[Source]]</f>
        <v>Unnamed ProjectNEWPAINTERNumber BusyResource</v>
      </c>
      <c r="N260" s="5" cm="1">
        <f t="array" ref="N260">MAX(IF((ProjectInfoTable[ProjectName]=ContinuousStatsTable[[#This Row],[ProjectName]]),(ProjectInfoTable[ProjectName]=ContinuousStatsTable[[#This Row],[ProjectName]])*ProjectInfoTable[NumberOfReplications]))</f>
        <v>10</v>
      </c>
      <c r="O260" s="5" cm="1">
        <f t="array" ref="O260">IFERROR(AVERAGE(IF((ContinuousStatsTable[GroupByKey]=ContinuousStatsTable[[#This Row],[GroupByKey]]),(ContinuousStatsTable[GroupByKey]=ContinuousStatsTable[[#This Row],[GroupByKey]])*ContinuousStatsTable[Average])),0)</f>
        <v>0.52518723279433455</v>
      </c>
      <c r="P260" s="5" cm="1">
        <f t="array" ref="P260">IFERROR(_xlfn.STDEV.S(IF((ContinuousStatsTable[GroupByKey]=ContinuousStatsTable[[#This Row],[GroupByKey]]),(ContinuousStatsTable[GroupByKey]=ContinuousStatsTable[[#This Row],[GroupByKey]])*ContinuousStatsTable[Average])),0)</f>
        <v>8.4087502405714581E-3</v>
      </c>
      <c r="Q260" s="5" cm="1">
        <f t="array" ref="Q260">MAX(IF((ProjectInfoTable[ProjectName]=ContinuousStatsTable[[#This Row],[ProjectName]]),(ProjectInfoTable[ProjectName]=ContinuousStatsTable[[#This Row],[ProjectName]])*ProjectInfoTable[ConfidenceInterval]))</f>
        <v>0.95</v>
      </c>
      <c r="R2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6.0152575551752803E-3</v>
      </c>
      <c r="S260" s="5" cm="1">
        <f t="array" ref="S260">MIN(IF((ContinuousStatsTable[GroupByKey]=ContinuousStatsTable[[#This Row],[GroupByKey]]),(ContinuousStatsTable[GroupByKey]=ContinuousStatsTable[[#This Row],[GroupByKey]])*ContinuousStatsTable[Average]))</f>
        <v>0.51150896826018899</v>
      </c>
      <c r="T260" s="5" cm="1">
        <f t="array" ref="T260">MAX(IF((ContinuousStatsTable[GroupByKey]=ContinuousStatsTable[[#This Row],[GroupByKey]]),(ContinuousStatsTable[GroupByKey]=ContinuousStatsTable[[#This Row],[GroupByKey]])*ContinuousStatsTable[Average]))</f>
        <v>0.54003281556404203</v>
      </c>
      <c r="U260" s="5">
        <f>IF((ContinuousStatsTable[[#This Row],[RepsRequested]]&gt;1),ContinuousStatsTable[[#This Row],[HalfWidth]],ContinuousStatsTable[[#This Row],[BatchMeansHalfWidth]])</f>
        <v>6.0152575551752803E-3</v>
      </c>
    </row>
    <row r="261" spans="1:21" x14ac:dyDescent="0.25">
      <c r="A261" t="s">
        <v>67</v>
      </c>
      <c r="B261" t="s">
        <v>69</v>
      </c>
      <c r="C261">
        <v>10</v>
      </c>
      <c r="D261" t="s">
        <v>104</v>
      </c>
      <c r="E261" t="s">
        <v>99</v>
      </c>
      <c r="F261" t="s">
        <v>106</v>
      </c>
      <c r="G261">
        <v>1</v>
      </c>
      <c r="H261">
        <v>2E+20</v>
      </c>
      <c r="I261">
        <v>1</v>
      </c>
      <c r="J261">
        <v>1</v>
      </c>
      <c r="K261">
        <v>1</v>
      </c>
      <c r="L261">
        <v>0</v>
      </c>
      <c r="M261" s="5" t="str">
        <f>ContinuousStatsTable[[#This Row],[ProjectName]]&amp;ContinuousStatsTable[[#This Row],[Name]]&amp;ContinuousStatsTable[[#This Row],[Type]]&amp;ContinuousStatsTable[[#This Row],[Source]]</f>
        <v>Unnamed ProjectNEWPAINTERNumber ScheduledResource</v>
      </c>
      <c r="N261" s="5" cm="1">
        <f t="array" ref="N261">MAX(IF((ProjectInfoTable[ProjectName]=ContinuousStatsTable[[#This Row],[ProjectName]]),(ProjectInfoTable[ProjectName]=ContinuousStatsTable[[#This Row],[ProjectName]])*ProjectInfoTable[NumberOfReplications]))</f>
        <v>10</v>
      </c>
      <c r="O261" s="5" cm="1">
        <f t="array" ref="O261">IFERROR(AVERAGE(IF((ContinuousStatsTable[GroupByKey]=ContinuousStatsTable[[#This Row],[GroupByKey]]),(ContinuousStatsTable[GroupByKey]=ContinuousStatsTable[[#This Row],[GroupByKey]])*ContinuousStatsTable[Average])),0)</f>
        <v>1</v>
      </c>
      <c r="P261" s="5" cm="1">
        <f t="array" ref="P261">IFERROR(_xlfn.STDEV.S(IF((ContinuousStatsTable[GroupByKey]=ContinuousStatsTable[[#This Row],[GroupByKey]]),(ContinuousStatsTable[GroupByKey]=ContinuousStatsTable[[#This Row],[GroupByKey]])*ContinuousStatsTable[Average])),0)</f>
        <v>0</v>
      </c>
      <c r="Q261" s="5" cm="1">
        <f t="array" ref="Q261">MAX(IF((ProjectInfoTable[ProjectName]=ContinuousStatsTable[[#This Row],[ProjectName]]),(ProjectInfoTable[ProjectName]=ContinuousStatsTable[[#This Row],[ProjectName]])*ProjectInfoTable[ConfidenceInterval]))</f>
        <v>0.95</v>
      </c>
      <c r="R2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1" s="5" cm="1">
        <f t="array" ref="S261">MIN(IF((ContinuousStatsTable[GroupByKey]=ContinuousStatsTable[[#This Row],[GroupByKey]]),(ContinuousStatsTable[GroupByKey]=ContinuousStatsTable[[#This Row],[GroupByKey]])*ContinuousStatsTable[Average]))</f>
        <v>1</v>
      </c>
      <c r="T261" s="5" cm="1">
        <f t="array" ref="T261">MAX(IF((ContinuousStatsTable[GroupByKey]=ContinuousStatsTable[[#This Row],[GroupByKey]]),(ContinuousStatsTable[GroupByKey]=ContinuousStatsTable[[#This Row],[GroupByKey]])*ContinuousStatsTable[Average]))</f>
        <v>1</v>
      </c>
      <c r="U261" s="5">
        <f>IF((ContinuousStatsTable[[#This Row],[RepsRequested]]&gt;1),ContinuousStatsTable[[#This Row],[HalfWidth]],ContinuousStatsTable[[#This Row],[BatchMeansHalfWidth]])</f>
        <v>0</v>
      </c>
    </row>
    <row r="262" spans="1:21" x14ac:dyDescent="0.25">
      <c r="A262" t="s">
        <v>67</v>
      </c>
      <c r="B262" t="s">
        <v>69</v>
      </c>
      <c r="C262">
        <v>10</v>
      </c>
      <c r="D262" t="s">
        <v>73</v>
      </c>
      <c r="E262" t="s">
        <v>101</v>
      </c>
      <c r="F262" t="s">
        <v>72</v>
      </c>
      <c r="G262">
        <v>0.181272886672703</v>
      </c>
      <c r="H262">
        <v>2.1900516456541098E-2</v>
      </c>
      <c r="I262">
        <v>0</v>
      </c>
      <c r="J262">
        <v>5</v>
      </c>
      <c r="K262">
        <v>4</v>
      </c>
      <c r="L262">
        <v>0</v>
      </c>
      <c r="M262" s="5" t="str">
        <f>ContinuousStatsTable[[#This Row],[ProjectName]]&amp;ContinuousStatsTable[[#This Row],[Name]]&amp;ContinuousStatsTable[[#This Row],[Type]]&amp;ContinuousStatsTable[[#This Row],[Source]]</f>
        <v>Unnamed ProjectNewPaintQNumber WaitingQueue</v>
      </c>
      <c r="N262" s="5" cm="1">
        <f t="array" ref="N262">MAX(IF((ProjectInfoTable[ProjectName]=ContinuousStatsTable[[#This Row],[ProjectName]]),(ProjectInfoTable[ProjectName]=ContinuousStatsTable[[#This Row],[ProjectName]])*ProjectInfoTable[NumberOfReplications]))</f>
        <v>10</v>
      </c>
      <c r="O262" s="5" cm="1">
        <f t="array" ref="O262">IFERROR(AVERAGE(IF((ContinuousStatsTable[GroupByKey]=ContinuousStatsTable[[#This Row],[GroupByKey]]),(ContinuousStatsTable[GroupByKey]=ContinuousStatsTable[[#This Row],[GroupByKey]])*ContinuousStatsTable[Average])),0)</f>
        <v>0.19175082727765341</v>
      </c>
      <c r="P262" s="5" cm="1">
        <f t="array" ref="P262">IFERROR(_xlfn.STDEV.S(IF((ContinuousStatsTable[GroupByKey]=ContinuousStatsTable[[#This Row],[GroupByKey]]),(ContinuousStatsTable[GroupByKey]=ContinuousStatsTable[[#This Row],[GroupByKey]])*ContinuousStatsTable[Average])),0)</f>
        <v>1.5966644693782381E-2</v>
      </c>
      <c r="Q262" s="5" cm="1">
        <f t="array" ref="Q262">MAX(IF((ProjectInfoTable[ProjectName]=ContinuousStatsTable[[#This Row],[ProjectName]]),(ProjectInfoTable[ProjectName]=ContinuousStatsTable[[#This Row],[ProjectName]])*ProjectInfoTable[ConfidenceInterval]))</f>
        <v>0.95</v>
      </c>
      <c r="R2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1.1421849546877095E-2</v>
      </c>
      <c r="S262" s="5" cm="1">
        <f t="array" ref="S262">MIN(IF((ContinuousStatsTable[GroupByKey]=ContinuousStatsTable[[#This Row],[GroupByKey]]),(ContinuousStatsTable[GroupByKey]=ContinuousStatsTable[[#This Row],[GroupByKey]])*ContinuousStatsTable[Average]))</f>
        <v>0.17015628683515099</v>
      </c>
      <c r="T262" s="5" cm="1">
        <f t="array" ref="T262">MAX(IF((ContinuousStatsTable[GroupByKey]=ContinuousStatsTable[[#This Row],[GroupByKey]]),(ContinuousStatsTable[GroupByKey]=ContinuousStatsTable[[#This Row],[GroupByKey]])*ContinuousStatsTable[Average]))</f>
        <v>0.217869952503708</v>
      </c>
      <c r="U262" s="5">
        <f>IF((ContinuousStatsTable[[#This Row],[RepsRequested]]&gt;1),ContinuousStatsTable[[#This Row],[HalfWidth]],ContinuousStatsTable[[#This Row],[BatchMeansHalfWidth]])</f>
        <v>1.1421849546877095E-2</v>
      </c>
    </row>
    <row r="263" spans="1:21" x14ac:dyDescent="0.25">
      <c r="A263" t="s">
        <v>67</v>
      </c>
      <c r="B263" t="s">
        <v>69</v>
      </c>
      <c r="C263">
        <v>10</v>
      </c>
      <c r="D263" t="s">
        <v>74</v>
      </c>
      <c r="E263" t="s">
        <v>101</v>
      </c>
      <c r="F263" t="s">
        <v>72</v>
      </c>
      <c r="G263">
        <v>4.7202166276513503E-3</v>
      </c>
      <c r="H263">
        <v>3.75041183461637E-4</v>
      </c>
      <c r="I263">
        <v>0</v>
      </c>
      <c r="J263">
        <v>1</v>
      </c>
      <c r="K263">
        <v>0</v>
      </c>
      <c r="L263">
        <v>0</v>
      </c>
      <c r="M263" s="5" t="str">
        <f>ContinuousStatsTable[[#This Row],[ProjectName]]&amp;ContinuousStatsTable[[#This Row],[Name]]&amp;ContinuousStatsTable[[#This Row],[Type]]&amp;ContinuousStatsTable[[#This Row],[Source]]</f>
        <v>Unnamed ProjectNewPaintReqQNumber WaitingQueue</v>
      </c>
      <c r="N263" s="5" cm="1">
        <f t="array" ref="N263">MAX(IF((ProjectInfoTable[ProjectName]=ContinuousStatsTable[[#This Row],[ProjectName]]),(ProjectInfoTable[ProjectName]=ContinuousStatsTable[[#This Row],[ProjectName]])*ProjectInfoTable[NumberOfReplications]))</f>
        <v>10</v>
      </c>
      <c r="O263" s="5" cm="1">
        <f t="array" ref="O263">IFERROR(AVERAGE(IF((ContinuousStatsTable[GroupByKey]=ContinuousStatsTable[[#This Row],[GroupByKey]]),(ContinuousStatsTable[GroupByKey]=ContinuousStatsTable[[#This Row],[GroupByKey]])*ContinuousStatsTable[Average])),0)</f>
        <v>4.7461022101932173E-3</v>
      </c>
      <c r="P263" s="5" cm="1">
        <f t="array" ref="P263">IFERROR(_xlfn.STDEV.S(IF((ContinuousStatsTable[GroupByKey]=ContinuousStatsTable[[#This Row],[GroupByKey]]),(ContinuousStatsTable[GroupByKey]=ContinuousStatsTable[[#This Row],[GroupByKey]])*ContinuousStatsTable[Average])),0)</f>
        <v>2.0643575159293872E-4</v>
      </c>
      <c r="Q263" s="5" cm="1">
        <f t="array" ref="Q263">MAX(IF((ProjectInfoTable[ProjectName]=ContinuousStatsTable[[#This Row],[ProjectName]]),(ProjectInfoTable[ProjectName]=ContinuousStatsTable[[#This Row],[ProjectName]])*ProjectInfoTable[ConfidenceInterval]))</f>
        <v>0.95</v>
      </c>
      <c r="R2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1.4767524054125336E-4</v>
      </c>
      <c r="S263" s="5" cm="1">
        <f t="array" ref="S263">MIN(IF((ContinuousStatsTable[GroupByKey]=ContinuousStatsTable[[#This Row],[GroupByKey]]),(ContinuousStatsTable[GroupByKey]=ContinuousStatsTable[[#This Row],[GroupByKey]])*ContinuousStatsTable[Average]))</f>
        <v>4.3438456155572196E-3</v>
      </c>
      <c r="T263" s="5" cm="1">
        <f t="array" ref="T263">MAX(IF((ContinuousStatsTable[GroupByKey]=ContinuousStatsTable[[#This Row],[GroupByKey]]),(ContinuousStatsTable[GroupByKey]=ContinuousStatsTable[[#This Row],[GroupByKey]])*ContinuousStatsTable[Average]))</f>
        <v>5.0878342070728201E-3</v>
      </c>
      <c r="U263" s="5">
        <f>IF((ContinuousStatsTable[[#This Row],[RepsRequested]]&gt;1),ContinuousStatsTable[[#This Row],[HalfWidth]],ContinuousStatsTable[[#This Row],[BatchMeansHalfWidth]])</f>
        <v>1.4767524054125336E-4</v>
      </c>
    </row>
    <row r="264" spans="1:21" x14ac:dyDescent="0.25">
      <c r="A264" t="s">
        <v>67</v>
      </c>
      <c r="B264" t="s">
        <v>69</v>
      </c>
      <c r="C264">
        <v>10</v>
      </c>
      <c r="D264" t="s">
        <v>75</v>
      </c>
      <c r="E264" t="s">
        <v>103</v>
      </c>
      <c r="F264" t="s">
        <v>77</v>
      </c>
      <c r="G264">
        <v>2.48978583991105</v>
      </c>
      <c r="H264">
        <v>0.13442172811709799</v>
      </c>
      <c r="I264">
        <v>0</v>
      </c>
      <c r="J264">
        <v>14</v>
      </c>
      <c r="K264">
        <v>7</v>
      </c>
      <c r="L264">
        <v>0</v>
      </c>
      <c r="M264" s="5" t="str">
        <f>ContinuousStatsTable[[#This Row],[ProjectName]]&amp;ContinuousStatsTable[[#This Row],[Name]]&amp;ContinuousStatsTable[[#This Row],[Type]]&amp;ContinuousStatsTable[[#This Row],[Source]]</f>
        <v>Unnamed ProjectNewPartWIPEntity</v>
      </c>
      <c r="N264" s="5" cm="1">
        <f t="array" ref="N264">MAX(IF((ProjectInfoTable[ProjectName]=ContinuousStatsTable[[#This Row],[ProjectName]]),(ProjectInfoTable[ProjectName]=ContinuousStatsTable[[#This Row],[ProjectName]])*ProjectInfoTable[NumberOfReplications]))</f>
        <v>10</v>
      </c>
      <c r="O264" s="5" cm="1">
        <f t="array" ref="O264">IFERROR(AVERAGE(IF((ContinuousStatsTable[GroupByKey]=ContinuousStatsTable[[#This Row],[GroupByKey]]),(ContinuousStatsTable[GroupByKey]=ContinuousStatsTable[[#This Row],[GroupByKey]])*ContinuousStatsTable[Average])),0)</f>
        <v>2.5498900061729541</v>
      </c>
      <c r="P264" s="5" cm="1">
        <f t="array" ref="P264">IFERROR(_xlfn.STDEV.S(IF((ContinuousStatsTable[GroupByKey]=ContinuousStatsTable[[#This Row],[GroupByKey]]),(ContinuousStatsTable[GroupByKey]=ContinuousStatsTable[[#This Row],[GroupByKey]])*ContinuousStatsTable[Average])),0)</f>
        <v>7.472159430415927E-2</v>
      </c>
      <c r="Q264" s="5" cm="1">
        <f t="array" ref="Q264">MAX(IF((ProjectInfoTable[ProjectName]=ContinuousStatsTable[[#This Row],[ProjectName]]),(ProjectInfoTable[ProjectName]=ContinuousStatsTable[[#This Row],[ProjectName]])*ProjectInfoTable[ConfidenceInterval]))</f>
        <v>0.95</v>
      </c>
      <c r="R2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5.3452608510618609E-2</v>
      </c>
      <c r="S264" s="5" cm="1">
        <f t="array" ref="S264">MIN(IF((ContinuousStatsTable[GroupByKey]=ContinuousStatsTable[[#This Row],[GroupByKey]]),(ContinuousStatsTable[GroupByKey]=ContinuousStatsTable[[#This Row],[GroupByKey]])*ContinuousStatsTable[Average]))</f>
        <v>2.4192292508998099</v>
      </c>
      <c r="T264" s="5" cm="1">
        <f t="array" ref="T264">MAX(IF((ContinuousStatsTable[GroupByKey]=ContinuousStatsTable[[#This Row],[GroupByKey]]),(ContinuousStatsTable[GroupByKey]=ContinuousStatsTable[[#This Row],[GroupByKey]])*ContinuousStatsTable[Average]))</f>
        <v>2.6620431560013098</v>
      </c>
      <c r="U264" s="5">
        <f>IF((ContinuousStatsTable[[#This Row],[RepsRequested]]&gt;1),ContinuousStatsTable[[#This Row],[HalfWidth]],ContinuousStatsTable[[#This Row],[BatchMeansHalfWidth]])</f>
        <v>5.3452608510618609E-2</v>
      </c>
    </row>
    <row r="265" spans="1:21" x14ac:dyDescent="0.25">
      <c r="A265" t="s">
        <v>67</v>
      </c>
      <c r="B265" t="s">
        <v>69</v>
      </c>
      <c r="C265">
        <v>10</v>
      </c>
      <c r="D265" t="s">
        <v>83</v>
      </c>
      <c r="E265" t="s">
        <v>103</v>
      </c>
      <c r="F265" t="s">
        <v>77</v>
      </c>
      <c r="G265">
        <v>4.9000737096041602</v>
      </c>
      <c r="H265">
        <v>0.24585574463149301</v>
      </c>
      <c r="I265">
        <v>0</v>
      </c>
      <c r="J265">
        <v>20</v>
      </c>
      <c r="K265">
        <v>2</v>
      </c>
      <c r="L265">
        <v>0</v>
      </c>
      <c r="M265" s="5" t="str">
        <f>ContinuousStatsTable[[#This Row],[ProjectName]]&amp;ContinuousStatsTable[[#This Row],[Name]]&amp;ContinuousStatsTable[[#This Row],[Type]]&amp;ContinuousStatsTable[[#This Row],[Source]]</f>
        <v>Unnamed ProjectOldPartWIPEntity</v>
      </c>
      <c r="N265" s="5" cm="1">
        <f t="array" ref="N265">MAX(IF((ProjectInfoTable[ProjectName]=ContinuousStatsTable[[#This Row],[ProjectName]]),(ProjectInfoTable[ProjectName]=ContinuousStatsTable[[#This Row],[ProjectName]])*ProjectInfoTable[NumberOfReplications]))</f>
        <v>10</v>
      </c>
      <c r="O265" s="5" cm="1">
        <f t="array" ref="O265">IFERROR(AVERAGE(IF((ContinuousStatsTable[GroupByKey]=ContinuousStatsTable[[#This Row],[GroupByKey]]),(ContinuousStatsTable[GroupByKey]=ContinuousStatsTable[[#This Row],[GroupByKey]])*ContinuousStatsTable[Average])),0)</f>
        <v>4.9513834264802963</v>
      </c>
      <c r="P265" s="5" cm="1">
        <f t="array" ref="P265">IFERROR(_xlfn.STDEV.S(IF((ContinuousStatsTable[GroupByKey]=ContinuousStatsTable[[#This Row],[GroupByKey]]),(ContinuousStatsTable[GroupByKey]=ContinuousStatsTable[[#This Row],[GroupByKey]])*ContinuousStatsTable[Average])),0)</f>
        <v>0.10244397191297382</v>
      </c>
      <c r="Q265" s="5" cm="1">
        <f t="array" ref="Q265">MAX(IF((ProjectInfoTable[ProjectName]=ContinuousStatsTable[[#This Row],[ProjectName]]),(ProjectInfoTable[ProjectName]=ContinuousStatsTable[[#This Row],[ProjectName]])*ProjectInfoTable[ConfidenceInterval]))</f>
        <v>0.95</v>
      </c>
      <c r="R2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7.3284002783010616E-2</v>
      </c>
      <c r="S265" s="5" cm="1">
        <f t="array" ref="S265">MIN(IF((ContinuousStatsTable[GroupByKey]=ContinuousStatsTable[[#This Row],[GroupByKey]]),(ContinuousStatsTable[GroupByKey]=ContinuousStatsTable[[#This Row],[GroupByKey]])*ContinuousStatsTable[Average]))</f>
        <v>4.82855853416822</v>
      </c>
      <c r="T265" s="5" cm="1">
        <f t="array" ref="T265">MAX(IF((ContinuousStatsTable[GroupByKey]=ContinuousStatsTable[[#This Row],[GroupByKey]]),(ContinuousStatsTable[GroupByKey]=ContinuousStatsTable[[#This Row],[GroupByKey]])*ContinuousStatsTable[Average]))</f>
        <v>5.1212851674768203</v>
      </c>
      <c r="U265" s="5">
        <f>IF((ContinuousStatsTable[[#This Row],[RepsRequested]]&gt;1),ContinuousStatsTable[[#This Row],[HalfWidth]],ContinuousStatsTable[[#This Row],[BatchMeansHalfWidth]])</f>
        <v>7.3284002783010616E-2</v>
      </c>
    </row>
    <row r="266" spans="1:21" x14ac:dyDescent="0.25">
      <c r="A266" t="s">
        <v>67</v>
      </c>
      <c r="B266" t="s">
        <v>69</v>
      </c>
      <c r="C266">
        <v>10</v>
      </c>
      <c r="D266" t="s">
        <v>107</v>
      </c>
      <c r="E266" t="s">
        <v>105</v>
      </c>
      <c r="F266" t="s">
        <v>106</v>
      </c>
      <c r="G266">
        <v>0.81208338471127695</v>
      </c>
      <c r="H266">
        <v>1.3051795778244999E-2</v>
      </c>
      <c r="I266">
        <v>0</v>
      </c>
      <c r="J266">
        <v>1</v>
      </c>
      <c r="K266">
        <v>1</v>
      </c>
      <c r="L266">
        <v>0</v>
      </c>
      <c r="M266" s="5" t="str">
        <f>ContinuousStatsTable[[#This Row],[ProjectName]]&amp;ContinuousStatsTable[[#This Row],[Name]]&amp;ContinuousStatsTable[[#This Row],[Type]]&amp;ContinuousStatsTable[[#This Row],[Source]]</f>
        <v>Unnamed ProjectPACKERInstantaneous UtilizationResource</v>
      </c>
      <c r="N266" s="5" cm="1">
        <f t="array" ref="N266">MAX(IF((ProjectInfoTable[ProjectName]=ContinuousStatsTable[[#This Row],[ProjectName]]),(ProjectInfoTable[ProjectName]=ContinuousStatsTable[[#This Row],[ProjectName]])*ProjectInfoTable[NumberOfReplications]))</f>
        <v>10</v>
      </c>
      <c r="O266" s="5" cm="1">
        <f t="array" ref="O266">IFERROR(AVERAGE(IF((ContinuousStatsTable[GroupByKey]=ContinuousStatsTable[[#This Row],[GroupByKey]]),(ContinuousStatsTable[GroupByKey]=ContinuousStatsTable[[#This Row],[GroupByKey]])*ContinuousStatsTable[Average])),0)</f>
        <v>0.81557194281027567</v>
      </c>
      <c r="P266" s="5" cm="1">
        <f t="array" ref="P266">IFERROR(_xlfn.STDEV.S(IF((ContinuousStatsTable[GroupByKey]=ContinuousStatsTable[[#This Row],[GroupByKey]]),(ContinuousStatsTable[GroupByKey]=ContinuousStatsTable[[#This Row],[GroupByKey]])*ContinuousStatsTable[Average])),0)</f>
        <v>6.9416851287817331E-3</v>
      </c>
      <c r="Q266" s="5" cm="1">
        <f t="array" ref="Q266">MAX(IF((ProjectInfoTable[ProjectName]=ContinuousStatsTable[[#This Row],[ProjectName]]),(ProjectInfoTable[ProjectName]=ContinuousStatsTable[[#This Row],[ProjectName]])*ProjectInfoTable[ConfidenceInterval]))</f>
        <v>0.95</v>
      </c>
      <c r="R2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4.9657823959478754E-3</v>
      </c>
      <c r="S266" s="5" cm="1">
        <f t="array" ref="S266">MIN(IF((ContinuousStatsTable[GroupByKey]=ContinuousStatsTable[[#This Row],[GroupByKey]]),(ContinuousStatsTable[GroupByKey]=ContinuousStatsTable[[#This Row],[GroupByKey]])*ContinuousStatsTable[Average]))</f>
        <v>0.80675605099888203</v>
      </c>
      <c r="T266" s="5" cm="1">
        <f t="array" ref="T266">MAX(IF((ContinuousStatsTable[GroupByKey]=ContinuousStatsTable[[#This Row],[GroupByKey]]),(ContinuousStatsTable[GroupByKey]=ContinuousStatsTable[[#This Row],[GroupByKey]])*ContinuousStatsTable[Average]))</f>
        <v>0.82818429749007605</v>
      </c>
      <c r="U266" s="5">
        <f>IF((ContinuousStatsTable[[#This Row],[RepsRequested]]&gt;1),ContinuousStatsTable[[#This Row],[HalfWidth]],ContinuousStatsTable[[#This Row],[BatchMeansHalfWidth]])</f>
        <v>4.9657823959478754E-3</v>
      </c>
    </row>
    <row r="267" spans="1:21" x14ac:dyDescent="0.25">
      <c r="A267" t="s">
        <v>67</v>
      </c>
      <c r="B267" t="s">
        <v>69</v>
      </c>
      <c r="C267">
        <v>10</v>
      </c>
      <c r="D267" t="s">
        <v>107</v>
      </c>
      <c r="E267" t="s">
        <v>97</v>
      </c>
      <c r="F267" t="s">
        <v>106</v>
      </c>
      <c r="G267">
        <v>0.81208338471127695</v>
      </c>
      <c r="H267">
        <v>1.3051795778244999E-2</v>
      </c>
      <c r="I267">
        <v>0</v>
      </c>
      <c r="J267">
        <v>1</v>
      </c>
      <c r="K267">
        <v>1</v>
      </c>
      <c r="L267">
        <v>0</v>
      </c>
      <c r="M267" s="5" t="str">
        <f>ContinuousStatsTable[[#This Row],[ProjectName]]&amp;ContinuousStatsTable[[#This Row],[Name]]&amp;ContinuousStatsTable[[#This Row],[Type]]&amp;ContinuousStatsTable[[#This Row],[Source]]</f>
        <v>Unnamed ProjectPACKERNumber BusyResource</v>
      </c>
      <c r="N267" s="5" cm="1">
        <f t="array" ref="N267">MAX(IF((ProjectInfoTable[ProjectName]=ContinuousStatsTable[[#This Row],[ProjectName]]),(ProjectInfoTable[ProjectName]=ContinuousStatsTable[[#This Row],[ProjectName]])*ProjectInfoTable[NumberOfReplications]))</f>
        <v>10</v>
      </c>
      <c r="O267" s="5" cm="1">
        <f t="array" ref="O267">IFERROR(AVERAGE(IF((ContinuousStatsTable[GroupByKey]=ContinuousStatsTable[[#This Row],[GroupByKey]]),(ContinuousStatsTable[GroupByKey]=ContinuousStatsTable[[#This Row],[GroupByKey]])*ContinuousStatsTable[Average])),0)</f>
        <v>0.81557194281027567</v>
      </c>
      <c r="P267" s="5" cm="1">
        <f t="array" ref="P267">IFERROR(_xlfn.STDEV.S(IF((ContinuousStatsTable[GroupByKey]=ContinuousStatsTable[[#This Row],[GroupByKey]]),(ContinuousStatsTable[GroupByKey]=ContinuousStatsTable[[#This Row],[GroupByKey]])*ContinuousStatsTable[Average])),0)</f>
        <v>6.9416851287817331E-3</v>
      </c>
      <c r="Q267" s="5" cm="1">
        <f t="array" ref="Q267">MAX(IF((ProjectInfoTable[ProjectName]=ContinuousStatsTable[[#This Row],[ProjectName]]),(ProjectInfoTable[ProjectName]=ContinuousStatsTable[[#This Row],[ProjectName]])*ProjectInfoTable[ConfidenceInterval]))</f>
        <v>0.95</v>
      </c>
      <c r="R2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4.9657823959478754E-3</v>
      </c>
      <c r="S267" s="5" cm="1">
        <f t="array" ref="S267">MIN(IF((ContinuousStatsTable[GroupByKey]=ContinuousStatsTable[[#This Row],[GroupByKey]]),(ContinuousStatsTable[GroupByKey]=ContinuousStatsTable[[#This Row],[GroupByKey]])*ContinuousStatsTable[Average]))</f>
        <v>0.80675605099888203</v>
      </c>
      <c r="T267" s="5" cm="1">
        <f t="array" ref="T267">MAX(IF((ContinuousStatsTable[GroupByKey]=ContinuousStatsTable[[#This Row],[GroupByKey]]),(ContinuousStatsTable[GroupByKey]=ContinuousStatsTable[[#This Row],[GroupByKey]])*ContinuousStatsTable[Average]))</f>
        <v>0.82818429749007605</v>
      </c>
      <c r="U267" s="5">
        <f>IF((ContinuousStatsTable[[#This Row],[RepsRequested]]&gt;1),ContinuousStatsTable[[#This Row],[HalfWidth]],ContinuousStatsTable[[#This Row],[BatchMeansHalfWidth]])</f>
        <v>4.9657823959478754E-3</v>
      </c>
    </row>
    <row r="268" spans="1:21" x14ac:dyDescent="0.25">
      <c r="A268" t="s">
        <v>67</v>
      </c>
      <c r="B268" t="s">
        <v>69</v>
      </c>
      <c r="C268">
        <v>10</v>
      </c>
      <c r="D268" t="s">
        <v>107</v>
      </c>
      <c r="E268" t="s">
        <v>99</v>
      </c>
      <c r="F268" t="s">
        <v>106</v>
      </c>
      <c r="G268">
        <v>1</v>
      </c>
      <c r="H268">
        <v>2E+20</v>
      </c>
      <c r="I268">
        <v>1</v>
      </c>
      <c r="J268">
        <v>1</v>
      </c>
      <c r="K268">
        <v>1</v>
      </c>
      <c r="L268">
        <v>0</v>
      </c>
      <c r="M268" s="5" t="str">
        <f>ContinuousStatsTable[[#This Row],[ProjectName]]&amp;ContinuousStatsTable[[#This Row],[Name]]&amp;ContinuousStatsTable[[#This Row],[Type]]&amp;ContinuousStatsTable[[#This Row],[Source]]</f>
        <v>Unnamed ProjectPACKERNumber ScheduledResource</v>
      </c>
      <c r="N268" s="5" cm="1">
        <f t="array" ref="N268">MAX(IF((ProjectInfoTable[ProjectName]=ContinuousStatsTable[[#This Row],[ProjectName]]),(ProjectInfoTable[ProjectName]=ContinuousStatsTable[[#This Row],[ProjectName]])*ProjectInfoTable[NumberOfReplications]))</f>
        <v>10</v>
      </c>
      <c r="O268" s="5" cm="1">
        <f t="array" ref="O268">IFERROR(AVERAGE(IF((ContinuousStatsTable[GroupByKey]=ContinuousStatsTable[[#This Row],[GroupByKey]]),(ContinuousStatsTable[GroupByKey]=ContinuousStatsTable[[#This Row],[GroupByKey]])*ContinuousStatsTable[Average])),0)</f>
        <v>1</v>
      </c>
      <c r="P268" s="5" cm="1">
        <f t="array" ref="P268">IFERROR(_xlfn.STDEV.S(IF((ContinuousStatsTable[GroupByKey]=ContinuousStatsTable[[#This Row],[GroupByKey]]),(ContinuousStatsTable[GroupByKey]=ContinuousStatsTable[[#This Row],[GroupByKey]])*ContinuousStatsTable[Average])),0)</f>
        <v>0</v>
      </c>
      <c r="Q268" s="5" cm="1">
        <f t="array" ref="Q268">MAX(IF((ProjectInfoTable[ProjectName]=ContinuousStatsTable[[#This Row],[ProjectName]]),(ProjectInfoTable[ProjectName]=ContinuousStatsTable[[#This Row],[ProjectName]])*ProjectInfoTable[ConfidenceInterval]))</f>
        <v>0.95</v>
      </c>
      <c r="R2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8" s="5" cm="1">
        <f t="array" ref="S268">MIN(IF((ContinuousStatsTable[GroupByKey]=ContinuousStatsTable[[#This Row],[GroupByKey]]),(ContinuousStatsTable[GroupByKey]=ContinuousStatsTable[[#This Row],[GroupByKey]])*ContinuousStatsTable[Average]))</f>
        <v>1</v>
      </c>
      <c r="T268" s="5" cm="1">
        <f t="array" ref="T268">MAX(IF((ContinuousStatsTable[GroupByKey]=ContinuousStatsTable[[#This Row],[GroupByKey]]),(ContinuousStatsTable[GroupByKey]=ContinuousStatsTable[[#This Row],[GroupByKey]])*ContinuousStatsTable[Average]))</f>
        <v>1</v>
      </c>
      <c r="U268" s="5">
        <f>IF((ContinuousStatsTable[[#This Row],[RepsRequested]]&gt;1),ContinuousStatsTable[[#This Row],[HalfWidth]],ContinuousStatsTable[[#This Row],[BatchMeansHalfWidth]])</f>
        <v>0</v>
      </c>
    </row>
    <row r="269" spans="1:21" x14ac:dyDescent="0.25">
      <c r="A269" t="s">
        <v>67</v>
      </c>
      <c r="B269" t="s">
        <v>69</v>
      </c>
      <c r="C269">
        <v>10</v>
      </c>
      <c r="D269" t="s">
        <v>108</v>
      </c>
      <c r="E269" t="s">
        <v>105</v>
      </c>
      <c r="F269" t="s">
        <v>106</v>
      </c>
      <c r="G269">
        <v>0.548775927036105</v>
      </c>
      <c r="H269">
        <v>1.0101032411999699E-2</v>
      </c>
      <c r="I269">
        <v>0</v>
      </c>
      <c r="J269">
        <v>1</v>
      </c>
      <c r="K269">
        <v>0</v>
      </c>
      <c r="L269">
        <v>0</v>
      </c>
      <c r="M269" s="5" t="str">
        <f>ContinuousStatsTable[[#This Row],[ProjectName]]&amp;ContinuousStatsTable[[#This Row],[Name]]&amp;ContinuousStatsTable[[#This Row],[Type]]&amp;ContinuousStatsTable[[#This Row],[Source]]</f>
        <v>Unnamed ProjectPAINTERInstantaneous UtilizationResource</v>
      </c>
      <c r="N269" s="5" cm="1">
        <f t="array" ref="N269">MAX(IF((ProjectInfoTable[ProjectName]=ContinuousStatsTable[[#This Row],[ProjectName]]),(ProjectInfoTable[ProjectName]=ContinuousStatsTable[[#This Row],[ProjectName]])*ProjectInfoTable[NumberOfReplications]))</f>
        <v>10</v>
      </c>
      <c r="O269" s="5" cm="1">
        <f t="array" ref="O269">IFERROR(AVERAGE(IF((ContinuousStatsTable[GroupByKey]=ContinuousStatsTable[[#This Row],[GroupByKey]]),(ContinuousStatsTable[GroupByKey]=ContinuousStatsTable[[#This Row],[GroupByKey]])*ContinuousStatsTable[Average])),0)</f>
        <v>0.54938142053560801</v>
      </c>
      <c r="P269" s="5" cm="1">
        <f t="array" ref="P269">IFERROR(_xlfn.STDEV.S(IF((ContinuousStatsTable[GroupByKey]=ContinuousStatsTable[[#This Row],[GroupByKey]]),(ContinuousStatsTable[GroupByKey]=ContinuousStatsTable[[#This Row],[GroupByKey]])*ContinuousStatsTable[Average])),0)</f>
        <v>4.5196387022068685E-3</v>
      </c>
      <c r="Q269" s="5" cm="1">
        <f t="array" ref="Q269">MAX(IF((ProjectInfoTable[ProjectName]=ContinuousStatsTable[[#This Row],[ProjectName]]),(ProjectInfoTable[ProjectName]=ContinuousStatsTable[[#This Row],[ProjectName]])*ProjectInfoTable[ConfidenceInterval]))</f>
        <v>0.95</v>
      </c>
      <c r="R2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3.2331547581159752E-3</v>
      </c>
      <c r="S269" s="5" cm="1">
        <f t="array" ref="S269">MIN(IF((ContinuousStatsTable[GroupByKey]=ContinuousStatsTable[[#This Row],[GroupByKey]]),(ContinuousStatsTable[GroupByKey]=ContinuousStatsTable[[#This Row],[GroupByKey]])*ContinuousStatsTable[Average]))</f>
        <v>0.54030874063430001</v>
      </c>
      <c r="T269" s="5" cm="1">
        <f t="array" ref="T269">MAX(IF((ContinuousStatsTable[GroupByKey]=ContinuousStatsTable[[#This Row],[GroupByKey]]),(ContinuousStatsTable[GroupByKey]=ContinuousStatsTable[[#This Row],[GroupByKey]])*ContinuousStatsTable[Average]))</f>
        <v>0.55566835138728998</v>
      </c>
      <c r="U269" s="5">
        <f>IF((ContinuousStatsTable[[#This Row],[RepsRequested]]&gt;1),ContinuousStatsTable[[#This Row],[HalfWidth]],ContinuousStatsTable[[#This Row],[BatchMeansHalfWidth]])</f>
        <v>3.2331547581159752E-3</v>
      </c>
    </row>
    <row r="270" spans="1:21" x14ac:dyDescent="0.25">
      <c r="A270" t="s">
        <v>67</v>
      </c>
      <c r="B270" t="s">
        <v>69</v>
      </c>
      <c r="C270">
        <v>10</v>
      </c>
      <c r="D270" t="s">
        <v>108</v>
      </c>
      <c r="E270" t="s">
        <v>97</v>
      </c>
      <c r="F270" t="s">
        <v>106</v>
      </c>
      <c r="G270">
        <v>0.548775927036105</v>
      </c>
      <c r="H270">
        <v>1.0101032411999699E-2</v>
      </c>
      <c r="I270">
        <v>0</v>
      </c>
      <c r="J270">
        <v>1</v>
      </c>
      <c r="K270">
        <v>0</v>
      </c>
      <c r="L270">
        <v>0</v>
      </c>
      <c r="M270" s="5" t="str">
        <f>ContinuousStatsTable[[#This Row],[ProjectName]]&amp;ContinuousStatsTable[[#This Row],[Name]]&amp;ContinuousStatsTable[[#This Row],[Type]]&amp;ContinuousStatsTable[[#This Row],[Source]]</f>
        <v>Unnamed ProjectPAINTERNumber BusyResource</v>
      </c>
      <c r="N270" s="5" cm="1">
        <f t="array" ref="N270">MAX(IF((ProjectInfoTable[ProjectName]=ContinuousStatsTable[[#This Row],[ProjectName]]),(ProjectInfoTable[ProjectName]=ContinuousStatsTable[[#This Row],[ProjectName]])*ProjectInfoTable[NumberOfReplications]))</f>
        <v>10</v>
      </c>
      <c r="O270" s="5" cm="1">
        <f t="array" ref="O270">IFERROR(AVERAGE(IF((ContinuousStatsTable[GroupByKey]=ContinuousStatsTable[[#This Row],[GroupByKey]]),(ContinuousStatsTable[GroupByKey]=ContinuousStatsTable[[#This Row],[GroupByKey]])*ContinuousStatsTable[Average])),0)</f>
        <v>0.54938142053560801</v>
      </c>
      <c r="P270" s="5" cm="1">
        <f t="array" ref="P270">IFERROR(_xlfn.STDEV.S(IF((ContinuousStatsTable[GroupByKey]=ContinuousStatsTable[[#This Row],[GroupByKey]]),(ContinuousStatsTable[GroupByKey]=ContinuousStatsTable[[#This Row],[GroupByKey]])*ContinuousStatsTable[Average])),0)</f>
        <v>4.5196387022068685E-3</v>
      </c>
      <c r="Q270" s="5" cm="1">
        <f t="array" ref="Q270">MAX(IF((ProjectInfoTable[ProjectName]=ContinuousStatsTable[[#This Row],[ProjectName]]),(ProjectInfoTable[ProjectName]=ContinuousStatsTable[[#This Row],[ProjectName]])*ProjectInfoTable[ConfidenceInterval]))</f>
        <v>0.95</v>
      </c>
      <c r="R2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3.2331547581159752E-3</v>
      </c>
      <c r="S270" s="5" cm="1">
        <f t="array" ref="S270">MIN(IF((ContinuousStatsTable[GroupByKey]=ContinuousStatsTable[[#This Row],[GroupByKey]]),(ContinuousStatsTable[GroupByKey]=ContinuousStatsTable[[#This Row],[GroupByKey]])*ContinuousStatsTable[Average]))</f>
        <v>0.54030874063430001</v>
      </c>
      <c r="T270" s="5" cm="1">
        <f t="array" ref="T270">MAX(IF((ContinuousStatsTable[GroupByKey]=ContinuousStatsTable[[#This Row],[GroupByKey]]),(ContinuousStatsTable[GroupByKey]=ContinuousStatsTable[[#This Row],[GroupByKey]])*ContinuousStatsTable[Average]))</f>
        <v>0.55566835138728998</v>
      </c>
      <c r="U270" s="5">
        <f>IF((ContinuousStatsTable[[#This Row],[RepsRequested]]&gt;1),ContinuousStatsTable[[#This Row],[HalfWidth]],ContinuousStatsTable[[#This Row],[BatchMeansHalfWidth]])</f>
        <v>3.2331547581159752E-3</v>
      </c>
    </row>
    <row r="271" spans="1:21" x14ac:dyDescent="0.25">
      <c r="A271" t="s">
        <v>67</v>
      </c>
      <c r="B271" t="s">
        <v>69</v>
      </c>
      <c r="C271">
        <v>10</v>
      </c>
      <c r="D271" t="s">
        <v>108</v>
      </c>
      <c r="E271" t="s">
        <v>99</v>
      </c>
      <c r="F271" t="s">
        <v>106</v>
      </c>
      <c r="G271">
        <v>1</v>
      </c>
      <c r="H271">
        <v>2E+20</v>
      </c>
      <c r="I271">
        <v>1</v>
      </c>
      <c r="J271">
        <v>1</v>
      </c>
      <c r="K271">
        <v>1</v>
      </c>
      <c r="L271">
        <v>0</v>
      </c>
      <c r="M271" s="5" t="str">
        <f>ContinuousStatsTable[[#This Row],[ProjectName]]&amp;ContinuousStatsTable[[#This Row],[Name]]&amp;ContinuousStatsTable[[#This Row],[Type]]&amp;ContinuousStatsTable[[#This Row],[Source]]</f>
        <v>Unnamed ProjectPAINTERNumber ScheduledResource</v>
      </c>
      <c r="N271" s="5" cm="1">
        <f t="array" ref="N271">MAX(IF((ProjectInfoTable[ProjectName]=ContinuousStatsTable[[#This Row],[ProjectName]]),(ProjectInfoTable[ProjectName]=ContinuousStatsTable[[#This Row],[ProjectName]])*ProjectInfoTable[NumberOfReplications]))</f>
        <v>10</v>
      </c>
      <c r="O271" s="5" cm="1">
        <f t="array" ref="O271">IFERROR(AVERAGE(IF((ContinuousStatsTable[GroupByKey]=ContinuousStatsTable[[#This Row],[GroupByKey]]),(ContinuousStatsTable[GroupByKey]=ContinuousStatsTable[[#This Row],[GroupByKey]])*ContinuousStatsTable[Average])),0)</f>
        <v>1</v>
      </c>
      <c r="P271" s="5" cm="1">
        <f t="array" ref="P271">IFERROR(_xlfn.STDEV.S(IF((ContinuousStatsTable[GroupByKey]=ContinuousStatsTable[[#This Row],[GroupByKey]]),(ContinuousStatsTable[GroupByKey]=ContinuousStatsTable[[#This Row],[GroupByKey]])*ContinuousStatsTable[Average])),0)</f>
        <v>0</v>
      </c>
      <c r="Q271" s="5" cm="1">
        <f t="array" ref="Q271">MAX(IF((ProjectInfoTable[ProjectName]=ContinuousStatsTable[[#This Row],[ProjectName]]),(ProjectInfoTable[ProjectName]=ContinuousStatsTable[[#This Row],[ProjectName]])*ProjectInfoTable[ConfidenceInterval]))</f>
        <v>0.95</v>
      </c>
      <c r="R2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1" s="5" cm="1">
        <f t="array" ref="S271">MIN(IF((ContinuousStatsTable[GroupByKey]=ContinuousStatsTable[[#This Row],[GroupByKey]]),(ContinuousStatsTable[GroupByKey]=ContinuousStatsTable[[#This Row],[GroupByKey]])*ContinuousStatsTable[Average]))</f>
        <v>1</v>
      </c>
      <c r="T271" s="5" cm="1">
        <f t="array" ref="T271">MAX(IF((ContinuousStatsTable[GroupByKey]=ContinuousStatsTable[[#This Row],[GroupByKey]]),(ContinuousStatsTable[GroupByKey]=ContinuousStatsTable[[#This Row],[GroupByKey]])*ContinuousStatsTable[Average]))</f>
        <v>1</v>
      </c>
      <c r="U271" s="5">
        <f>IF((ContinuousStatsTable[[#This Row],[RepsRequested]]&gt;1),ContinuousStatsTable[[#This Row],[HalfWidth]],ContinuousStatsTable[[#This Row],[BatchMeansHalfWidth]])</f>
        <v>0</v>
      </c>
    </row>
    <row r="272" spans="1:21" x14ac:dyDescent="0.25">
      <c r="A272" t="s">
        <v>67</v>
      </c>
      <c r="B272" t="s">
        <v>69</v>
      </c>
      <c r="C272">
        <v>10</v>
      </c>
      <c r="D272" t="s">
        <v>84</v>
      </c>
      <c r="E272" t="s">
        <v>101</v>
      </c>
      <c r="F272" t="s">
        <v>72</v>
      </c>
      <c r="G272">
        <v>0.57710327342160495</v>
      </c>
      <c r="H272">
        <v>6.5212274703318501E-2</v>
      </c>
      <c r="I272">
        <v>0</v>
      </c>
      <c r="J272">
        <v>6</v>
      </c>
      <c r="K272">
        <v>1</v>
      </c>
      <c r="L272">
        <v>0</v>
      </c>
      <c r="M272" s="5" t="str">
        <f>ContinuousStatsTable[[#This Row],[ProjectName]]&amp;ContinuousStatsTable[[#This Row],[Name]]&amp;ContinuousStatsTable[[#This Row],[Type]]&amp;ContinuousStatsTable[[#This Row],[Source]]</f>
        <v>Unnamed ProjectPackQNumber WaitingQueue</v>
      </c>
      <c r="N272" s="5" cm="1">
        <f t="array" ref="N272">MAX(IF((ProjectInfoTable[ProjectName]=ContinuousStatsTable[[#This Row],[ProjectName]]),(ProjectInfoTable[ProjectName]=ContinuousStatsTable[[#This Row],[ProjectName]])*ProjectInfoTable[NumberOfReplications]))</f>
        <v>10</v>
      </c>
      <c r="O272" s="5" cm="1">
        <f t="array" ref="O272">IFERROR(AVERAGE(IF((ContinuousStatsTable[GroupByKey]=ContinuousStatsTable[[#This Row],[GroupByKey]]),(ContinuousStatsTable[GroupByKey]=ContinuousStatsTable[[#This Row],[GroupByKey]])*ContinuousStatsTable[Average])),0)</f>
        <v>0.5830563488318371</v>
      </c>
      <c r="P272" s="5" cm="1">
        <f t="array" ref="P272">IFERROR(_xlfn.STDEV.S(IF((ContinuousStatsTable[GroupByKey]=ContinuousStatsTable[[#This Row],[GroupByKey]]),(ContinuousStatsTable[GroupByKey]=ContinuousStatsTable[[#This Row],[GroupByKey]])*ContinuousStatsTable[Average])),0)</f>
        <v>3.7349781067397253E-2</v>
      </c>
      <c r="Q272" s="5" cm="1">
        <f t="array" ref="Q272">MAX(IF((ProjectInfoTable[ProjectName]=ContinuousStatsTable[[#This Row],[ProjectName]]),(ProjectInfoTable[ProjectName]=ContinuousStatsTable[[#This Row],[ProjectName]])*ProjectInfoTable[ConfidenceInterval]))</f>
        <v>0.95</v>
      </c>
      <c r="R2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2.6718423823055008E-2</v>
      </c>
      <c r="S272" s="5" cm="1">
        <f t="array" ref="S272">MIN(IF((ContinuousStatsTable[GroupByKey]=ContinuousStatsTable[[#This Row],[GroupByKey]]),(ContinuousStatsTable[GroupByKey]=ContinuousStatsTable[[#This Row],[GroupByKey]])*ContinuousStatsTable[Average]))</f>
        <v>0.51031500523829298</v>
      </c>
      <c r="T272" s="5" cm="1">
        <f t="array" ref="T272">MAX(IF((ContinuousStatsTable[GroupByKey]=ContinuousStatsTable[[#This Row],[GroupByKey]]),(ContinuousStatsTable[GroupByKey]=ContinuousStatsTable[[#This Row],[GroupByKey]])*ContinuousStatsTable[Average]))</f>
        <v>0.63800950130876</v>
      </c>
      <c r="U272" s="5">
        <f>IF((ContinuousStatsTable[[#This Row],[RepsRequested]]&gt;1),ContinuousStatsTable[[#This Row],[HalfWidth]],ContinuousStatsTable[[#This Row],[BatchMeansHalfWidth]])</f>
        <v>2.6718423823055008E-2</v>
      </c>
    </row>
    <row r="273" spans="1:21" x14ac:dyDescent="0.25">
      <c r="A273" t="s">
        <v>67</v>
      </c>
      <c r="B273" t="s">
        <v>69</v>
      </c>
      <c r="C273">
        <v>10</v>
      </c>
      <c r="D273" t="s">
        <v>85</v>
      </c>
      <c r="E273" t="s">
        <v>101</v>
      </c>
      <c r="F273" t="s">
        <v>72</v>
      </c>
      <c r="G273">
        <v>1.41054163109371E-2</v>
      </c>
      <c r="H273">
        <v>1.06795715921592E-3</v>
      </c>
      <c r="I273">
        <v>0</v>
      </c>
      <c r="J273">
        <v>1</v>
      </c>
      <c r="K273">
        <v>0</v>
      </c>
      <c r="L273">
        <v>0</v>
      </c>
      <c r="M273" s="5" t="str">
        <f>ContinuousStatsTable[[#This Row],[ProjectName]]&amp;ContinuousStatsTable[[#This Row],[Name]]&amp;ContinuousStatsTable[[#This Row],[Type]]&amp;ContinuousStatsTable[[#This Row],[Source]]</f>
        <v>Unnamed ProjectPackReqQNumber WaitingQueue</v>
      </c>
      <c r="N273" s="5" cm="1">
        <f t="array" ref="N273">MAX(IF((ProjectInfoTable[ProjectName]=ContinuousStatsTable[[#This Row],[ProjectName]]),(ProjectInfoTable[ProjectName]=ContinuousStatsTable[[#This Row],[ProjectName]])*ProjectInfoTable[NumberOfReplications]))</f>
        <v>10</v>
      </c>
      <c r="O273" s="5" cm="1">
        <f t="array" ref="O273">IFERROR(AVERAGE(IF((ContinuousStatsTable[GroupByKey]=ContinuousStatsTable[[#This Row],[GroupByKey]]),(ContinuousStatsTable[GroupByKey]=ContinuousStatsTable[[#This Row],[GroupByKey]])*ContinuousStatsTable[Average])),0)</f>
        <v>1.5083245089254998E-2</v>
      </c>
      <c r="P273" s="5" cm="1">
        <f t="array" ref="P273">IFERROR(_xlfn.STDEV.S(IF((ContinuousStatsTable[GroupByKey]=ContinuousStatsTable[[#This Row],[GroupByKey]]),(ContinuousStatsTable[GroupByKey]=ContinuousStatsTable[[#This Row],[GroupByKey]])*ContinuousStatsTable[Average])),0)</f>
        <v>5.836712228493759E-4</v>
      </c>
      <c r="Q273" s="5" cm="1">
        <f t="array" ref="Q273">MAX(IF((ProjectInfoTable[ProjectName]=ContinuousStatsTable[[#This Row],[ProjectName]]),(ProjectInfoTable[ProjectName]=ContinuousStatsTable[[#This Row],[ProjectName]])*ProjectInfoTable[ConfidenceInterval]))</f>
        <v>0.95</v>
      </c>
      <c r="R2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4.1753324008164384E-4</v>
      </c>
      <c r="S273" s="5" cm="1">
        <f t="array" ref="S273">MIN(IF((ContinuousStatsTable[GroupByKey]=ContinuousStatsTable[[#This Row],[GroupByKey]]),(ContinuousStatsTable[GroupByKey]=ContinuousStatsTable[[#This Row],[GroupByKey]])*ContinuousStatsTable[Average]))</f>
        <v>1.41054163109371E-2</v>
      </c>
      <c r="T273" s="5" cm="1">
        <f t="array" ref="T273">MAX(IF((ContinuousStatsTable[GroupByKey]=ContinuousStatsTable[[#This Row],[GroupByKey]]),(ContinuousStatsTable[GroupByKey]=ContinuousStatsTable[[#This Row],[GroupByKey]])*ContinuousStatsTable[Average]))</f>
        <v>1.6052913612351699E-2</v>
      </c>
      <c r="U273" s="5">
        <f>IF((ContinuousStatsTable[[#This Row],[RepsRequested]]&gt;1),ContinuousStatsTable[[#This Row],[HalfWidth]],ContinuousStatsTable[[#This Row],[BatchMeansHalfWidth]])</f>
        <v>4.1753324008164384E-4</v>
      </c>
    </row>
    <row r="274" spans="1:21" x14ac:dyDescent="0.25">
      <c r="A274" t="s">
        <v>67</v>
      </c>
      <c r="B274" t="s">
        <v>69</v>
      </c>
      <c r="C274">
        <v>10</v>
      </c>
      <c r="D274" t="s">
        <v>86</v>
      </c>
      <c r="E274" t="s">
        <v>101</v>
      </c>
      <c r="F274" t="s">
        <v>72</v>
      </c>
      <c r="G274">
        <v>6.32194659405836E-2</v>
      </c>
      <c r="H274">
        <v>5.25635545672951E-3</v>
      </c>
      <c r="I274">
        <v>0</v>
      </c>
      <c r="J274">
        <v>2</v>
      </c>
      <c r="K274">
        <v>0</v>
      </c>
      <c r="L274">
        <v>0</v>
      </c>
      <c r="M274" s="5" t="str">
        <f>ContinuousStatsTable[[#This Row],[ProjectName]]&amp;ContinuousStatsTable[[#This Row],[Name]]&amp;ContinuousStatsTable[[#This Row],[Type]]&amp;ContinuousStatsTable[[#This Row],[Source]]</f>
        <v>Unnamed ProjectPaintQNumber WaitingQueue</v>
      </c>
      <c r="N274" s="5" cm="1">
        <f t="array" ref="N274">MAX(IF((ProjectInfoTable[ProjectName]=ContinuousStatsTable[[#This Row],[ProjectName]]),(ProjectInfoTable[ProjectName]=ContinuousStatsTable[[#This Row],[ProjectName]])*ProjectInfoTable[NumberOfReplications]))</f>
        <v>10</v>
      </c>
      <c r="O274" s="5" cm="1">
        <f t="array" ref="O274">IFERROR(AVERAGE(IF((ContinuousStatsTable[GroupByKey]=ContinuousStatsTable[[#This Row],[GroupByKey]]),(ContinuousStatsTable[GroupByKey]=ContinuousStatsTable[[#This Row],[GroupByKey]])*ContinuousStatsTable[Average])),0)</f>
        <v>6.2655374167183184E-2</v>
      </c>
      <c r="P274" s="5" cm="1">
        <f t="array" ref="P274">IFERROR(_xlfn.STDEV.S(IF((ContinuousStatsTable[GroupByKey]=ContinuousStatsTable[[#This Row],[GroupByKey]]),(ContinuousStatsTable[GroupByKey]=ContinuousStatsTable[[#This Row],[GroupByKey]])*ContinuousStatsTable[Average])),0)</f>
        <v>1.297076259729802E-3</v>
      </c>
      <c r="Q274" s="5" cm="1">
        <f t="array" ref="Q274">MAX(IF((ProjectInfoTable[ProjectName]=ContinuousStatsTable[[#This Row],[ProjectName]]),(ProjectInfoTable[ProjectName]=ContinuousStatsTable[[#This Row],[ProjectName]])*ProjectInfoTable[ConfidenceInterval]))</f>
        <v>0.95</v>
      </c>
      <c r="R2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9.2787245996831338E-4</v>
      </c>
      <c r="S274" s="5" cm="1">
        <f t="array" ref="S274">MIN(IF((ContinuousStatsTable[GroupByKey]=ContinuousStatsTable[[#This Row],[GroupByKey]]),(ContinuousStatsTable[GroupByKey]=ContinuousStatsTable[[#This Row],[GroupByKey]])*ContinuousStatsTable[Average]))</f>
        <v>6.05919548276165E-2</v>
      </c>
      <c r="T274" s="5" cm="1">
        <f t="array" ref="T274">MAX(IF((ContinuousStatsTable[GroupByKey]=ContinuousStatsTable[[#This Row],[GroupByKey]]),(ContinuousStatsTable[GroupByKey]=ContinuousStatsTable[[#This Row],[GroupByKey]])*ContinuousStatsTable[Average]))</f>
        <v>6.4938397569822504E-2</v>
      </c>
      <c r="U274" s="5">
        <f>IF((ContinuousStatsTable[[#This Row],[RepsRequested]]&gt;1),ContinuousStatsTable[[#This Row],[HalfWidth]],ContinuousStatsTable[[#This Row],[BatchMeansHalfWidth]])</f>
        <v>9.2787245996831338E-4</v>
      </c>
    </row>
    <row r="275" spans="1:21" x14ac:dyDescent="0.25">
      <c r="A275" t="s">
        <v>67</v>
      </c>
      <c r="B275" t="s">
        <v>69</v>
      </c>
      <c r="C275">
        <v>10</v>
      </c>
      <c r="D275" t="s">
        <v>87</v>
      </c>
      <c r="E275" t="s">
        <v>101</v>
      </c>
      <c r="F275" t="s">
        <v>72</v>
      </c>
      <c r="G275">
        <v>1.1910851314343799E-2</v>
      </c>
      <c r="H275">
        <v>8.7577568753942803E-4</v>
      </c>
      <c r="I275">
        <v>0</v>
      </c>
      <c r="J275">
        <v>1</v>
      </c>
      <c r="K275">
        <v>0</v>
      </c>
      <c r="L275">
        <v>0</v>
      </c>
      <c r="M275" s="5" t="str">
        <f>ContinuousStatsTable[[#This Row],[ProjectName]]&amp;ContinuousStatsTable[[#This Row],[Name]]&amp;ContinuousStatsTable[[#This Row],[Type]]&amp;ContinuousStatsTable[[#This Row],[Source]]</f>
        <v>Unnamed ProjectPaintReqQNumber WaitingQueue</v>
      </c>
      <c r="N275" s="5" cm="1">
        <f t="array" ref="N275">MAX(IF((ProjectInfoTable[ProjectName]=ContinuousStatsTable[[#This Row],[ProjectName]]),(ProjectInfoTable[ProjectName]=ContinuousStatsTable[[#This Row],[ProjectName]])*ProjectInfoTable[NumberOfReplications]))</f>
        <v>10</v>
      </c>
      <c r="O275" s="5" cm="1">
        <f t="array" ref="O275">IFERROR(AVERAGE(IF((ContinuousStatsTable[GroupByKey]=ContinuousStatsTable[[#This Row],[GroupByKey]]),(ContinuousStatsTable[GroupByKey]=ContinuousStatsTable[[#This Row],[GroupByKey]])*ContinuousStatsTable[Average])),0)</f>
        <v>1.232491804183645E-2</v>
      </c>
      <c r="P275" s="5" cm="1">
        <f t="array" ref="P275">IFERROR(_xlfn.STDEV.S(IF((ContinuousStatsTable[GroupByKey]=ContinuousStatsTable[[#This Row],[GroupByKey]]),(ContinuousStatsTable[GroupByKey]=ContinuousStatsTable[[#This Row],[GroupByKey]])*ContinuousStatsTable[Average])),0)</f>
        <v>4.2846031814523761E-4</v>
      </c>
      <c r="Q275" s="5" cm="1">
        <f t="array" ref="Q275">MAX(IF((ProjectInfoTable[ProjectName]=ContinuousStatsTable[[#This Row],[ProjectName]]),(ProjectInfoTable[ProjectName]=ContinuousStatsTable[[#This Row],[ProjectName]])*ProjectInfoTable[ConfidenceInterval]))</f>
        <v>0.95</v>
      </c>
      <c r="R2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3.0650204751958381E-4</v>
      </c>
      <c r="S275" s="5" cm="1">
        <f t="array" ref="S275">MIN(IF((ContinuousStatsTable[GroupByKey]=ContinuousStatsTable[[#This Row],[GroupByKey]]),(ContinuousStatsTable[GroupByKey]=ContinuousStatsTable[[#This Row],[GroupByKey]])*ContinuousStatsTable[Average]))</f>
        <v>1.1842209288638999E-2</v>
      </c>
      <c r="T275" s="5" cm="1">
        <f t="array" ref="T275">MAX(IF((ContinuousStatsTable[GroupByKey]=ContinuousStatsTable[[#This Row],[GroupByKey]]),(ContinuousStatsTable[GroupByKey]=ContinuousStatsTable[[#This Row],[GroupByKey]])*ContinuousStatsTable[Average]))</f>
        <v>1.30420022653657E-2</v>
      </c>
      <c r="U275" s="5">
        <f>IF((ContinuousStatsTable[[#This Row],[RepsRequested]]&gt;1),ContinuousStatsTable[[#This Row],[HalfWidth]],ContinuousStatsTable[[#This Row],[BatchMeansHalfWidth]])</f>
        <v>3.0650204751958381E-4</v>
      </c>
    </row>
    <row r="276" spans="1:21" x14ac:dyDescent="0.25">
      <c r="A276" t="s">
        <v>67</v>
      </c>
      <c r="B276" t="s">
        <v>69</v>
      </c>
      <c r="C276">
        <v>10</v>
      </c>
      <c r="D276" t="s">
        <v>109</v>
      </c>
      <c r="E276" t="s">
        <v>105</v>
      </c>
      <c r="F276" t="s">
        <v>106</v>
      </c>
      <c r="G276">
        <v>0.81664794847728694</v>
      </c>
      <c r="H276">
        <v>1.3273680548980499E-2</v>
      </c>
      <c r="I276">
        <v>0</v>
      </c>
      <c r="J276">
        <v>1</v>
      </c>
      <c r="K276">
        <v>0</v>
      </c>
      <c r="L276">
        <v>0</v>
      </c>
      <c r="M276" s="5" t="str">
        <f>ContinuousStatsTable[[#This Row],[ProjectName]]&amp;ContinuousStatsTable[[#This Row],[Name]]&amp;ContinuousStatsTable[[#This Row],[Type]]&amp;ContinuousStatsTable[[#This Row],[Source]]</f>
        <v>Unnamed ProjectWORKERInstantaneous UtilizationResource</v>
      </c>
      <c r="N276" s="5" cm="1">
        <f t="array" ref="N276">MAX(IF((ProjectInfoTable[ProjectName]=ContinuousStatsTable[[#This Row],[ProjectName]]),(ProjectInfoTable[ProjectName]=ContinuousStatsTable[[#This Row],[ProjectName]])*ProjectInfoTable[NumberOfReplications]))</f>
        <v>10</v>
      </c>
      <c r="O276" s="5" cm="1">
        <f t="array" ref="O276">IFERROR(AVERAGE(IF((ContinuousStatsTable[GroupByKey]=ContinuousStatsTable[[#This Row],[GroupByKey]]),(ContinuousStatsTable[GroupByKey]=ContinuousStatsTable[[#This Row],[GroupByKey]])*ContinuousStatsTable[Average])),0)</f>
        <v>0.82030090075893936</v>
      </c>
      <c r="P276" s="5" cm="1">
        <f t="array" ref="P276">IFERROR(_xlfn.STDEV.S(IF((ContinuousStatsTable[GroupByKey]=ContinuousStatsTable[[#This Row],[GroupByKey]]),(ContinuousStatsTable[GroupByKey]=ContinuousStatsTable[[#This Row],[GroupByKey]])*ContinuousStatsTable[Average])),0)</f>
        <v>6.9684713894533476E-3</v>
      </c>
      <c r="Q276" s="5" cm="1">
        <f t="array" ref="Q276">MAX(IF((ProjectInfoTable[ProjectName]=ContinuousStatsTable[[#This Row],[ProjectName]]),(ProjectInfoTable[ProjectName]=ContinuousStatsTable[[#This Row],[ProjectName]])*ProjectInfoTable[ConfidenceInterval]))</f>
        <v>0.95</v>
      </c>
      <c r="R2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4.9849441325044447E-3</v>
      </c>
      <c r="S276" s="5" cm="1">
        <f t="array" ref="S276">MIN(IF((ContinuousStatsTable[GroupByKey]=ContinuousStatsTable[[#This Row],[GroupByKey]]),(ContinuousStatsTable[GroupByKey]=ContinuousStatsTable[[#This Row],[GroupByKey]])*ContinuousStatsTable[Average]))</f>
        <v>0.81151215762737705</v>
      </c>
      <c r="T276" s="5" cm="1">
        <f t="array" ref="T276">MAX(IF((ContinuousStatsTable[GroupByKey]=ContinuousStatsTable[[#This Row],[GroupByKey]]),(ContinuousStatsTable[GroupByKey]=ContinuousStatsTable[[#This Row],[GroupByKey]])*ContinuousStatsTable[Average]))</f>
        <v>0.832837691284112</v>
      </c>
      <c r="U276" s="5">
        <f>IF((ContinuousStatsTable[[#This Row],[RepsRequested]]&gt;1),ContinuousStatsTable[[#This Row],[HalfWidth]],ContinuousStatsTable[[#This Row],[BatchMeansHalfWidth]])</f>
        <v>4.9849441325044447E-3</v>
      </c>
    </row>
    <row r="277" spans="1:21" x14ac:dyDescent="0.25">
      <c r="A277" t="s">
        <v>67</v>
      </c>
      <c r="B277" t="s">
        <v>69</v>
      </c>
      <c r="C277">
        <v>10</v>
      </c>
      <c r="D277" t="s">
        <v>109</v>
      </c>
      <c r="E277" t="s">
        <v>97</v>
      </c>
      <c r="F277" t="s">
        <v>106</v>
      </c>
      <c r="G277">
        <v>0.81664794847728694</v>
      </c>
      <c r="H277">
        <v>1.3273680548980499E-2</v>
      </c>
      <c r="I277">
        <v>0</v>
      </c>
      <c r="J277">
        <v>1</v>
      </c>
      <c r="K277">
        <v>0</v>
      </c>
      <c r="L277">
        <v>0</v>
      </c>
      <c r="M277" s="5" t="str">
        <f>ContinuousStatsTable[[#This Row],[ProjectName]]&amp;ContinuousStatsTable[[#This Row],[Name]]&amp;ContinuousStatsTable[[#This Row],[Type]]&amp;ContinuousStatsTable[[#This Row],[Source]]</f>
        <v>Unnamed ProjectWORKERNumber BusyResource</v>
      </c>
      <c r="N277" s="5" cm="1">
        <f t="array" ref="N277">MAX(IF((ProjectInfoTable[ProjectName]=ContinuousStatsTable[[#This Row],[ProjectName]]),(ProjectInfoTable[ProjectName]=ContinuousStatsTable[[#This Row],[ProjectName]])*ProjectInfoTable[NumberOfReplications]))</f>
        <v>10</v>
      </c>
      <c r="O277" s="5" cm="1">
        <f t="array" ref="O277">IFERROR(AVERAGE(IF((ContinuousStatsTable[GroupByKey]=ContinuousStatsTable[[#This Row],[GroupByKey]]),(ContinuousStatsTable[GroupByKey]=ContinuousStatsTable[[#This Row],[GroupByKey]])*ContinuousStatsTable[Average])),0)</f>
        <v>0.82030090075893936</v>
      </c>
      <c r="P277" s="5" cm="1">
        <f t="array" ref="P277">IFERROR(_xlfn.STDEV.S(IF((ContinuousStatsTable[GroupByKey]=ContinuousStatsTable[[#This Row],[GroupByKey]]),(ContinuousStatsTable[GroupByKey]=ContinuousStatsTable[[#This Row],[GroupByKey]])*ContinuousStatsTable[Average])),0)</f>
        <v>6.9684713894533476E-3</v>
      </c>
      <c r="Q277" s="5" cm="1">
        <f t="array" ref="Q277">MAX(IF((ProjectInfoTable[ProjectName]=ContinuousStatsTable[[#This Row],[ProjectName]]),(ProjectInfoTable[ProjectName]=ContinuousStatsTable[[#This Row],[ProjectName]])*ProjectInfoTable[ConfidenceInterval]))</f>
        <v>0.95</v>
      </c>
      <c r="R2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4.9849441325044447E-3</v>
      </c>
      <c r="S277" s="5" cm="1">
        <f t="array" ref="S277">MIN(IF((ContinuousStatsTable[GroupByKey]=ContinuousStatsTable[[#This Row],[GroupByKey]]),(ContinuousStatsTable[GroupByKey]=ContinuousStatsTable[[#This Row],[GroupByKey]])*ContinuousStatsTable[Average]))</f>
        <v>0.81151215762737705</v>
      </c>
      <c r="T277" s="5" cm="1">
        <f t="array" ref="T277">MAX(IF((ContinuousStatsTable[GroupByKey]=ContinuousStatsTable[[#This Row],[GroupByKey]]),(ContinuousStatsTable[GroupByKey]=ContinuousStatsTable[[#This Row],[GroupByKey]])*ContinuousStatsTable[Average]))</f>
        <v>0.832837691284112</v>
      </c>
      <c r="U277" s="5">
        <f>IF((ContinuousStatsTable[[#This Row],[RepsRequested]]&gt;1),ContinuousStatsTable[[#This Row],[HalfWidth]],ContinuousStatsTable[[#This Row],[BatchMeansHalfWidth]])</f>
        <v>4.9849441325044447E-3</v>
      </c>
    </row>
    <row r="278" spans="1:21" x14ac:dyDescent="0.25">
      <c r="A278" t="s">
        <v>67</v>
      </c>
      <c r="B278" t="s">
        <v>69</v>
      </c>
      <c r="C278">
        <v>10</v>
      </c>
      <c r="D278" t="s">
        <v>109</v>
      </c>
      <c r="E278" t="s">
        <v>99</v>
      </c>
      <c r="F278" t="s">
        <v>106</v>
      </c>
      <c r="G278">
        <v>1</v>
      </c>
      <c r="H278">
        <v>2E+20</v>
      </c>
      <c r="I278">
        <v>1</v>
      </c>
      <c r="J278">
        <v>1</v>
      </c>
      <c r="K278">
        <v>1</v>
      </c>
      <c r="L278">
        <v>0</v>
      </c>
      <c r="M278" s="5" t="str">
        <f>ContinuousStatsTable[[#This Row],[ProjectName]]&amp;ContinuousStatsTable[[#This Row],[Name]]&amp;ContinuousStatsTable[[#This Row],[Type]]&amp;ContinuousStatsTable[[#This Row],[Source]]</f>
        <v>Unnamed ProjectWORKERNumber ScheduledResource</v>
      </c>
      <c r="N278" s="5" cm="1">
        <f t="array" ref="N278">MAX(IF((ProjectInfoTable[ProjectName]=ContinuousStatsTable[[#This Row],[ProjectName]]),(ProjectInfoTable[ProjectName]=ContinuousStatsTable[[#This Row],[ProjectName]])*ProjectInfoTable[NumberOfReplications]))</f>
        <v>10</v>
      </c>
      <c r="O278" s="5" cm="1">
        <f t="array" ref="O278">IFERROR(AVERAGE(IF((ContinuousStatsTable[GroupByKey]=ContinuousStatsTable[[#This Row],[GroupByKey]]),(ContinuousStatsTable[GroupByKey]=ContinuousStatsTable[[#This Row],[GroupByKey]])*ContinuousStatsTable[Average])),0)</f>
        <v>1</v>
      </c>
      <c r="P278" s="5" cm="1">
        <f t="array" ref="P278">IFERROR(_xlfn.STDEV.S(IF((ContinuousStatsTable[GroupByKey]=ContinuousStatsTable[[#This Row],[GroupByKey]]),(ContinuousStatsTable[GroupByKey]=ContinuousStatsTable[[#This Row],[GroupByKey]])*ContinuousStatsTable[Average])),0)</f>
        <v>0</v>
      </c>
      <c r="Q278" s="5" cm="1">
        <f t="array" ref="Q278">MAX(IF((ProjectInfoTable[ProjectName]=ContinuousStatsTable[[#This Row],[ProjectName]]),(ProjectInfoTable[ProjectName]=ContinuousStatsTable[[#This Row],[ProjectName]])*ProjectInfoTable[ConfidenceInterval]))</f>
        <v>0.95</v>
      </c>
      <c r="R2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8" s="5" cm="1">
        <f t="array" ref="S278">MIN(IF((ContinuousStatsTable[GroupByKey]=ContinuousStatsTable[[#This Row],[GroupByKey]]),(ContinuousStatsTable[GroupByKey]=ContinuousStatsTable[[#This Row],[GroupByKey]])*ContinuousStatsTable[Average]))</f>
        <v>1</v>
      </c>
      <c r="T278" s="5" cm="1">
        <f t="array" ref="T278">MAX(IF((ContinuousStatsTable[GroupByKey]=ContinuousStatsTable[[#This Row],[GroupByKey]]),(ContinuousStatsTable[GroupByKey]=ContinuousStatsTable[[#This Row],[GroupByKey]])*ContinuousStatsTable[Average]))</f>
        <v>1</v>
      </c>
      <c r="U278" s="5">
        <f>IF((ContinuousStatsTable[[#This Row],[RepsRequested]]&gt;1),ContinuousStatsTable[[#This Row],[HalfWidth]],ContinuousStatsTable[[#This Row],[BatchMeansHalfWidth]])</f>
        <v>0</v>
      </c>
    </row>
    <row r="279" spans="1:21" x14ac:dyDescent="0.25">
      <c r="A279" t="s">
        <v>67</v>
      </c>
      <c r="B279" t="s">
        <v>69</v>
      </c>
      <c r="C279">
        <v>10</v>
      </c>
      <c r="D279" t="s">
        <v>94</v>
      </c>
      <c r="E279" t="s">
        <v>101</v>
      </c>
      <c r="F279" t="s">
        <v>72</v>
      </c>
      <c r="G279">
        <v>1.7215034042549999</v>
      </c>
      <c r="H279">
        <v>0.238815403420188</v>
      </c>
      <c r="I279">
        <v>0</v>
      </c>
      <c r="J279">
        <v>20</v>
      </c>
      <c r="K279">
        <v>0</v>
      </c>
      <c r="L279">
        <v>0</v>
      </c>
      <c r="M279" s="5" t="str">
        <f>ContinuousStatsTable[[#This Row],[ProjectName]]&amp;ContinuousStatsTable[[#This Row],[Name]]&amp;ContinuousStatsTable[[#This Row],[Type]]&amp;ContinuousStatsTable[[#This Row],[Source]]</f>
        <v>Unnamed ProjectWorkStationQNumber WaitingQueue</v>
      </c>
      <c r="N279" s="5" cm="1">
        <f t="array" ref="N279">MAX(IF((ProjectInfoTable[ProjectName]=ContinuousStatsTable[[#This Row],[ProjectName]]),(ProjectInfoTable[ProjectName]=ContinuousStatsTable[[#This Row],[ProjectName]])*ProjectInfoTable[NumberOfReplications]))</f>
        <v>10</v>
      </c>
      <c r="O279" s="5" cm="1">
        <f t="array" ref="O279">IFERROR(AVERAGE(IF((ContinuousStatsTable[GroupByKey]=ContinuousStatsTable[[#This Row],[GroupByKey]]),(ContinuousStatsTable[GroupByKey]=ContinuousStatsTable[[#This Row],[GroupByKey]])*ContinuousStatsTable[Average])),0)</f>
        <v>1.7984099951452888</v>
      </c>
      <c r="P279" s="5" cm="1">
        <f t="array" ref="P279">IFERROR(_xlfn.STDEV.S(IF((ContinuousStatsTable[GroupByKey]=ContinuousStatsTable[[#This Row],[GroupByKey]]),(ContinuousStatsTable[GroupByKey]=ContinuousStatsTable[[#This Row],[GroupByKey]])*ContinuousStatsTable[Average])),0)</f>
        <v>9.41481017902569E-2</v>
      </c>
      <c r="Q279" s="5" cm="1">
        <f t="array" ref="Q279">MAX(IF((ProjectInfoTable[ProjectName]=ContinuousStatsTable[[#This Row],[ProjectName]]),(ProjectInfoTable[ProjectName]=ContinuousStatsTable[[#This Row],[ProjectName]])*ProjectInfoTable[ConfidenceInterval]))</f>
        <v>0.95</v>
      </c>
      <c r="R2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6.7349494799689366E-2</v>
      </c>
      <c r="S279" s="5" cm="1">
        <f t="array" ref="S279">MIN(IF((ContinuousStatsTable[GroupByKey]=ContinuousStatsTable[[#This Row],[GroupByKey]]),(ContinuousStatsTable[GroupByKey]=ContinuousStatsTable[[#This Row],[GroupByKey]])*ContinuousStatsTable[Average]))</f>
        <v>1.6808414073062801</v>
      </c>
      <c r="T279" s="5" cm="1">
        <f t="array" ref="T279">MAX(IF((ContinuousStatsTable[GroupByKey]=ContinuousStatsTable[[#This Row],[GroupByKey]]),(ContinuousStatsTable[GroupByKey]=ContinuousStatsTable[[#This Row],[GroupByKey]])*ContinuousStatsTable[Average]))</f>
        <v>1.96303981301246</v>
      </c>
      <c r="U279" s="5">
        <f>IF((ContinuousStatsTable[[#This Row],[RepsRequested]]&gt;1),ContinuousStatsTable[[#This Row],[HalfWidth]],ContinuousStatsTable[[#This Row],[BatchMeansHalfWidth]])</f>
        <v>6.7349494799689366E-2</v>
      </c>
    </row>
    <row r="280" spans="1:21" x14ac:dyDescent="0.25">
      <c r="A280" t="s">
        <v>67</v>
      </c>
      <c r="B280" t="s">
        <v>69</v>
      </c>
      <c r="C280">
        <v>10</v>
      </c>
      <c r="D280" t="s">
        <v>95</v>
      </c>
      <c r="E280" t="s">
        <v>101</v>
      </c>
      <c r="F280" t="s">
        <v>72</v>
      </c>
      <c r="G280">
        <v>1.24091063411514E-2</v>
      </c>
      <c r="H280">
        <v>7.8495887008940004E-4</v>
      </c>
      <c r="I280">
        <v>0</v>
      </c>
      <c r="J280">
        <v>1</v>
      </c>
      <c r="K280">
        <v>0</v>
      </c>
      <c r="L280">
        <v>0</v>
      </c>
      <c r="M280" s="5" t="str">
        <f>ContinuousStatsTable[[#This Row],[ProjectName]]&amp;ContinuousStatsTable[[#This Row],[Name]]&amp;ContinuousStatsTable[[#This Row],[Type]]&amp;ContinuousStatsTable[[#This Row],[Source]]</f>
        <v>Unnamed ProjectWorkStationReqQNumber WaitingQueue</v>
      </c>
      <c r="N280" s="5" cm="1">
        <f t="array" ref="N280">MAX(IF((ProjectInfoTable[ProjectName]=ContinuousStatsTable[[#This Row],[ProjectName]]),(ProjectInfoTable[ProjectName]=ContinuousStatsTable[[#This Row],[ProjectName]])*ProjectInfoTable[NumberOfReplications]))</f>
        <v>10</v>
      </c>
      <c r="O280" s="5" cm="1">
        <f t="array" ref="O280">IFERROR(AVERAGE(IF((ContinuousStatsTable[GroupByKey]=ContinuousStatsTable[[#This Row],[GroupByKey]]),(ContinuousStatsTable[GroupByKey]=ContinuousStatsTable[[#This Row],[GroupByKey]])*ContinuousStatsTable[Average])),0)</f>
        <v>1.2897450081583859E-2</v>
      </c>
      <c r="P280" s="5" cm="1">
        <f t="array" ref="P280">IFERROR(_xlfn.STDEV.S(IF((ContinuousStatsTable[GroupByKey]=ContinuousStatsTable[[#This Row],[GroupByKey]]),(ContinuousStatsTable[GroupByKey]=ContinuousStatsTable[[#This Row],[GroupByKey]])*ContinuousStatsTable[Average])),0)</f>
        <v>4.2374090710035878E-4</v>
      </c>
      <c r="Q280" s="5" cm="1">
        <f t="array" ref="Q280">MAX(IF((ProjectInfoTable[ProjectName]=ContinuousStatsTable[[#This Row],[ProjectName]]),(ProjectInfoTable[ProjectName]=ContinuousStatsTable[[#This Row],[ProjectName]])*ProjectInfoTable[ConfidenceInterval]))</f>
        <v>0.95</v>
      </c>
      <c r="R2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3.0312598423651549E-4</v>
      </c>
      <c r="S280" s="5" cm="1">
        <f t="array" ref="S280">MIN(IF((ContinuousStatsTable[GroupByKey]=ContinuousStatsTable[[#This Row],[GroupByKey]]),(ContinuousStatsTable[GroupByKey]=ContinuousStatsTable[[#This Row],[GroupByKey]])*ContinuousStatsTable[Average]))</f>
        <v>1.2232643269307701E-2</v>
      </c>
      <c r="T280" s="5" cm="1">
        <f t="array" ref="T280">MAX(IF((ContinuousStatsTable[GroupByKey]=ContinuousStatsTable[[#This Row],[GroupByKey]]),(ContinuousStatsTable[GroupByKey]=ContinuousStatsTable[[#This Row],[GroupByKey]])*ContinuousStatsTable[Average]))</f>
        <v>1.34073753437328E-2</v>
      </c>
      <c r="U280" s="5">
        <f>IF((ContinuousStatsTable[[#This Row],[RepsRequested]]&gt;1),ContinuousStatsTable[[#This Row],[HalfWidth]],ContinuousStatsTable[[#This Row],[BatchMeansHalfWidth]])</f>
        <v>3.0312598423651549E-4</v>
      </c>
    </row>
    <row r="281" spans="1:21" x14ac:dyDescent="0.25">
      <c r="A281" t="s">
        <v>67</v>
      </c>
      <c r="B281" t="s">
        <v>69</v>
      </c>
      <c r="C281">
        <v>10</v>
      </c>
      <c r="D281" t="s">
        <v>110</v>
      </c>
      <c r="E281" t="s">
        <v>111</v>
      </c>
      <c r="F281" t="s">
        <v>90</v>
      </c>
      <c r="G281">
        <v>0.67115295412829901</v>
      </c>
      <c r="H281">
        <v>1.49515530500608E-2</v>
      </c>
      <c r="I281">
        <v>0</v>
      </c>
      <c r="J281">
        <v>7</v>
      </c>
      <c r="K281">
        <v>1</v>
      </c>
      <c r="L281">
        <v>0</v>
      </c>
      <c r="M281" s="5" t="str">
        <f>ContinuousStatsTable[[#This Row],[ProjectName]]&amp;ContinuousStatsTable[[#This Row],[Name]]&amp;ContinuousStatsTable[[#This Row],[Type]]&amp;ContinuousStatsTable[[#This Row],[Source]]</f>
        <v>Unnamed ProjectvNumWaitingRequestsVariableUser Specified</v>
      </c>
      <c r="N281" s="5" cm="1">
        <f t="array" ref="N281">MAX(IF((ProjectInfoTable[ProjectName]=ContinuousStatsTable[[#This Row],[ProjectName]]),(ProjectInfoTable[ProjectName]=ContinuousStatsTable[[#This Row],[ProjectName]])*ProjectInfoTable[NumberOfReplications]))</f>
        <v>10</v>
      </c>
      <c r="O281" s="5" cm="1">
        <f t="array" ref="O281">IFERROR(AVERAGE(IF((ContinuousStatsTable[GroupByKey]=ContinuousStatsTable[[#This Row],[GroupByKey]]),(ContinuousStatsTable[GroupByKey]=ContinuousStatsTable[[#This Row],[GroupByKey]])*ContinuousStatsTable[Average])),0)</f>
        <v>0.67697821611736619</v>
      </c>
      <c r="P281" s="5" cm="1">
        <f t="array" ref="P281">IFERROR(_xlfn.STDEV.S(IF((ContinuousStatsTable[GroupByKey]=ContinuousStatsTable[[#This Row],[GroupByKey]]),(ContinuousStatsTable[GroupByKey]=ContinuousStatsTable[[#This Row],[GroupByKey]])*ContinuousStatsTable[Average])),0)</f>
        <v>6.3714899668086428E-3</v>
      </c>
      <c r="Q281" s="5" cm="1">
        <f t="array" ref="Q281">MAX(IF((ProjectInfoTable[ProjectName]=ContinuousStatsTable[[#This Row],[ProjectName]]),(ProjectInfoTable[ProjectName]=ContinuousStatsTable[[#This Row],[ProjectName]])*ProjectInfoTable[ConfidenceInterval]))</f>
        <v>0.95</v>
      </c>
      <c r="R2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4.5578893490793634E-3</v>
      </c>
      <c r="S281" s="5" cm="1">
        <f t="array" ref="S281">MIN(IF((ContinuousStatsTable[GroupByKey]=ContinuousStatsTable[[#This Row],[GroupByKey]]),(ContinuousStatsTable[GroupByKey]=ContinuousStatsTable[[#This Row],[GroupByKey]])*ContinuousStatsTable[Average]))</f>
        <v>0.66877542384053201</v>
      </c>
      <c r="T281" s="5" cm="1">
        <f t="array" ref="T281">MAX(IF((ContinuousStatsTable[GroupByKey]=ContinuousStatsTable[[#This Row],[GroupByKey]]),(ContinuousStatsTable[GroupByKey]=ContinuousStatsTable[[#This Row],[GroupByKey]])*ContinuousStatsTable[Average]))</f>
        <v>0.69059318471793496</v>
      </c>
      <c r="U281" s="5">
        <f>IF((ContinuousStatsTable[[#This Row],[RepsRequested]]&gt;1),ContinuousStatsTable[[#This Row],[HalfWidth]],ContinuousStatsTable[[#This Row],[BatchMeansHalfWidth]])</f>
        <v>4.5578893490793634E-3</v>
      </c>
    </row>
  </sheetData>
  <phoneticPr fontId="2" type="noConversion"/>
  <conditionalFormatting sqref="H2:H281">
    <cfRule type="expression" dxfId="18" priority="9">
      <formula>H2=200000000000000000000</formula>
    </cfRule>
  </conditionalFormatting>
  <conditionalFormatting sqref="H2:H281">
    <cfRule type="expression" dxfId="17" priority="7">
      <formula>H2=300000000000000000000</formula>
    </cfRule>
  </conditionalFormatting>
  <conditionalFormatting sqref="M2:U281">
    <cfRule type="expression" dxfId="16" priority="5">
      <formula>MOD(ROW(),2)=0</formula>
    </cfRule>
  </conditionalFormatting>
  <conditionalFormatting sqref="U2:U281">
    <cfRule type="expression" dxfId="15" priority="3">
      <formula>U2=200000000000000000000</formula>
    </cfRule>
    <cfRule type="expression" dxfId="14" priority="4">
      <formula>U2=300000000000000000000</formula>
    </cfRule>
  </conditionalFormatting>
  <conditionalFormatting sqref="R2:R281 U2:U281">
    <cfRule type="expression" dxfId="13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7" bestFit="1" customWidth="1"/>
    <col min="8" max="8" width="14.285156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12" priority="2">
      <formula>MOD(ROW(),2)=0</formula>
    </cfRule>
  </conditionalFormatting>
  <conditionalFormatting sqref="M2">
    <cfRule type="expression" dxfId="11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51"/>
  <sheetViews>
    <sheetView workbookViewId="0">
      <selection activeCell="H2" sqref="H2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32.570312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76.42578125" bestFit="1" customWidth="1"/>
    <col min="10" max="10" width="17.28515625" bestFit="1" customWidth="1"/>
    <col min="11" max="11" width="12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67</v>
      </c>
      <c r="B2" t="s">
        <v>69</v>
      </c>
      <c r="C2">
        <v>1</v>
      </c>
      <c r="D2" t="s">
        <v>112</v>
      </c>
      <c r="E2" t="s">
        <v>113</v>
      </c>
      <c r="F2" t="s">
        <v>77</v>
      </c>
      <c r="G2">
        <v>19448</v>
      </c>
      <c r="H2">
        <v>0</v>
      </c>
      <c r="I2" t="str">
        <f>OutputTable[[#This Row],[ProjectName]]&amp;OutputTable[[#This Row],[Name]]&amp;OutputTable[[#This Row],[Type]]&amp;OutputTable[[#This Row],[Source]]</f>
        <v>Unnamed ProjectEntity 1.NumberInNumber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10</v>
      </c>
      <c r="K2" cm="1">
        <f t="array" ref="K2">IFERROR(AVERAGE(IF((OutputTable[GroupByKey]=OutputTable[[#This Row],[GroupByKey]]),(OutputTable[GroupByKey]=OutputTable[[#This Row],[GroupByKey]])*OutputTable[RecordedValue])),0)</f>
        <v>19615.599999999999</v>
      </c>
      <c r="L2" cm="1">
        <f t="array" ref="L2">IFERROR(_xlfn.STDEV.S(IF((OutputTable[GroupByKey]=OutputTable[[#This Row],[GroupByKey]]),(OutputTable[GroupByKey]=OutputTable[[#This Row],[GroupByKey]])*OutputTable[RecordedValue])),0)</f>
        <v>165.97134960254101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118.72875113144924</v>
      </c>
      <c r="O2" cm="1">
        <f t="array" ref="O2">MIN(IF((OutputTable[GroupByKey]=OutputTable[[#This Row],[GroupByKey]]),(OutputTable[GroupByKey]=OutputTable[[#This Row],[GroupByKey]])*OutputTable[RecordedValue]))</f>
        <v>19410</v>
      </c>
      <c r="P2" cm="1">
        <f t="array" ref="P2">MAX(IF((OutputTable[GroupByKey]=OutputTable[[#This Row],[GroupByKey]]),(OutputTable[GroupByKey]=OutputTable[[#This Row],[GroupByKey]])*OutputTable[RecordedValue]))</f>
        <v>19914</v>
      </c>
    </row>
    <row r="3" spans="1:16" x14ac:dyDescent="0.25">
      <c r="A3" t="s">
        <v>67</v>
      </c>
      <c r="B3" t="s">
        <v>69</v>
      </c>
      <c r="C3">
        <v>1</v>
      </c>
      <c r="D3" t="s">
        <v>114</v>
      </c>
      <c r="E3" t="s">
        <v>115</v>
      </c>
      <c r="F3" t="s">
        <v>77</v>
      </c>
      <c r="G3">
        <v>19448</v>
      </c>
      <c r="H3">
        <v>0</v>
      </c>
      <c r="I3" t="str">
        <f>OutputTable[[#This Row],[ProjectName]]&amp;OutputTable[[#This Row],[Name]]&amp;OutputTable[[#This Row],[Type]]&amp;OutputTable[[#This Row],[Source]]</f>
        <v>Unnamed ProjectEntity 1.NumberOutNumber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10</v>
      </c>
      <c r="K3" cm="1">
        <f t="array" ref="K3">IFERROR(AVERAGE(IF((OutputTable[GroupByKey]=OutputTable[[#This Row],[GroupByKey]]),(OutputTable[GroupByKey]=OutputTable[[#This Row],[GroupByKey]])*OutputTable[RecordedValue])),0)</f>
        <v>19615.599999999999</v>
      </c>
      <c r="L3" cm="1">
        <f t="array" ref="L3">IFERROR(_xlfn.STDEV.S(IF((OutputTable[GroupByKey]=OutputTable[[#This Row],[GroupByKey]]),(OutputTable[GroupByKey]=OutputTable[[#This Row],[GroupByKey]])*OutputTable[RecordedValue])),0)</f>
        <v>165.97134960254101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118.72875113144924</v>
      </c>
      <c r="O3" cm="1">
        <f t="array" ref="O3">MIN(IF((OutputTable[GroupByKey]=OutputTable[[#This Row],[GroupByKey]]),(OutputTable[GroupByKey]=OutputTable[[#This Row],[GroupByKey]])*OutputTable[RecordedValue]))</f>
        <v>19410</v>
      </c>
      <c r="P3" cm="1">
        <f t="array" ref="P3">MAX(IF((OutputTable[GroupByKey]=OutputTable[[#This Row],[GroupByKey]]),(OutputTable[GroupByKey]=OutputTable[[#This Row],[GroupByKey]])*OutputTable[RecordedValue]))</f>
        <v>19914</v>
      </c>
    </row>
    <row r="4" spans="1:16" x14ac:dyDescent="0.25">
      <c r="A4" t="s">
        <v>67</v>
      </c>
      <c r="B4" t="s">
        <v>69</v>
      </c>
      <c r="C4">
        <v>1</v>
      </c>
      <c r="D4" t="s">
        <v>116</v>
      </c>
      <c r="E4" t="s">
        <v>117</v>
      </c>
      <c r="F4" t="s">
        <v>106</v>
      </c>
      <c r="G4">
        <v>5952</v>
      </c>
      <c r="H4">
        <v>0</v>
      </c>
      <c r="I4" t="str">
        <f>OutputTable[[#This Row],[ProjectName]]&amp;OutputTable[[#This Row],[Name]]&amp;OutputTable[[#This Row],[Type]]&amp;OutputTable[[#This Row],[Source]]</f>
        <v>Unnamed ProjectNEWPAINTER.NumberSeizedTotal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10</v>
      </c>
      <c r="K4" cm="1">
        <f t="array" ref="K4">IFERROR(AVERAGE(IF((OutputTable[GroupByKey]=OutputTable[[#This Row],[GroupByKey]]),(OutputTable[GroupByKey]=OutputTable[[#This Row],[GroupByKey]])*OutputTable[RecordedValue])),0)</f>
        <v>5893</v>
      </c>
      <c r="L4" cm="1">
        <f t="array" ref="L4">IFERROR(_xlfn.STDEV.S(IF((OutputTable[GroupByKey]=OutputTable[[#This Row],[GroupByKey]]),(OutputTable[GroupByKey]=OutputTable[[#This Row],[GroupByKey]])*OutputTable[RecordedValue])),0)</f>
        <v>92.348374226199681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66.062047257875278</v>
      </c>
      <c r="O4" cm="1">
        <f t="array" ref="O4">MIN(IF((OutputTable[GroupByKey]=OutputTable[[#This Row],[GroupByKey]]),(OutputTable[GroupByKey]=OutputTable[[#This Row],[GroupByKey]])*OutputTable[RecordedValue]))</f>
        <v>5736</v>
      </c>
      <c r="P4" cm="1">
        <f t="array" ref="P4">MAX(IF((OutputTable[GroupByKey]=OutputTable[[#This Row],[GroupByKey]]),(OutputTable[GroupByKey]=OutputTable[[#This Row],[GroupByKey]])*OutputTable[RecordedValue]))</f>
        <v>6053</v>
      </c>
    </row>
    <row r="5" spans="1:16" x14ac:dyDescent="0.25">
      <c r="A5" t="s">
        <v>67</v>
      </c>
      <c r="B5" t="s">
        <v>69</v>
      </c>
      <c r="C5">
        <v>1</v>
      </c>
      <c r="D5" t="s">
        <v>118</v>
      </c>
      <c r="E5" t="s">
        <v>119</v>
      </c>
      <c r="F5" t="s">
        <v>106</v>
      </c>
      <c r="G5">
        <v>0.53205452108434903</v>
      </c>
      <c r="H5">
        <v>0</v>
      </c>
      <c r="I5" t="str">
        <f>OutputTable[[#This Row],[ProjectName]]&amp;OutputTable[[#This Row],[Name]]&amp;OutputTable[[#This Row],[Type]]&amp;OutputTable[[#This Row],[Source]]</f>
        <v>Unnamed ProjectNEWPAINTER.ScheduledUtilizationScheduled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10</v>
      </c>
      <c r="K5" cm="1">
        <f t="array" ref="K5">IFERROR(AVERAGE(IF((OutputTable[GroupByKey]=OutputTable[[#This Row],[GroupByKey]]),(OutputTable[GroupByKey]=OutputTable[[#This Row],[GroupByKey]])*OutputTable[RecordedValue])),0)</f>
        <v>0.52518723279433455</v>
      </c>
      <c r="L5" cm="1">
        <f t="array" ref="L5">IFERROR(_xlfn.STDEV.S(IF((OutputTable[GroupByKey]=OutputTable[[#This Row],[GroupByKey]]),(OutputTable[GroupByKey]=OutputTable[[#This Row],[GroupByKey]])*OutputTable[RecordedValue])),0)</f>
        <v>8.4087502405714581E-3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6.0152575551752803E-3</v>
      </c>
      <c r="O5" cm="1">
        <f t="array" ref="O5">MIN(IF((OutputTable[GroupByKey]=OutputTable[[#This Row],[GroupByKey]]),(OutputTable[GroupByKey]=OutputTable[[#This Row],[GroupByKey]])*OutputTable[RecordedValue]))</f>
        <v>0.51150896826018899</v>
      </c>
      <c r="P5" cm="1">
        <f t="array" ref="P5">MAX(IF((OutputTable[GroupByKey]=OutputTable[[#This Row],[GroupByKey]]),(OutputTable[GroupByKey]=OutputTable[[#This Row],[GroupByKey]])*OutputTable[RecordedValue]))</f>
        <v>0.54003281556404203</v>
      </c>
    </row>
    <row r="6" spans="1:16" x14ac:dyDescent="0.25">
      <c r="A6" t="s">
        <v>67</v>
      </c>
      <c r="B6" t="s">
        <v>69</v>
      </c>
      <c r="C6">
        <v>1</v>
      </c>
      <c r="D6" t="s">
        <v>120</v>
      </c>
      <c r="E6" t="s">
        <v>113</v>
      </c>
      <c r="F6" t="s">
        <v>77</v>
      </c>
      <c r="G6">
        <v>17073</v>
      </c>
      <c r="H6">
        <v>0</v>
      </c>
      <c r="I6" t="str">
        <f>OutputTable[[#This Row],[ProjectName]]&amp;OutputTable[[#This Row],[Name]]&amp;OutputTable[[#This Row],[Type]]&amp;OutputTable[[#This Row],[Source]]</f>
        <v>Unnamed ProjectNewPart.NumberInNumber InEntity</v>
      </c>
      <c r="J6" cm="1">
        <f t="array" ref="J6">MAX(IF((ProjectInfoTable[ProjectName]=OutputTable[[#This Row],[ProjectName]]),(ProjectInfoTable[ProjectName]=OutputTable[[#This Row],[ProjectName]])*ProjectInfoTable[NumberOfReplications]))</f>
        <v>10</v>
      </c>
      <c r="K6" cm="1">
        <f t="array" ref="K6">IFERROR(AVERAGE(IF((OutputTable[GroupByKey]=OutputTable[[#This Row],[GroupByKey]]),(OutputTable[GroupByKey]=OutputTable[[#This Row],[GroupByKey]])*OutputTable[RecordedValue])),0)</f>
        <v>16948.3</v>
      </c>
      <c r="L6" cm="1">
        <f t="array" ref="L6">IFERROR(_xlfn.STDEV.S(IF((OutputTable[GroupByKey]=OutputTable[[#This Row],[GroupByKey]]),(OutputTable[GroupByKey]=OutputTable[[#This Row],[GroupByKey]])*OutputTable[RecordedValue])),0)</f>
        <v>183.31033189042506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131.13231185359012</v>
      </c>
      <c r="O6" cm="1">
        <f t="array" ref="O6">MIN(IF((OutputTable[GroupByKey]=OutputTable[[#This Row],[GroupByKey]]),(OutputTable[GroupByKey]=OutputTable[[#This Row],[GroupByKey]])*OutputTable[RecordedValue]))</f>
        <v>16656</v>
      </c>
      <c r="P6" cm="1">
        <f t="array" ref="P6">MAX(IF((OutputTable[GroupByKey]=OutputTable[[#This Row],[GroupByKey]]),(OutputTable[GroupByKey]=OutputTable[[#This Row],[GroupByKey]])*OutputTable[RecordedValue]))</f>
        <v>17189</v>
      </c>
    </row>
    <row r="7" spans="1:16" x14ac:dyDescent="0.25">
      <c r="A7" t="s">
        <v>67</v>
      </c>
      <c r="B7" t="s">
        <v>69</v>
      </c>
      <c r="C7">
        <v>1</v>
      </c>
      <c r="D7" t="s">
        <v>121</v>
      </c>
      <c r="E7" t="s">
        <v>115</v>
      </c>
      <c r="F7" t="s">
        <v>77</v>
      </c>
      <c r="G7">
        <v>17074</v>
      </c>
      <c r="H7">
        <v>0</v>
      </c>
      <c r="I7" t="str">
        <f>OutputTable[[#This Row],[ProjectName]]&amp;OutputTable[[#This Row],[Name]]&amp;OutputTable[[#This Row],[Type]]&amp;OutputTable[[#This Row],[Source]]</f>
        <v>Unnamed ProjectNewPart.NumberOutNumber OutEntity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10</v>
      </c>
      <c r="K7" cm="1">
        <f t="array" ref="K7">IFERROR(AVERAGE(IF((OutputTable[GroupByKey]=OutputTable[[#This Row],[GroupByKey]]),(OutputTable[GroupByKey]=OutputTable[[#This Row],[GroupByKey]])*OutputTable[RecordedValue])),0)</f>
        <v>16948.099999999999</v>
      </c>
      <c r="L7" cm="1">
        <f t="array" ref="L7">IFERROR(_xlfn.STDEV.S(IF((OutputTable[GroupByKey]=OutputTable[[#This Row],[GroupByKey]]),(OutputTable[GroupByKey]=OutputTable[[#This Row],[GroupByKey]])*OutputTable[RecordedValue])),0)</f>
        <v>184.16022613172714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131.74028956845027</v>
      </c>
      <c r="O7" cm="1">
        <f t="array" ref="O7">MIN(IF((OutputTable[GroupByKey]=OutputTable[[#This Row],[GroupByKey]]),(OutputTable[GroupByKey]=OutputTable[[#This Row],[GroupByKey]])*OutputTable[RecordedValue]))</f>
        <v>16656</v>
      </c>
      <c r="P7" cm="1">
        <f t="array" ref="P7">MAX(IF((OutputTable[GroupByKey]=OutputTable[[#This Row],[GroupByKey]]),(OutputTable[GroupByKey]=OutputTable[[#This Row],[GroupByKey]])*OutputTable[RecordedValue]))</f>
        <v>17191</v>
      </c>
    </row>
    <row r="8" spans="1:16" x14ac:dyDescent="0.25">
      <c r="A8" t="s">
        <v>67</v>
      </c>
      <c r="B8" t="s">
        <v>69</v>
      </c>
      <c r="C8">
        <v>1</v>
      </c>
      <c r="D8" t="s">
        <v>122</v>
      </c>
      <c r="E8" t="s">
        <v>113</v>
      </c>
      <c r="F8" t="s">
        <v>77</v>
      </c>
      <c r="G8">
        <v>38586</v>
      </c>
      <c r="H8">
        <v>0</v>
      </c>
      <c r="I8" t="str">
        <f>OutputTable[[#This Row],[ProjectName]]&amp;OutputTable[[#This Row],[Name]]&amp;OutputTable[[#This Row],[Type]]&amp;OutputTable[[#This Row],[Source]]</f>
        <v>Unnamed ProjectOldPart.NumberInNumber InEntity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10</v>
      </c>
      <c r="K8" cm="1">
        <f t="array" ref="K8">IFERROR(AVERAGE(IF((OutputTable[GroupByKey]=OutputTable[[#This Row],[GroupByKey]]),(OutputTable[GroupByKey]=OutputTable[[#This Row],[GroupByKey]])*OutputTable[RecordedValue])),0)</f>
        <v>39113.599999999999</v>
      </c>
      <c r="L8" cm="1">
        <f t="array" ref="L8">IFERROR(_xlfn.STDEV.S(IF((OutputTable[GroupByKey]=OutputTable[[#This Row],[GroupByKey]]),(OutputTable[GroupByKey]=OutputTable[[#This Row],[GroupByKey]])*OutputTable[RecordedValue])),0)</f>
        <v>260.00051282000709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185.9931624017064</v>
      </c>
      <c r="O8" cm="1">
        <f t="array" ref="O8">MIN(IF((OutputTable[GroupByKey]=OutputTable[[#This Row],[GroupByKey]]),(OutputTable[GroupByKey]=OutputTable[[#This Row],[GroupByKey]])*OutputTable[RecordedValue]))</f>
        <v>38586</v>
      </c>
      <c r="P8" cm="1">
        <f t="array" ref="P8">MAX(IF((OutputTable[GroupByKey]=OutputTable[[#This Row],[GroupByKey]]),(OutputTable[GroupByKey]=OutputTable[[#This Row],[GroupByKey]])*OutputTable[RecordedValue]))</f>
        <v>39514</v>
      </c>
    </row>
    <row r="9" spans="1:16" x14ac:dyDescent="0.25">
      <c r="A9" t="s">
        <v>67</v>
      </c>
      <c r="B9" t="s">
        <v>69</v>
      </c>
      <c r="C9">
        <v>1</v>
      </c>
      <c r="D9" t="s">
        <v>123</v>
      </c>
      <c r="E9" t="s">
        <v>115</v>
      </c>
      <c r="F9" t="s">
        <v>77</v>
      </c>
      <c r="G9">
        <v>38588</v>
      </c>
      <c r="H9">
        <v>0</v>
      </c>
      <c r="I9" t="str">
        <f>OutputTable[[#This Row],[ProjectName]]&amp;OutputTable[[#This Row],[Name]]&amp;OutputTable[[#This Row],[Type]]&amp;OutputTable[[#This Row],[Source]]</f>
        <v>Unnamed ProjectOldPart.NumberOutNumber OutEntity</v>
      </c>
      <c r="J9" cm="1">
        <f t="array" ref="J9">MAX(IF((ProjectInfoTable[ProjectName]=OutputTable[[#This Row],[ProjectName]]),(ProjectInfoTable[ProjectName]=OutputTable[[#This Row],[ProjectName]])*ProjectInfoTable[NumberOfReplications]))</f>
        <v>10</v>
      </c>
      <c r="K9" cm="1">
        <f t="array" ref="K9">IFERROR(AVERAGE(IF((OutputTable[GroupByKey]=OutputTable[[#This Row],[GroupByKey]]),(OutputTable[GroupByKey]=OutputTable[[#This Row],[GroupByKey]])*OutputTable[RecordedValue])),0)</f>
        <v>39114.6</v>
      </c>
      <c r="L9" cm="1">
        <f t="array" ref="L9">IFERROR(_xlfn.STDEV.S(IF((OutputTable[GroupByKey]=OutputTable[[#This Row],[GroupByKey]]),(OutputTable[GroupByKey]=OutputTable[[#This Row],[GroupByKey]])*OutputTable[RecordedValue])),0)</f>
        <v>258.98871704295448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185.26936730515985</v>
      </c>
      <c r="O9" cm="1">
        <f t="array" ref="O9">MIN(IF((OutputTable[GroupByKey]=OutputTable[[#This Row],[GroupByKey]]),(OutputTable[GroupByKey]=OutputTable[[#This Row],[GroupByKey]])*OutputTable[RecordedValue]))</f>
        <v>38588</v>
      </c>
      <c r="P9" cm="1">
        <f t="array" ref="P9">MAX(IF((OutputTable[GroupByKey]=OutputTable[[#This Row],[GroupByKey]]),(OutputTable[GroupByKey]=OutputTable[[#This Row],[GroupByKey]])*OutputTable[RecordedValue]))</f>
        <v>39510</v>
      </c>
    </row>
    <row r="10" spans="1:16" x14ac:dyDescent="0.25">
      <c r="A10" t="s">
        <v>67</v>
      </c>
      <c r="B10" t="s">
        <v>69</v>
      </c>
      <c r="C10">
        <v>1</v>
      </c>
      <c r="D10" t="s">
        <v>124</v>
      </c>
      <c r="E10" t="s">
        <v>117</v>
      </c>
      <c r="F10" t="s">
        <v>106</v>
      </c>
      <c r="G10">
        <v>19449</v>
      </c>
      <c r="H10">
        <v>0</v>
      </c>
      <c r="I10" t="str">
        <f>OutputTable[[#This Row],[ProjectName]]&amp;OutputTable[[#This Row],[Name]]&amp;OutputTable[[#This Row],[Type]]&amp;OutputTable[[#This Row],[Source]]</f>
        <v>Unnamed ProjectPACKER.NumberSeizedTotal Number SeizedResource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10</v>
      </c>
      <c r="K10" cm="1">
        <f t="array" ref="K10">IFERROR(AVERAGE(IF((OutputTable[GroupByKey]=OutputTable[[#This Row],[GroupByKey]]),(OutputTable[GroupByKey]=OutputTable[[#This Row],[GroupByKey]])*OutputTable[RecordedValue])),0)</f>
        <v>19615.8</v>
      </c>
      <c r="L10" cm="1">
        <f t="array" ref="L10">IFERROR(_xlfn.STDEV.S(IF((OutputTable[GroupByKey]=OutputTable[[#This Row],[GroupByKey]]),(OutputTable[GroupByKey]=OutputTable[[#This Row],[GroupByKey]])*OutputTable[RecordedValue])),0)</f>
        <v>165.88670832830459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118.66820241139406</v>
      </c>
      <c r="O10" cm="1">
        <f t="array" ref="O10">MIN(IF((OutputTable[GroupByKey]=OutputTable[[#This Row],[GroupByKey]]),(OutputTable[GroupByKey]=OutputTable[[#This Row],[GroupByKey]])*OutputTable[RecordedValue]))</f>
        <v>19409</v>
      </c>
      <c r="P10" cm="1">
        <f t="array" ref="P10">MAX(IF((OutputTable[GroupByKey]=OutputTable[[#This Row],[GroupByKey]]),(OutputTable[GroupByKey]=OutputTable[[#This Row],[GroupByKey]])*OutputTable[RecordedValue]))</f>
        <v>19914</v>
      </c>
    </row>
    <row r="11" spans="1:16" x14ac:dyDescent="0.25">
      <c r="A11" t="s">
        <v>67</v>
      </c>
      <c r="B11" t="s">
        <v>69</v>
      </c>
      <c r="C11">
        <v>1</v>
      </c>
      <c r="D11" t="s">
        <v>125</v>
      </c>
      <c r="E11" t="s">
        <v>119</v>
      </c>
      <c r="F11" t="s">
        <v>106</v>
      </c>
      <c r="G11">
        <v>0.80873375252706603</v>
      </c>
      <c r="H11">
        <v>0</v>
      </c>
      <c r="I11" t="str">
        <f>OutputTable[[#This Row],[ProjectName]]&amp;OutputTable[[#This Row],[Name]]&amp;OutputTable[[#This Row],[Type]]&amp;OutputTable[[#This Row],[Source]]</f>
        <v>Unnamed ProjectPACKER.ScheduledUtilizationScheduled UtilizationResource</v>
      </c>
      <c r="J11" cm="1">
        <f t="array" ref="J11">MAX(IF((ProjectInfoTable[ProjectName]=OutputTable[[#This Row],[ProjectName]]),(ProjectInfoTable[ProjectName]=OutputTable[[#This Row],[ProjectName]])*ProjectInfoTable[NumberOfReplications]))</f>
        <v>10</v>
      </c>
      <c r="K11" cm="1">
        <f t="array" ref="K11">IFERROR(AVERAGE(IF((OutputTable[GroupByKey]=OutputTable[[#This Row],[GroupByKey]]),(OutputTable[GroupByKey]=OutputTable[[#This Row],[GroupByKey]])*OutputTable[RecordedValue])),0)</f>
        <v>0.81557194281027567</v>
      </c>
      <c r="L11" cm="1">
        <f t="array" ref="L11">IFERROR(_xlfn.STDEV.S(IF((OutputTable[GroupByKey]=OutputTable[[#This Row],[GroupByKey]]),(OutputTable[GroupByKey]=OutputTable[[#This Row],[GroupByKey]])*OutputTable[RecordedValue])),0)</f>
        <v>6.9416851287817331E-3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4.9657823959478754E-3</v>
      </c>
      <c r="O11" cm="1">
        <f t="array" ref="O11">MIN(IF((OutputTable[GroupByKey]=OutputTable[[#This Row],[GroupByKey]]),(OutputTable[GroupByKey]=OutputTable[[#This Row],[GroupByKey]])*OutputTable[RecordedValue]))</f>
        <v>0.80675605099888203</v>
      </c>
      <c r="P11" cm="1">
        <f t="array" ref="P11">MAX(IF((OutputTable[GroupByKey]=OutputTable[[#This Row],[GroupByKey]]),(OutputTable[GroupByKey]=OutputTable[[#This Row],[GroupByKey]])*OutputTable[RecordedValue]))</f>
        <v>0.82818429749007605</v>
      </c>
    </row>
    <row r="12" spans="1:16" x14ac:dyDescent="0.25">
      <c r="A12" t="s">
        <v>67</v>
      </c>
      <c r="B12" t="s">
        <v>69</v>
      </c>
      <c r="C12">
        <v>1</v>
      </c>
      <c r="D12" t="s">
        <v>126</v>
      </c>
      <c r="E12" t="s">
        <v>117</v>
      </c>
      <c r="F12" t="s">
        <v>106</v>
      </c>
      <c r="G12">
        <v>13496</v>
      </c>
      <c r="H12">
        <v>0</v>
      </c>
      <c r="I12" t="str">
        <f>OutputTable[[#This Row],[ProjectName]]&amp;OutputTable[[#This Row],[Name]]&amp;OutputTable[[#This Row],[Type]]&amp;OutputTable[[#This Row],[Source]]</f>
        <v>Unnamed ProjectPAINTER.NumberSeizedTotal Number SeizedResource</v>
      </c>
      <c r="J12" cm="1">
        <f t="array" ref="J12">MAX(IF((ProjectInfoTable[ProjectName]=OutputTable[[#This Row],[ProjectName]]),(ProjectInfoTable[ProjectName]=OutputTable[[#This Row],[ProjectName]])*ProjectInfoTable[NumberOfReplications]))</f>
        <v>10</v>
      </c>
      <c r="K12" cm="1">
        <f t="array" ref="K12">IFERROR(AVERAGE(IF((OutputTable[GroupByKey]=OutputTable[[#This Row],[GroupByKey]]),(OutputTable[GroupByKey]=OutputTable[[#This Row],[GroupByKey]])*OutputTable[RecordedValue])),0)</f>
        <v>13722.6</v>
      </c>
      <c r="L12" cm="1">
        <f t="array" ref="L12">IFERROR(_xlfn.STDEV.S(IF((OutputTable[GroupByKey]=OutputTable[[#This Row],[GroupByKey]]),(OutputTable[GroupByKey]=OutputTable[[#This Row],[GroupByKey]])*OutputTable[RecordedValue])),0)</f>
        <v>113.64682133698241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81.298038485024648</v>
      </c>
      <c r="O12" cm="1">
        <f t="array" ref="O12">MIN(IF((OutputTable[GroupByKey]=OutputTable[[#This Row],[GroupByKey]]),(OutputTable[GroupByKey]=OutputTable[[#This Row],[GroupByKey]])*OutputTable[RecordedValue]))</f>
        <v>13496</v>
      </c>
      <c r="P12" cm="1">
        <f t="array" ref="P12">MAX(IF((OutputTable[GroupByKey]=OutputTable[[#This Row],[GroupByKey]]),(OutputTable[GroupByKey]=OutputTable[[#This Row],[GroupByKey]])*OutputTable[RecordedValue]))</f>
        <v>13871</v>
      </c>
    </row>
    <row r="13" spans="1:16" x14ac:dyDescent="0.25">
      <c r="A13" t="s">
        <v>67</v>
      </c>
      <c r="B13" t="s">
        <v>69</v>
      </c>
      <c r="C13">
        <v>1</v>
      </c>
      <c r="D13" t="s">
        <v>127</v>
      </c>
      <c r="E13" t="s">
        <v>119</v>
      </c>
      <c r="F13" t="s">
        <v>106</v>
      </c>
      <c r="G13">
        <v>0.54030874063430001</v>
      </c>
      <c r="H13">
        <v>0</v>
      </c>
      <c r="I13" t="str">
        <f>OutputTable[[#This Row],[ProjectName]]&amp;OutputTable[[#This Row],[Name]]&amp;OutputTable[[#This Row],[Type]]&amp;OutputTable[[#This Row],[Source]]</f>
        <v>Unnamed ProjectPAINTER.ScheduledUtilizationScheduled UtilizationResource</v>
      </c>
      <c r="J13" cm="1">
        <f t="array" ref="J13">MAX(IF((ProjectInfoTable[ProjectName]=OutputTable[[#This Row],[ProjectName]]),(ProjectInfoTable[ProjectName]=OutputTable[[#This Row],[ProjectName]])*ProjectInfoTable[NumberOfReplications]))</f>
        <v>10</v>
      </c>
      <c r="K13" cm="1">
        <f t="array" ref="K13">IFERROR(AVERAGE(IF((OutputTable[GroupByKey]=OutputTable[[#This Row],[GroupByKey]]),(OutputTable[GroupByKey]=OutputTable[[#This Row],[GroupByKey]])*OutputTable[RecordedValue])),0)</f>
        <v>0.54938142053560801</v>
      </c>
      <c r="L13" cm="1">
        <f t="array" ref="L13">IFERROR(_xlfn.STDEV.S(IF((OutputTable[GroupByKey]=OutputTable[[#This Row],[GroupByKey]]),(OutputTable[GroupByKey]=OutputTable[[#This Row],[GroupByKey]])*OutputTable[RecordedValue])),0)</f>
        <v>4.5196387022068685E-3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3.2331547581159752E-3</v>
      </c>
      <c r="O13" cm="1">
        <f t="array" ref="O13">MIN(IF((OutputTable[GroupByKey]=OutputTable[[#This Row],[GroupByKey]]),(OutputTable[GroupByKey]=OutputTable[[#This Row],[GroupByKey]])*OutputTable[RecordedValue]))</f>
        <v>0.54030874063430001</v>
      </c>
      <c r="P13" cm="1">
        <f t="array" ref="P13">MAX(IF((OutputTable[GroupByKey]=OutputTable[[#This Row],[GroupByKey]]),(OutputTable[GroupByKey]=OutputTable[[#This Row],[GroupByKey]])*OutputTable[RecordedValue]))</f>
        <v>0.55566835138728998</v>
      </c>
    </row>
    <row r="14" spans="1:16" x14ac:dyDescent="0.25">
      <c r="A14" t="s">
        <v>67</v>
      </c>
      <c r="B14" t="s">
        <v>69</v>
      </c>
      <c r="C14">
        <v>1</v>
      </c>
      <c r="D14" t="s">
        <v>128</v>
      </c>
      <c r="E14" t="s">
        <v>115</v>
      </c>
      <c r="F14" t="s">
        <v>129</v>
      </c>
      <c r="G14">
        <v>55662</v>
      </c>
      <c r="H14">
        <v>0</v>
      </c>
      <c r="I14" t="str">
        <f>OutputTable[[#This Row],[ProjectName]]&amp;OutputTable[[#This Row],[Name]]&amp;OutputTable[[#This Row],[Type]]&amp;OutputTable[[#This Row],[Source]]</f>
        <v>Unnamed ProjectSystem.NumberOutNumber OutSystem</v>
      </c>
      <c r="J14" cm="1">
        <f t="array" ref="J14">MAX(IF((ProjectInfoTable[ProjectName]=OutputTable[[#This Row],[ProjectName]]),(ProjectInfoTable[ProjectName]=OutputTable[[#This Row],[ProjectName]])*ProjectInfoTable[NumberOfReplications]))</f>
        <v>10</v>
      </c>
      <c r="K14" cm="1">
        <f t="array" ref="K14">IFERROR(AVERAGE(IF((OutputTable[GroupByKey]=OutputTable[[#This Row],[GroupByKey]]),(OutputTable[GroupByKey]=OutputTable[[#This Row],[GroupByKey]])*OutputTable[RecordedValue])),0)</f>
        <v>56062.7</v>
      </c>
      <c r="L14" cm="1">
        <f t="array" ref="L14">IFERROR(_xlfn.STDEV.S(IF((OutputTable[GroupByKey]=OutputTable[[#This Row],[GroupByKey]]),(OutputTable[GroupByKey]=OutputTable[[#This Row],[GroupByKey]])*OutputTable[RecordedValue])),0)</f>
        <v>281.95036994320668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201.69514427985661</v>
      </c>
      <c r="O14" cm="1">
        <f t="array" ref="O14">MIN(IF((OutputTable[GroupByKey]=OutputTable[[#This Row],[GroupByKey]]),(OutputTable[GroupByKey]=OutputTable[[#This Row],[GroupByKey]])*OutputTable[RecordedValue]))</f>
        <v>55662</v>
      </c>
      <c r="P14" cm="1">
        <f t="array" ref="P14">MAX(IF((OutputTable[GroupByKey]=OutputTable[[#This Row],[GroupByKey]]),(OutputTable[GroupByKey]=OutputTable[[#This Row],[GroupByKey]])*OutputTable[RecordedValue]))</f>
        <v>56611</v>
      </c>
    </row>
    <row r="15" spans="1:16" x14ac:dyDescent="0.25">
      <c r="A15" t="s">
        <v>67</v>
      </c>
      <c r="B15" t="s">
        <v>69</v>
      </c>
      <c r="C15">
        <v>1</v>
      </c>
      <c r="D15" t="s">
        <v>130</v>
      </c>
      <c r="E15" t="s">
        <v>117</v>
      </c>
      <c r="F15" t="s">
        <v>106</v>
      </c>
      <c r="G15">
        <v>19448</v>
      </c>
      <c r="H15">
        <v>0</v>
      </c>
      <c r="I15" t="str">
        <f>OutputTable[[#This Row],[ProjectName]]&amp;OutputTable[[#This Row],[Name]]&amp;OutputTable[[#This Row],[Type]]&amp;OutputTable[[#This Row],[Source]]</f>
        <v>Unnamed ProjectWORKER.NumberSeizedTotal Number SeizedResource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10</v>
      </c>
      <c r="K15" cm="1">
        <f t="array" ref="K15">IFERROR(AVERAGE(IF((OutputTable[GroupByKey]=OutputTable[[#This Row],[GroupByKey]]),(OutputTable[GroupByKey]=OutputTable[[#This Row],[GroupByKey]])*OutputTable[RecordedValue])),0)</f>
        <v>19616</v>
      </c>
      <c r="L15" cm="1">
        <f t="array" ref="L15">IFERROR(_xlfn.STDEV.S(IF((OutputTable[GroupByKey]=OutputTable[[#This Row],[GroupByKey]]),(OutputTable[GroupByKey]=OutputTable[[#This Row],[GroupByKey]])*OutputTable[RecordedValue])),0)</f>
        <v>166.31629839288485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118.97551263082794</v>
      </c>
      <c r="O15" cm="1">
        <f t="array" ref="O15">MIN(IF((OutputTable[GroupByKey]=OutputTable[[#This Row],[GroupByKey]]),(OutputTable[GroupByKey]=OutputTable[[#This Row],[GroupByKey]])*OutputTable[RecordedValue]))</f>
        <v>19409</v>
      </c>
      <c r="P15" cm="1">
        <f t="array" ref="P15">MAX(IF((OutputTable[GroupByKey]=OutputTable[[#This Row],[GroupByKey]]),(OutputTable[GroupByKey]=OutputTable[[#This Row],[GroupByKey]])*OutputTable[RecordedValue]))</f>
        <v>19915</v>
      </c>
    </row>
    <row r="16" spans="1:16" x14ac:dyDescent="0.25">
      <c r="A16" t="s">
        <v>67</v>
      </c>
      <c r="B16" t="s">
        <v>69</v>
      </c>
      <c r="C16">
        <v>1</v>
      </c>
      <c r="D16" t="s">
        <v>131</v>
      </c>
      <c r="E16" t="s">
        <v>119</v>
      </c>
      <c r="F16" t="s">
        <v>106</v>
      </c>
      <c r="G16">
        <v>0.81352170871654805</v>
      </c>
      <c r="H16">
        <v>0</v>
      </c>
      <c r="I16" t="str">
        <f>OutputTable[[#This Row],[ProjectName]]&amp;OutputTable[[#This Row],[Name]]&amp;OutputTable[[#This Row],[Type]]&amp;OutputTable[[#This Row],[Source]]</f>
        <v>Unnamed ProjectWORKER.ScheduledUtilizationScheduled UtilizationResource</v>
      </c>
      <c r="J16" cm="1">
        <f t="array" ref="J16">MAX(IF((ProjectInfoTable[ProjectName]=OutputTable[[#This Row],[ProjectName]]),(ProjectInfoTable[ProjectName]=OutputTable[[#This Row],[ProjectName]])*ProjectInfoTable[NumberOfReplications]))</f>
        <v>10</v>
      </c>
      <c r="K16" cm="1">
        <f t="array" ref="K16">IFERROR(AVERAGE(IF((OutputTable[GroupByKey]=OutputTable[[#This Row],[GroupByKey]]),(OutputTable[GroupByKey]=OutputTable[[#This Row],[GroupByKey]])*OutputTable[RecordedValue])),0)</f>
        <v>0.82030090075893936</v>
      </c>
      <c r="L16" cm="1">
        <f t="array" ref="L16">IFERROR(_xlfn.STDEV.S(IF((OutputTable[GroupByKey]=OutputTable[[#This Row],[GroupByKey]]),(OutputTable[GroupByKey]=OutputTable[[#This Row],[GroupByKey]])*OutputTable[RecordedValue])),0)</f>
        <v>6.9684713894533476E-3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4.9849441325044447E-3</v>
      </c>
      <c r="O16" cm="1">
        <f t="array" ref="O16">MIN(IF((OutputTable[GroupByKey]=OutputTable[[#This Row],[GroupByKey]]),(OutputTable[GroupByKey]=OutputTable[[#This Row],[GroupByKey]])*OutputTable[RecordedValue]))</f>
        <v>0.81151215762737705</v>
      </c>
      <c r="P16" cm="1">
        <f t="array" ref="P16">MAX(IF((OutputTable[GroupByKey]=OutputTable[[#This Row],[GroupByKey]]),(OutputTable[GroupByKey]=OutputTable[[#This Row],[GroupByKey]])*OutputTable[RecordedValue]))</f>
        <v>0.832837691284112</v>
      </c>
    </row>
    <row r="17" spans="1:16" x14ac:dyDescent="0.25">
      <c r="A17" t="s">
        <v>67</v>
      </c>
      <c r="B17" t="s">
        <v>69</v>
      </c>
      <c r="C17">
        <v>2</v>
      </c>
      <c r="D17" t="s">
        <v>112</v>
      </c>
      <c r="E17" t="s">
        <v>113</v>
      </c>
      <c r="F17" t="s">
        <v>77</v>
      </c>
      <c r="G17">
        <v>19625</v>
      </c>
      <c r="H17">
        <v>0</v>
      </c>
      <c r="I17" t="str">
        <f>OutputTable[[#This Row],[ProjectName]]&amp;OutputTable[[#This Row],[Name]]&amp;OutputTable[[#This Row],[Type]]&amp;OutputTable[[#This Row],[Source]]</f>
        <v>Unnamed ProjectEntity 1.NumberInNumber InEntity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10</v>
      </c>
      <c r="K17" cm="1">
        <f t="array" ref="K17">IFERROR(AVERAGE(IF((OutputTable[GroupByKey]=OutputTable[[#This Row],[GroupByKey]]),(OutputTable[GroupByKey]=OutputTable[[#This Row],[GroupByKey]])*OutputTable[RecordedValue])),0)</f>
        <v>19615.599999999999</v>
      </c>
      <c r="L17" cm="1">
        <f t="array" ref="L17">IFERROR(_xlfn.STDEV.S(IF((OutputTable[GroupByKey]=OutputTable[[#This Row],[GroupByKey]]),(OutputTable[GroupByKey]=OutputTable[[#This Row],[GroupByKey]])*OutputTable[RecordedValue])),0)</f>
        <v>165.97134960254101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118.72875113144924</v>
      </c>
      <c r="O17" cm="1">
        <f t="array" ref="O17">MIN(IF((OutputTable[GroupByKey]=OutputTable[[#This Row],[GroupByKey]]),(OutputTable[GroupByKey]=OutputTable[[#This Row],[GroupByKey]])*OutputTable[RecordedValue]))</f>
        <v>19410</v>
      </c>
      <c r="P17" cm="1">
        <f t="array" ref="P17">MAX(IF((OutputTable[GroupByKey]=OutputTable[[#This Row],[GroupByKey]]),(OutputTable[GroupByKey]=OutputTable[[#This Row],[GroupByKey]])*OutputTable[RecordedValue]))</f>
        <v>19914</v>
      </c>
    </row>
    <row r="18" spans="1:16" x14ac:dyDescent="0.25">
      <c r="A18" t="s">
        <v>67</v>
      </c>
      <c r="B18" t="s">
        <v>69</v>
      </c>
      <c r="C18">
        <v>2</v>
      </c>
      <c r="D18" t="s">
        <v>114</v>
      </c>
      <c r="E18" t="s">
        <v>115</v>
      </c>
      <c r="F18" t="s">
        <v>77</v>
      </c>
      <c r="G18">
        <v>19625</v>
      </c>
      <c r="H18">
        <v>0</v>
      </c>
      <c r="I18" t="str">
        <f>OutputTable[[#This Row],[ProjectName]]&amp;OutputTable[[#This Row],[Name]]&amp;OutputTable[[#This Row],[Type]]&amp;OutputTable[[#This Row],[Source]]</f>
        <v>Unnamed ProjectEntity 1.NumberOutNumber OutEntity</v>
      </c>
      <c r="J18" cm="1">
        <f t="array" ref="J18">MAX(IF((ProjectInfoTable[ProjectName]=OutputTable[[#This Row],[ProjectName]]),(ProjectInfoTable[ProjectName]=OutputTable[[#This Row],[ProjectName]])*ProjectInfoTable[NumberOfReplications]))</f>
        <v>10</v>
      </c>
      <c r="K18" cm="1">
        <f t="array" ref="K18">IFERROR(AVERAGE(IF((OutputTable[GroupByKey]=OutputTable[[#This Row],[GroupByKey]]),(OutputTable[GroupByKey]=OutputTable[[#This Row],[GroupByKey]])*OutputTable[RecordedValue])),0)</f>
        <v>19615.599999999999</v>
      </c>
      <c r="L18" cm="1">
        <f t="array" ref="L18">IFERROR(_xlfn.STDEV.S(IF((OutputTable[GroupByKey]=OutputTable[[#This Row],[GroupByKey]]),(OutputTable[GroupByKey]=OutputTable[[#This Row],[GroupByKey]])*OutputTable[RecordedValue])),0)</f>
        <v>165.97134960254101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118.72875113144924</v>
      </c>
      <c r="O18" cm="1">
        <f t="array" ref="O18">MIN(IF((OutputTable[GroupByKey]=OutputTable[[#This Row],[GroupByKey]]),(OutputTable[GroupByKey]=OutputTable[[#This Row],[GroupByKey]])*OutputTable[RecordedValue]))</f>
        <v>19410</v>
      </c>
      <c r="P18" cm="1">
        <f t="array" ref="P18">MAX(IF((OutputTable[GroupByKey]=OutputTable[[#This Row],[GroupByKey]]),(OutputTable[GroupByKey]=OutputTable[[#This Row],[GroupByKey]])*OutputTable[RecordedValue]))</f>
        <v>19914</v>
      </c>
    </row>
    <row r="19" spans="1:16" x14ac:dyDescent="0.25">
      <c r="A19" t="s">
        <v>67</v>
      </c>
      <c r="B19" t="s">
        <v>69</v>
      </c>
      <c r="C19">
        <v>2</v>
      </c>
      <c r="D19" t="s">
        <v>116</v>
      </c>
      <c r="E19" t="s">
        <v>117</v>
      </c>
      <c r="F19" t="s">
        <v>106</v>
      </c>
      <c r="G19">
        <v>5898</v>
      </c>
      <c r="H19">
        <v>0</v>
      </c>
      <c r="I19" t="str">
        <f>OutputTable[[#This Row],[ProjectName]]&amp;OutputTable[[#This Row],[Name]]&amp;OutputTable[[#This Row],[Type]]&amp;OutputTable[[#This Row],[Source]]</f>
        <v>Unnamed ProjectNEWPAINTER.NumberSeizedTotal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10</v>
      </c>
      <c r="K19" cm="1">
        <f t="array" ref="K19">IFERROR(AVERAGE(IF((OutputTable[GroupByKey]=OutputTable[[#This Row],[GroupByKey]]),(OutputTable[GroupByKey]=OutputTable[[#This Row],[GroupByKey]])*OutputTable[RecordedValue])),0)</f>
        <v>5893</v>
      </c>
      <c r="L19" cm="1">
        <f t="array" ref="L19">IFERROR(_xlfn.STDEV.S(IF((OutputTable[GroupByKey]=OutputTable[[#This Row],[GroupByKey]]),(OutputTable[GroupByKey]=OutputTable[[#This Row],[GroupByKey]])*OutputTable[RecordedValue])),0)</f>
        <v>92.348374226199681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66.062047257875278</v>
      </c>
      <c r="O19" cm="1">
        <f t="array" ref="O19">MIN(IF((OutputTable[GroupByKey]=OutputTable[[#This Row],[GroupByKey]]),(OutputTable[GroupByKey]=OutputTable[[#This Row],[GroupByKey]])*OutputTable[RecordedValue]))</f>
        <v>5736</v>
      </c>
      <c r="P19" cm="1">
        <f t="array" ref="P19">MAX(IF((OutputTable[GroupByKey]=OutputTable[[#This Row],[GroupByKey]]),(OutputTable[GroupByKey]=OutputTable[[#This Row],[GroupByKey]])*OutputTable[RecordedValue]))</f>
        <v>6053</v>
      </c>
    </row>
    <row r="20" spans="1:16" x14ac:dyDescent="0.25">
      <c r="A20" t="s">
        <v>67</v>
      </c>
      <c r="B20" t="s">
        <v>69</v>
      </c>
      <c r="C20">
        <v>2</v>
      </c>
      <c r="D20" t="s">
        <v>118</v>
      </c>
      <c r="E20" t="s">
        <v>119</v>
      </c>
      <c r="F20" t="s">
        <v>106</v>
      </c>
      <c r="G20">
        <v>0.52546237694032205</v>
      </c>
      <c r="H20">
        <v>0</v>
      </c>
      <c r="I20" t="str">
        <f>OutputTable[[#This Row],[ProjectName]]&amp;OutputTable[[#This Row],[Name]]&amp;OutputTable[[#This Row],[Type]]&amp;OutputTable[[#This Row],[Source]]</f>
        <v>Unnamed ProjectNEWPAINTER.ScheduledUtilizationScheduled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10</v>
      </c>
      <c r="K20" cm="1">
        <f t="array" ref="K20">IFERROR(AVERAGE(IF((OutputTable[GroupByKey]=OutputTable[[#This Row],[GroupByKey]]),(OutputTable[GroupByKey]=OutputTable[[#This Row],[GroupByKey]])*OutputTable[RecordedValue])),0)</f>
        <v>0.52518723279433455</v>
      </c>
      <c r="L20" cm="1">
        <f t="array" ref="L20">IFERROR(_xlfn.STDEV.S(IF((OutputTable[GroupByKey]=OutputTable[[#This Row],[GroupByKey]]),(OutputTable[GroupByKey]=OutputTable[[#This Row],[GroupByKey]])*OutputTable[RecordedValue])),0)</f>
        <v>8.4087502405714581E-3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6.0152575551752803E-3</v>
      </c>
      <c r="O20" cm="1">
        <f t="array" ref="O20">MIN(IF((OutputTable[GroupByKey]=OutputTable[[#This Row],[GroupByKey]]),(OutputTable[GroupByKey]=OutputTable[[#This Row],[GroupByKey]])*OutputTable[RecordedValue]))</f>
        <v>0.51150896826018899</v>
      </c>
      <c r="P20" cm="1">
        <f t="array" ref="P20">MAX(IF((OutputTable[GroupByKey]=OutputTable[[#This Row],[GroupByKey]]),(OutputTable[GroupByKey]=OutputTable[[#This Row],[GroupByKey]])*OutputTable[RecordedValue]))</f>
        <v>0.54003281556404203</v>
      </c>
    </row>
    <row r="21" spans="1:16" x14ac:dyDescent="0.25">
      <c r="A21" t="s">
        <v>67</v>
      </c>
      <c r="B21" t="s">
        <v>69</v>
      </c>
      <c r="C21">
        <v>2</v>
      </c>
      <c r="D21" t="s">
        <v>120</v>
      </c>
      <c r="E21" t="s">
        <v>113</v>
      </c>
      <c r="F21" t="s">
        <v>77</v>
      </c>
      <c r="G21">
        <v>17015</v>
      </c>
      <c r="H21">
        <v>0</v>
      </c>
      <c r="I21" t="str">
        <f>OutputTable[[#This Row],[ProjectName]]&amp;OutputTable[[#This Row],[Name]]&amp;OutputTable[[#This Row],[Type]]&amp;OutputTable[[#This Row],[Source]]</f>
        <v>Unnamed ProjectNewPart.NumberInNumber InEntity</v>
      </c>
      <c r="J21" cm="1">
        <f t="array" ref="J21">MAX(IF((ProjectInfoTable[ProjectName]=OutputTable[[#This Row],[ProjectName]]),(ProjectInfoTable[ProjectName]=OutputTable[[#This Row],[ProjectName]])*ProjectInfoTable[NumberOfReplications]))</f>
        <v>10</v>
      </c>
      <c r="K21" cm="1">
        <f t="array" ref="K21">IFERROR(AVERAGE(IF((OutputTable[GroupByKey]=OutputTable[[#This Row],[GroupByKey]]),(OutputTable[GroupByKey]=OutputTable[[#This Row],[GroupByKey]])*OutputTable[RecordedValue])),0)</f>
        <v>16948.3</v>
      </c>
      <c r="L21" cm="1">
        <f t="array" ref="L21">IFERROR(_xlfn.STDEV.S(IF((OutputTable[GroupByKey]=OutputTable[[#This Row],[GroupByKey]]),(OutputTable[GroupByKey]=OutputTable[[#This Row],[GroupByKey]])*OutputTable[RecordedValue])),0)</f>
        <v>183.31033189042506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131.13231185359012</v>
      </c>
      <c r="O21" cm="1">
        <f t="array" ref="O21">MIN(IF((OutputTable[GroupByKey]=OutputTable[[#This Row],[GroupByKey]]),(OutputTable[GroupByKey]=OutputTable[[#This Row],[GroupByKey]])*OutputTable[RecordedValue]))</f>
        <v>16656</v>
      </c>
      <c r="P21" cm="1">
        <f t="array" ref="P21">MAX(IF((OutputTable[GroupByKey]=OutputTable[[#This Row],[GroupByKey]]),(OutputTable[GroupByKey]=OutputTable[[#This Row],[GroupByKey]])*OutputTable[RecordedValue]))</f>
        <v>17189</v>
      </c>
    </row>
    <row r="22" spans="1:16" x14ac:dyDescent="0.25">
      <c r="A22" t="s">
        <v>67</v>
      </c>
      <c r="B22" t="s">
        <v>69</v>
      </c>
      <c r="C22">
        <v>2</v>
      </c>
      <c r="D22" t="s">
        <v>121</v>
      </c>
      <c r="E22" t="s">
        <v>115</v>
      </c>
      <c r="F22" t="s">
        <v>77</v>
      </c>
      <c r="G22">
        <v>17011</v>
      </c>
      <c r="H22">
        <v>0</v>
      </c>
      <c r="I22" t="str">
        <f>OutputTable[[#This Row],[ProjectName]]&amp;OutputTable[[#This Row],[Name]]&amp;OutputTable[[#This Row],[Type]]&amp;OutputTable[[#This Row],[Source]]</f>
        <v>Unnamed ProjectNewPart.NumberOutNumber OutEntity</v>
      </c>
      <c r="J22" cm="1">
        <f t="array" ref="J22">MAX(IF((ProjectInfoTable[ProjectName]=OutputTable[[#This Row],[ProjectName]]),(ProjectInfoTable[ProjectName]=OutputTable[[#This Row],[ProjectName]])*ProjectInfoTable[NumberOfReplications]))</f>
        <v>10</v>
      </c>
      <c r="K22" cm="1">
        <f t="array" ref="K22">IFERROR(AVERAGE(IF((OutputTable[GroupByKey]=OutputTable[[#This Row],[GroupByKey]]),(OutputTable[GroupByKey]=OutputTable[[#This Row],[GroupByKey]])*OutputTable[RecordedValue])),0)</f>
        <v>16948.099999999999</v>
      </c>
      <c r="L22" cm="1">
        <f t="array" ref="L22">IFERROR(_xlfn.STDEV.S(IF((OutputTable[GroupByKey]=OutputTable[[#This Row],[GroupByKey]]),(OutputTable[GroupByKey]=OutputTable[[#This Row],[GroupByKey]])*OutputTable[RecordedValue])),0)</f>
        <v>184.16022613172714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131.74028956845027</v>
      </c>
      <c r="O22" cm="1">
        <f t="array" ref="O22">MIN(IF((OutputTable[GroupByKey]=OutputTable[[#This Row],[GroupByKey]]),(OutputTable[GroupByKey]=OutputTable[[#This Row],[GroupByKey]])*OutputTable[RecordedValue]))</f>
        <v>16656</v>
      </c>
      <c r="P22" cm="1">
        <f t="array" ref="P22">MAX(IF((OutputTable[GroupByKey]=OutputTable[[#This Row],[GroupByKey]]),(OutputTable[GroupByKey]=OutputTable[[#This Row],[GroupByKey]])*OutputTable[RecordedValue]))</f>
        <v>17191</v>
      </c>
    </row>
    <row r="23" spans="1:16" x14ac:dyDescent="0.25">
      <c r="A23" t="s">
        <v>67</v>
      </c>
      <c r="B23" t="s">
        <v>69</v>
      </c>
      <c r="C23">
        <v>2</v>
      </c>
      <c r="D23" t="s">
        <v>122</v>
      </c>
      <c r="E23" t="s">
        <v>113</v>
      </c>
      <c r="F23" t="s">
        <v>77</v>
      </c>
      <c r="G23">
        <v>39192</v>
      </c>
      <c r="H23">
        <v>0</v>
      </c>
      <c r="I23" t="str">
        <f>OutputTable[[#This Row],[ProjectName]]&amp;OutputTable[[#This Row],[Name]]&amp;OutputTable[[#This Row],[Type]]&amp;OutputTable[[#This Row],[Source]]</f>
        <v>Unnamed ProjectOldPart.NumberInNumber InEntity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10</v>
      </c>
      <c r="K23" cm="1">
        <f t="array" ref="K23">IFERROR(AVERAGE(IF((OutputTable[GroupByKey]=OutputTable[[#This Row],[GroupByKey]]),(OutputTable[GroupByKey]=OutputTable[[#This Row],[GroupByKey]])*OutputTable[RecordedValue])),0)</f>
        <v>39113.599999999999</v>
      </c>
      <c r="L23" cm="1">
        <f t="array" ref="L23">IFERROR(_xlfn.STDEV.S(IF((OutputTable[GroupByKey]=OutputTable[[#This Row],[GroupByKey]]),(OutputTable[GroupByKey]=OutputTable[[#This Row],[GroupByKey]])*OutputTable[RecordedValue])),0)</f>
        <v>260.00051282000709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185.9931624017064</v>
      </c>
      <c r="O23" cm="1">
        <f t="array" ref="O23">MIN(IF((OutputTable[GroupByKey]=OutputTable[[#This Row],[GroupByKey]]),(OutputTable[GroupByKey]=OutputTable[[#This Row],[GroupByKey]])*OutputTable[RecordedValue]))</f>
        <v>38586</v>
      </c>
      <c r="P23" cm="1">
        <f t="array" ref="P23">MAX(IF((OutputTable[GroupByKey]=OutputTable[[#This Row],[GroupByKey]]),(OutputTable[GroupByKey]=OutputTable[[#This Row],[GroupByKey]])*OutputTable[RecordedValue]))</f>
        <v>39514</v>
      </c>
    </row>
    <row r="24" spans="1:16" x14ac:dyDescent="0.25">
      <c r="A24" t="s">
        <v>67</v>
      </c>
      <c r="B24" t="s">
        <v>69</v>
      </c>
      <c r="C24">
        <v>2</v>
      </c>
      <c r="D24" t="s">
        <v>123</v>
      </c>
      <c r="E24" t="s">
        <v>115</v>
      </c>
      <c r="F24" t="s">
        <v>77</v>
      </c>
      <c r="G24">
        <v>39189</v>
      </c>
      <c r="H24">
        <v>0</v>
      </c>
      <c r="I24" t="str">
        <f>OutputTable[[#This Row],[ProjectName]]&amp;OutputTable[[#This Row],[Name]]&amp;OutputTable[[#This Row],[Type]]&amp;OutputTable[[#This Row],[Source]]</f>
        <v>Unnamed ProjectOldPart.NumberOutNumber OutEntity</v>
      </c>
      <c r="J24" cm="1">
        <f t="array" ref="J24">MAX(IF((ProjectInfoTable[ProjectName]=OutputTable[[#This Row],[ProjectName]]),(ProjectInfoTable[ProjectName]=OutputTable[[#This Row],[ProjectName]])*ProjectInfoTable[NumberOfReplications]))</f>
        <v>10</v>
      </c>
      <c r="K24" cm="1">
        <f t="array" ref="K24">IFERROR(AVERAGE(IF((OutputTable[GroupByKey]=OutputTable[[#This Row],[GroupByKey]]),(OutputTable[GroupByKey]=OutputTable[[#This Row],[GroupByKey]])*OutputTable[RecordedValue])),0)</f>
        <v>39114.6</v>
      </c>
      <c r="L24" cm="1">
        <f t="array" ref="L24">IFERROR(_xlfn.STDEV.S(IF((OutputTable[GroupByKey]=OutputTable[[#This Row],[GroupByKey]]),(OutputTable[GroupByKey]=OutputTable[[#This Row],[GroupByKey]])*OutputTable[RecordedValue])),0)</f>
        <v>258.98871704295448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185.26936730515985</v>
      </c>
      <c r="O24" cm="1">
        <f t="array" ref="O24">MIN(IF((OutputTable[GroupByKey]=OutputTable[[#This Row],[GroupByKey]]),(OutputTable[GroupByKey]=OutputTable[[#This Row],[GroupByKey]])*OutputTable[RecordedValue]))</f>
        <v>38588</v>
      </c>
      <c r="P24" cm="1">
        <f t="array" ref="P24">MAX(IF((OutputTable[GroupByKey]=OutputTable[[#This Row],[GroupByKey]]),(OutputTable[GroupByKey]=OutputTable[[#This Row],[GroupByKey]])*OutputTable[RecordedValue]))</f>
        <v>39510</v>
      </c>
    </row>
    <row r="25" spans="1:16" x14ac:dyDescent="0.25">
      <c r="A25" t="s">
        <v>67</v>
      </c>
      <c r="B25" t="s">
        <v>69</v>
      </c>
      <c r="C25">
        <v>2</v>
      </c>
      <c r="D25" t="s">
        <v>124</v>
      </c>
      <c r="E25" t="s">
        <v>117</v>
      </c>
      <c r="F25" t="s">
        <v>106</v>
      </c>
      <c r="G25">
        <v>19619</v>
      </c>
      <c r="H25">
        <v>0</v>
      </c>
      <c r="I25" t="str">
        <f>OutputTable[[#This Row],[ProjectName]]&amp;OutputTable[[#This Row],[Name]]&amp;OutputTable[[#This Row],[Type]]&amp;OutputTable[[#This Row],[Source]]</f>
        <v>Unnamed ProjectPACKER.NumberSeizedTotal Number SeizedResource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10</v>
      </c>
      <c r="K25" cm="1">
        <f t="array" ref="K25">IFERROR(AVERAGE(IF((OutputTable[GroupByKey]=OutputTable[[#This Row],[GroupByKey]]),(OutputTable[GroupByKey]=OutputTable[[#This Row],[GroupByKey]])*OutputTable[RecordedValue])),0)</f>
        <v>19615.8</v>
      </c>
      <c r="L25" cm="1">
        <f t="array" ref="L25">IFERROR(_xlfn.STDEV.S(IF((OutputTable[GroupByKey]=OutputTable[[#This Row],[GroupByKey]]),(OutputTable[GroupByKey]=OutputTable[[#This Row],[GroupByKey]])*OutputTable[RecordedValue])),0)</f>
        <v>165.88670832830459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118.66820241139406</v>
      </c>
      <c r="O25" cm="1">
        <f t="array" ref="O25">MIN(IF((OutputTable[GroupByKey]=OutputTable[[#This Row],[GroupByKey]]),(OutputTable[GroupByKey]=OutputTable[[#This Row],[GroupByKey]])*OutputTable[RecordedValue]))</f>
        <v>19409</v>
      </c>
      <c r="P25" cm="1">
        <f t="array" ref="P25">MAX(IF((OutputTable[GroupByKey]=OutputTable[[#This Row],[GroupByKey]]),(OutputTable[GroupByKey]=OutputTable[[#This Row],[GroupByKey]])*OutputTable[RecordedValue]))</f>
        <v>19914</v>
      </c>
    </row>
    <row r="26" spans="1:16" x14ac:dyDescent="0.25">
      <c r="A26" t="s">
        <v>67</v>
      </c>
      <c r="B26" t="s">
        <v>69</v>
      </c>
      <c r="C26">
        <v>2</v>
      </c>
      <c r="D26" t="s">
        <v>125</v>
      </c>
      <c r="E26" t="s">
        <v>119</v>
      </c>
      <c r="F26" t="s">
        <v>106</v>
      </c>
      <c r="G26">
        <v>0.81535143894389805</v>
      </c>
      <c r="H26">
        <v>0</v>
      </c>
      <c r="I26" t="str">
        <f>OutputTable[[#This Row],[ProjectName]]&amp;OutputTable[[#This Row],[Name]]&amp;OutputTable[[#This Row],[Type]]&amp;OutputTable[[#This Row],[Source]]</f>
        <v>Unnamed ProjectPACKER.ScheduledUtilizationScheduled UtilizationResource</v>
      </c>
      <c r="J26" cm="1">
        <f t="array" ref="J26">MAX(IF((ProjectInfoTable[ProjectName]=OutputTable[[#This Row],[ProjectName]]),(ProjectInfoTable[ProjectName]=OutputTable[[#This Row],[ProjectName]])*ProjectInfoTable[NumberOfReplications]))</f>
        <v>10</v>
      </c>
      <c r="K26" cm="1">
        <f t="array" ref="K26">IFERROR(AVERAGE(IF((OutputTable[GroupByKey]=OutputTable[[#This Row],[GroupByKey]]),(OutputTable[GroupByKey]=OutputTable[[#This Row],[GroupByKey]])*OutputTable[RecordedValue])),0)</f>
        <v>0.81557194281027567</v>
      </c>
      <c r="L26" cm="1">
        <f t="array" ref="L26">IFERROR(_xlfn.STDEV.S(IF((OutputTable[GroupByKey]=OutputTable[[#This Row],[GroupByKey]]),(OutputTable[GroupByKey]=OutputTable[[#This Row],[GroupByKey]])*OutputTable[RecordedValue])),0)</f>
        <v>6.9416851287817331E-3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4.9657823959478754E-3</v>
      </c>
      <c r="O26" cm="1">
        <f t="array" ref="O26">MIN(IF((OutputTable[GroupByKey]=OutputTable[[#This Row],[GroupByKey]]),(OutputTable[GroupByKey]=OutputTable[[#This Row],[GroupByKey]])*OutputTable[RecordedValue]))</f>
        <v>0.80675605099888203</v>
      </c>
      <c r="P26" cm="1">
        <f t="array" ref="P26">MAX(IF((OutputTable[GroupByKey]=OutputTable[[#This Row],[GroupByKey]]),(OutputTable[GroupByKey]=OutputTable[[#This Row],[GroupByKey]])*OutputTable[RecordedValue]))</f>
        <v>0.82818429749007605</v>
      </c>
    </row>
    <row r="27" spans="1:16" x14ac:dyDescent="0.25">
      <c r="A27" t="s">
        <v>67</v>
      </c>
      <c r="B27" t="s">
        <v>69</v>
      </c>
      <c r="C27">
        <v>2</v>
      </c>
      <c r="D27" t="s">
        <v>126</v>
      </c>
      <c r="E27" t="s">
        <v>117</v>
      </c>
      <c r="F27" t="s">
        <v>106</v>
      </c>
      <c r="G27">
        <v>13722</v>
      </c>
      <c r="H27">
        <v>0</v>
      </c>
      <c r="I27" t="str">
        <f>OutputTable[[#This Row],[ProjectName]]&amp;OutputTable[[#This Row],[Name]]&amp;OutputTable[[#This Row],[Type]]&amp;OutputTable[[#This Row],[Source]]</f>
        <v>Unnamed ProjectPAINTER.NumberSeizedTotal Number SeizedResource</v>
      </c>
      <c r="J27" cm="1">
        <f t="array" ref="J27">MAX(IF((ProjectInfoTable[ProjectName]=OutputTable[[#This Row],[ProjectName]]),(ProjectInfoTable[ProjectName]=OutputTable[[#This Row],[ProjectName]])*ProjectInfoTable[NumberOfReplications]))</f>
        <v>10</v>
      </c>
      <c r="K27" cm="1">
        <f t="array" ref="K27">IFERROR(AVERAGE(IF((OutputTable[GroupByKey]=OutputTable[[#This Row],[GroupByKey]]),(OutputTable[GroupByKey]=OutputTable[[#This Row],[GroupByKey]])*OutputTable[RecordedValue])),0)</f>
        <v>13722.6</v>
      </c>
      <c r="L27" cm="1">
        <f t="array" ref="L27">IFERROR(_xlfn.STDEV.S(IF((OutputTable[GroupByKey]=OutputTable[[#This Row],[GroupByKey]]),(OutputTable[GroupByKey]=OutputTable[[#This Row],[GroupByKey]])*OutputTable[RecordedValue])),0)</f>
        <v>113.64682133698241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81.298038485024648</v>
      </c>
      <c r="O27" cm="1">
        <f t="array" ref="O27">MIN(IF((OutputTable[GroupByKey]=OutputTable[[#This Row],[GroupByKey]]),(OutputTable[GroupByKey]=OutputTable[[#This Row],[GroupByKey]])*OutputTable[RecordedValue]))</f>
        <v>13496</v>
      </c>
      <c r="P27" cm="1">
        <f t="array" ref="P27">MAX(IF((OutputTable[GroupByKey]=OutputTable[[#This Row],[GroupByKey]]),(OutputTable[GroupByKey]=OutputTable[[#This Row],[GroupByKey]])*OutputTable[RecordedValue]))</f>
        <v>13871</v>
      </c>
    </row>
    <row r="28" spans="1:16" x14ac:dyDescent="0.25">
      <c r="A28" t="s">
        <v>67</v>
      </c>
      <c r="B28" t="s">
        <v>69</v>
      </c>
      <c r="C28">
        <v>2</v>
      </c>
      <c r="D28" t="s">
        <v>127</v>
      </c>
      <c r="E28" t="s">
        <v>119</v>
      </c>
      <c r="F28" t="s">
        <v>106</v>
      </c>
      <c r="G28">
        <v>0.54952995359370704</v>
      </c>
      <c r="H28">
        <v>0</v>
      </c>
      <c r="I28" t="str">
        <f>OutputTable[[#This Row],[ProjectName]]&amp;OutputTable[[#This Row],[Name]]&amp;OutputTable[[#This Row],[Type]]&amp;OutputTable[[#This Row],[Source]]</f>
        <v>Unnamed ProjectPAINTER.ScheduledUtilizationScheduled UtilizationResource</v>
      </c>
      <c r="J28" cm="1">
        <f t="array" ref="J28">MAX(IF((ProjectInfoTable[ProjectName]=OutputTable[[#This Row],[ProjectName]]),(ProjectInfoTable[ProjectName]=OutputTable[[#This Row],[ProjectName]])*ProjectInfoTable[NumberOfReplications]))</f>
        <v>10</v>
      </c>
      <c r="K28" cm="1">
        <f t="array" ref="K28">IFERROR(AVERAGE(IF((OutputTable[GroupByKey]=OutputTable[[#This Row],[GroupByKey]]),(OutputTable[GroupByKey]=OutputTable[[#This Row],[GroupByKey]])*OutputTable[RecordedValue])),0)</f>
        <v>0.54938142053560801</v>
      </c>
      <c r="L28" cm="1">
        <f t="array" ref="L28">IFERROR(_xlfn.STDEV.S(IF((OutputTable[GroupByKey]=OutputTable[[#This Row],[GroupByKey]]),(OutputTable[GroupByKey]=OutputTable[[#This Row],[GroupByKey]])*OutputTable[RecordedValue])),0)</f>
        <v>4.5196387022068685E-3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3.2331547581159752E-3</v>
      </c>
      <c r="O28" cm="1">
        <f t="array" ref="O28">MIN(IF((OutputTable[GroupByKey]=OutputTable[[#This Row],[GroupByKey]]),(OutputTable[GroupByKey]=OutputTable[[#This Row],[GroupByKey]])*OutputTable[RecordedValue]))</f>
        <v>0.54030874063430001</v>
      </c>
      <c r="P28" cm="1">
        <f t="array" ref="P28">MAX(IF((OutputTable[GroupByKey]=OutputTable[[#This Row],[GroupByKey]]),(OutputTable[GroupByKey]=OutputTable[[#This Row],[GroupByKey]])*OutputTable[RecordedValue]))</f>
        <v>0.55566835138728998</v>
      </c>
    </row>
    <row r="29" spans="1:16" x14ac:dyDescent="0.25">
      <c r="A29" t="s">
        <v>67</v>
      </c>
      <c r="B29" t="s">
        <v>69</v>
      </c>
      <c r="C29">
        <v>2</v>
      </c>
      <c r="D29" t="s">
        <v>128</v>
      </c>
      <c r="E29" t="s">
        <v>115</v>
      </c>
      <c r="F29" t="s">
        <v>129</v>
      </c>
      <c r="G29">
        <v>56200</v>
      </c>
      <c r="H29">
        <v>0</v>
      </c>
      <c r="I29" t="str">
        <f>OutputTable[[#This Row],[ProjectName]]&amp;OutputTable[[#This Row],[Name]]&amp;OutputTable[[#This Row],[Type]]&amp;OutputTable[[#This Row],[Source]]</f>
        <v>Unnamed ProjectSystem.NumberOutNumber OutSystem</v>
      </c>
      <c r="J29" cm="1">
        <f t="array" ref="J29">MAX(IF((ProjectInfoTable[ProjectName]=OutputTable[[#This Row],[ProjectName]]),(ProjectInfoTable[ProjectName]=OutputTable[[#This Row],[ProjectName]])*ProjectInfoTable[NumberOfReplications]))</f>
        <v>10</v>
      </c>
      <c r="K29" cm="1">
        <f t="array" ref="K29">IFERROR(AVERAGE(IF((OutputTable[GroupByKey]=OutputTable[[#This Row],[GroupByKey]]),(OutputTable[GroupByKey]=OutputTable[[#This Row],[GroupByKey]])*OutputTable[RecordedValue])),0)</f>
        <v>56062.7</v>
      </c>
      <c r="L29" cm="1">
        <f t="array" ref="L29">IFERROR(_xlfn.STDEV.S(IF((OutputTable[GroupByKey]=OutputTable[[#This Row],[GroupByKey]]),(OutputTable[GroupByKey]=OutputTable[[#This Row],[GroupByKey]])*OutputTable[RecordedValue])),0)</f>
        <v>281.95036994320668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201.69514427985661</v>
      </c>
      <c r="O29" cm="1">
        <f t="array" ref="O29">MIN(IF((OutputTable[GroupByKey]=OutputTable[[#This Row],[GroupByKey]]),(OutputTable[GroupByKey]=OutputTable[[#This Row],[GroupByKey]])*OutputTable[RecordedValue]))</f>
        <v>55662</v>
      </c>
      <c r="P29" cm="1">
        <f t="array" ref="P29">MAX(IF((OutputTable[GroupByKey]=OutputTable[[#This Row],[GroupByKey]]),(OutputTable[GroupByKey]=OutputTable[[#This Row],[GroupByKey]])*OutputTable[RecordedValue]))</f>
        <v>56611</v>
      </c>
    </row>
    <row r="30" spans="1:16" x14ac:dyDescent="0.25">
      <c r="A30" t="s">
        <v>67</v>
      </c>
      <c r="B30" t="s">
        <v>69</v>
      </c>
      <c r="C30">
        <v>2</v>
      </c>
      <c r="D30" t="s">
        <v>130</v>
      </c>
      <c r="E30" t="s">
        <v>117</v>
      </c>
      <c r="F30" t="s">
        <v>106</v>
      </c>
      <c r="G30">
        <v>19621</v>
      </c>
      <c r="H30">
        <v>0</v>
      </c>
      <c r="I30" t="str">
        <f>OutputTable[[#This Row],[ProjectName]]&amp;OutputTable[[#This Row],[Name]]&amp;OutputTable[[#This Row],[Type]]&amp;OutputTable[[#This Row],[Source]]</f>
        <v>Unnamed ProjectWORKER.NumberSeizedTotal Number SeizedResource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10</v>
      </c>
      <c r="K30" cm="1">
        <f t="array" ref="K30">IFERROR(AVERAGE(IF((OutputTable[GroupByKey]=OutputTable[[#This Row],[GroupByKey]]),(OutputTable[GroupByKey]=OutputTable[[#This Row],[GroupByKey]])*OutputTable[RecordedValue])),0)</f>
        <v>19616</v>
      </c>
      <c r="L30" cm="1">
        <f t="array" ref="L30">IFERROR(_xlfn.STDEV.S(IF((OutputTable[GroupByKey]=OutputTable[[#This Row],[GroupByKey]]),(OutputTable[GroupByKey]=OutputTable[[#This Row],[GroupByKey]])*OutputTable[RecordedValue])),0)</f>
        <v>166.31629839288485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118.97551263082794</v>
      </c>
      <c r="O30" cm="1">
        <f t="array" ref="O30">MIN(IF((OutputTable[GroupByKey]=OutputTable[[#This Row],[GroupByKey]]),(OutputTable[GroupByKey]=OutputTable[[#This Row],[GroupByKey]])*OutputTable[RecordedValue]))</f>
        <v>19409</v>
      </c>
      <c r="P30" cm="1">
        <f t="array" ref="P30">MAX(IF((OutputTable[GroupByKey]=OutputTable[[#This Row],[GroupByKey]]),(OutputTable[GroupByKey]=OutputTable[[#This Row],[GroupByKey]])*OutputTable[RecordedValue]))</f>
        <v>19915</v>
      </c>
    </row>
    <row r="31" spans="1:16" x14ac:dyDescent="0.25">
      <c r="A31" t="s">
        <v>67</v>
      </c>
      <c r="B31" t="s">
        <v>69</v>
      </c>
      <c r="C31">
        <v>2</v>
      </c>
      <c r="D31" t="s">
        <v>131</v>
      </c>
      <c r="E31" t="s">
        <v>119</v>
      </c>
      <c r="F31" t="s">
        <v>106</v>
      </c>
      <c r="G31">
        <v>0.82062387365982303</v>
      </c>
      <c r="H31">
        <v>0</v>
      </c>
      <c r="I31" t="str">
        <f>OutputTable[[#This Row],[ProjectName]]&amp;OutputTable[[#This Row],[Name]]&amp;OutputTable[[#This Row],[Type]]&amp;OutputTable[[#This Row],[Source]]</f>
        <v>Unnamed ProjectWORKER.ScheduledUtilizationScheduled UtilizationResource</v>
      </c>
      <c r="J31" cm="1">
        <f t="array" ref="J31">MAX(IF((ProjectInfoTable[ProjectName]=OutputTable[[#This Row],[ProjectName]]),(ProjectInfoTable[ProjectName]=OutputTable[[#This Row],[ProjectName]])*ProjectInfoTable[NumberOfReplications]))</f>
        <v>10</v>
      </c>
      <c r="K31" cm="1">
        <f t="array" ref="K31">IFERROR(AVERAGE(IF((OutputTable[GroupByKey]=OutputTable[[#This Row],[GroupByKey]]),(OutputTable[GroupByKey]=OutputTable[[#This Row],[GroupByKey]])*OutputTable[RecordedValue])),0)</f>
        <v>0.82030090075893936</v>
      </c>
      <c r="L31" cm="1">
        <f t="array" ref="L31">IFERROR(_xlfn.STDEV.S(IF((OutputTable[GroupByKey]=OutputTable[[#This Row],[GroupByKey]]),(OutputTable[GroupByKey]=OutputTable[[#This Row],[GroupByKey]])*OutputTable[RecordedValue])),0)</f>
        <v>6.9684713894533476E-3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4.9849441325044447E-3</v>
      </c>
      <c r="O31" cm="1">
        <f t="array" ref="O31">MIN(IF((OutputTable[GroupByKey]=OutputTable[[#This Row],[GroupByKey]]),(OutputTable[GroupByKey]=OutputTable[[#This Row],[GroupByKey]])*OutputTable[RecordedValue]))</f>
        <v>0.81151215762737705</v>
      </c>
      <c r="P31" cm="1">
        <f t="array" ref="P31">MAX(IF((OutputTable[GroupByKey]=OutputTable[[#This Row],[GroupByKey]]),(OutputTable[GroupByKey]=OutputTable[[#This Row],[GroupByKey]])*OutputTable[RecordedValue]))</f>
        <v>0.832837691284112</v>
      </c>
    </row>
    <row r="32" spans="1:16" x14ac:dyDescent="0.25">
      <c r="A32" t="s">
        <v>67</v>
      </c>
      <c r="B32" t="s">
        <v>69</v>
      </c>
      <c r="C32">
        <v>3</v>
      </c>
      <c r="D32" t="s">
        <v>112</v>
      </c>
      <c r="E32" t="s">
        <v>113</v>
      </c>
      <c r="F32" t="s">
        <v>77</v>
      </c>
      <c r="G32">
        <v>19410</v>
      </c>
      <c r="H32">
        <v>0</v>
      </c>
      <c r="I32" t="str">
        <f>OutputTable[[#This Row],[ProjectName]]&amp;OutputTable[[#This Row],[Name]]&amp;OutputTable[[#This Row],[Type]]&amp;OutputTable[[#This Row],[Source]]</f>
        <v>Unnamed ProjectEntity 1.NumberInNumber InEntity</v>
      </c>
      <c r="J32" cm="1">
        <f t="array" ref="J32">MAX(IF((ProjectInfoTable[ProjectName]=OutputTable[[#This Row],[ProjectName]]),(ProjectInfoTable[ProjectName]=OutputTable[[#This Row],[ProjectName]])*ProjectInfoTable[NumberOfReplications]))</f>
        <v>10</v>
      </c>
      <c r="K32" cm="1">
        <f t="array" ref="K32">IFERROR(AVERAGE(IF((OutputTable[GroupByKey]=OutputTable[[#This Row],[GroupByKey]]),(OutputTable[GroupByKey]=OutputTable[[#This Row],[GroupByKey]])*OutputTable[RecordedValue])),0)</f>
        <v>19615.599999999999</v>
      </c>
      <c r="L32" cm="1">
        <f t="array" ref="L32">IFERROR(_xlfn.STDEV.S(IF((OutputTable[GroupByKey]=OutputTable[[#This Row],[GroupByKey]]),(OutputTable[GroupByKey]=OutputTable[[#This Row],[GroupByKey]])*OutputTable[RecordedValue])),0)</f>
        <v>165.97134960254101</v>
      </c>
      <c r="M32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118.72875113144924</v>
      </c>
      <c r="O32" cm="1">
        <f t="array" ref="O32">MIN(IF((OutputTable[GroupByKey]=OutputTable[[#This Row],[GroupByKey]]),(OutputTable[GroupByKey]=OutputTable[[#This Row],[GroupByKey]])*OutputTable[RecordedValue]))</f>
        <v>19410</v>
      </c>
      <c r="P32" cm="1">
        <f t="array" ref="P32">MAX(IF((OutputTable[GroupByKey]=OutputTable[[#This Row],[GroupByKey]]),(OutputTable[GroupByKey]=OutputTable[[#This Row],[GroupByKey]])*OutputTable[RecordedValue]))</f>
        <v>19914</v>
      </c>
    </row>
    <row r="33" spans="1:16" x14ac:dyDescent="0.25">
      <c r="A33" t="s">
        <v>67</v>
      </c>
      <c r="B33" t="s">
        <v>69</v>
      </c>
      <c r="C33">
        <v>3</v>
      </c>
      <c r="D33" t="s">
        <v>114</v>
      </c>
      <c r="E33" t="s">
        <v>115</v>
      </c>
      <c r="F33" t="s">
        <v>77</v>
      </c>
      <c r="G33">
        <v>19410</v>
      </c>
      <c r="H33">
        <v>0</v>
      </c>
      <c r="I33" t="str">
        <f>OutputTable[[#This Row],[ProjectName]]&amp;OutputTable[[#This Row],[Name]]&amp;OutputTable[[#This Row],[Type]]&amp;OutputTable[[#This Row],[Source]]</f>
        <v>Unnamed ProjectEntity 1.NumberOutNumber OutEntity</v>
      </c>
      <c r="J33" cm="1">
        <f t="array" ref="J33">MAX(IF((ProjectInfoTable[ProjectName]=OutputTable[[#This Row],[ProjectName]]),(ProjectInfoTable[ProjectName]=OutputTable[[#This Row],[ProjectName]])*ProjectInfoTable[NumberOfReplications]))</f>
        <v>10</v>
      </c>
      <c r="K33" cm="1">
        <f t="array" ref="K33">IFERROR(AVERAGE(IF((OutputTable[GroupByKey]=OutputTable[[#This Row],[GroupByKey]]),(OutputTable[GroupByKey]=OutputTable[[#This Row],[GroupByKey]])*OutputTable[RecordedValue])),0)</f>
        <v>19615.599999999999</v>
      </c>
      <c r="L33" cm="1">
        <f t="array" ref="L33">IFERROR(_xlfn.STDEV.S(IF((OutputTable[GroupByKey]=OutputTable[[#This Row],[GroupByKey]]),(OutputTable[GroupByKey]=OutputTable[[#This Row],[GroupByKey]])*OutputTable[RecordedValue])),0)</f>
        <v>165.97134960254101</v>
      </c>
      <c r="M33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118.72875113144924</v>
      </c>
      <c r="O33" cm="1">
        <f t="array" ref="O33">MIN(IF((OutputTable[GroupByKey]=OutputTable[[#This Row],[GroupByKey]]),(OutputTable[GroupByKey]=OutputTable[[#This Row],[GroupByKey]])*OutputTable[RecordedValue]))</f>
        <v>19410</v>
      </c>
      <c r="P33" cm="1">
        <f t="array" ref="P33">MAX(IF((OutputTable[GroupByKey]=OutputTable[[#This Row],[GroupByKey]]),(OutputTable[GroupByKey]=OutputTable[[#This Row],[GroupByKey]])*OutputTable[RecordedValue]))</f>
        <v>19914</v>
      </c>
    </row>
    <row r="34" spans="1:16" x14ac:dyDescent="0.25">
      <c r="A34" t="s">
        <v>67</v>
      </c>
      <c r="B34" t="s">
        <v>69</v>
      </c>
      <c r="C34">
        <v>3</v>
      </c>
      <c r="D34" t="s">
        <v>116</v>
      </c>
      <c r="E34" t="s">
        <v>117</v>
      </c>
      <c r="F34" t="s">
        <v>106</v>
      </c>
      <c r="G34">
        <v>5736</v>
      </c>
      <c r="H34">
        <v>0</v>
      </c>
      <c r="I34" t="str">
        <f>OutputTable[[#This Row],[ProjectName]]&amp;OutputTable[[#This Row],[Name]]&amp;OutputTable[[#This Row],[Type]]&amp;OutputTable[[#This Row],[Source]]</f>
        <v>Unnamed ProjectNEWPAINTER.NumberSeizedTotal Number SeizedResource</v>
      </c>
      <c r="J34" cm="1">
        <f t="array" ref="J34">MAX(IF((ProjectInfoTable[ProjectName]=OutputTable[[#This Row],[ProjectName]]),(ProjectInfoTable[ProjectName]=OutputTable[[#This Row],[ProjectName]])*ProjectInfoTable[NumberOfReplications]))</f>
        <v>10</v>
      </c>
      <c r="K34" cm="1">
        <f t="array" ref="K34">IFERROR(AVERAGE(IF((OutputTable[GroupByKey]=OutputTable[[#This Row],[GroupByKey]]),(OutputTable[GroupByKey]=OutputTable[[#This Row],[GroupByKey]])*OutputTable[RecordedValue])),0)</f>
        <v>5893</v>
      </c>
      <c r="L34" cm="1">
        <f t="array" ref="L34">IFERROR(_xlfn.STDEV.S(IF((OutputTable[GroupByKey]=OutputTable[[#This Row],[GroupByKey]]),(OutputTable[GroupByKey]=OutputTable[[#This Row],[GroupByKey]])*OutputTable[RecordedValue])),0)</f>
        <v>92.348374226199681</v>
      </c>
      <c r="M34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66.062047257875278</v>
      </c>
      <c r="O34" cm="1">
        <f t="array" ref="O34">MIN(IF((OutputTable[GroupByKey]=OutputTable[[#This Row],[GroupByKey]]),(OutputTable[GroupByKey]=OutputTable[[#This Row],[GroupByKey]])*OutputTable[RecordedValue]))</f>
        <v>5736</v>
      </c>
      <c r="P34" cm="1">
        <f t="array" ref="P34">MAX(IF((OutputTable[GroupByKey]=OutputTable[[#This Row],[GroupByKey]]),(OutputTable[GroupByKey]=OutputTable[[#This Row],[GroupByKey]])*OutputTable[RecordedValue]))</f>
        <v>6053</v>
      </c>
    </row>
    <row r="35" spans="1:16" x14ac:dyDescent="0.25">
      <c r="A35" t="s">
        <v>67</v>
      </c>
      <c r="B35" t="s">
        <v>69</v>
      </c>
      <c r="C35">
        <v>3</v>
      </c>
      <c r="D35" t="s">
        <v>118</v>
      </c>
      <c r="E35" t="s">
        <v>119</v>
      </c>
      <c r="F35" t="s">
        <v>106</v>
      </c>
      <c r="G35">
        <v>0.51150896826018899</v>
      </c>
      <c r="H35">
        <v>0</v>
      </c>
      <c r="I35" t="str">
        <f>OutputTable[[#This Row],[ProjectName]]&amp;OutputTable[[#This Row],[Name]]&amp;OutputTable[[#This Row],[Type]]&amp;OutputTable[[#This Row],[Source]]</f>
        <v>Unnamed ProjectNEWPAINTER.ScheduledUtilizationScheduled UtilizationResource</v>
      </c>
      <c r="J35" cm="1">
        <f t="array" ref="J35">MAX(IF((ProjectInfoTable[ProjectName]=OutputTable[[#This Row],[ProjectName]]),(ProjectInfoTable[ProjectName]=OutputTable[[#This Row],[ProjectName]])*ProjectInfoTable[NumberOfReplications]))</f>
        <v>10</v>
      </c>
      <c r="K35" cm="1">
        <f t="array" ref="K35">IFERROR(AVERAGE(IF((OutputTable[GroupByKey]=OutputTable[[#This Row],[GroupByKey]]),(OutputTable[GroupByKey]=OutputTable[[#This Row],[GroupByKey]])*OutputTable[RecordedValue])),0)</f>
        <v>0.52518723279433455</v>
      </c>
      <c r="L35" cm="1">
        <f t="array" ref="L35">IFERROR(_xlfn.STDEV.S(IF((OutputTable[GroupByKey]=OutputTable[[#This Row],[GroupByKey]]),(OutputTable[GroupByKey]=OutputTable[[#This Row],[GroupByKey]])*OutputTable[RecordedValue])),0)</f>
        <v>8.4087502405714581E-3</v>
      </c>
      <c r="M3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6.0152575551752803E-3</v>
      </c>
      <c r="O35" cm="1">
        <f t="array" ref="O35">MIN(IF((OutputTable[GroupByKey]=OutputTable[[#This Row],[GroupByKey]]),(OutputTable[GroupByKey]=OutputTable[[#This Row],[GroupByKey]])*OutputTable[RecordedValue]))</f>
        <v>0.51150896826018899</v>
      </c>
      <c r="P35" cm="1">
        <f t="array" ref="P35">MAX(IF((OutputTable[GroupByKey]=OutputTable[[#This Row],[GroupByKey]]),(OutputTable[GroupByKey]=OutputTable[[#This Row],[GroupByKey]])*OutputTable[RecordedValue]))</f>
        <v>0.54003281556404203</v>
      </c>
    </row>
    <row r="36" spans="1:16" x14ac:dyDescent="0.25">
      <c r="A36" t="s">
        <v>67</v>
      </c>
      <c r="B36" t="s">
        <v>69</v>
      </c>
      <c r="C36">
        <v>3</v>
      </c>
      <c r="D36" t="s">
        <v>120</v>
      </c>
      <c r="E36" t="s">
        <v>113</v>
      </c>
      <c r="F36" t="s">
        <v>77</v>
      </c>
      <c r="G36">
        <v>16656</v>
      </c>
      <c r="H36">
        <v>0</v>
      </c>
      <c r="I36" t="str">
        <f>OutputTable[[#This Row],[ProjectName]]&amp;OutputTable[[#This Row],[Name]]&amp;OutputTable[[#This Row],[Type]]&amp;OutputTable[[#This Row],[Source]]</f>
        <v>Unnamed ProjectNewPart.NumberInNumber InEntity</v>
      </c>
      <c r="J36" cm="1">
        <f t="array" ref="J36">MAX(IF((ProjectInfoTable[ProjectName]=OutputTable[[#This Row],[ProjectName]]),(ProjectInfoTable[ProjectName]=OutputTable[[#This Row],[ProjectName]])*ProjectInfoTable[NumberOfReplications]))</f>
        <v>10</v>
      </c>
      <c r="K36" cm="1">
        <f t="array" ref="K36">IFERROR(AVERAGE(IF((OutputTable[GroupByKey]=OutputTable[[#This Row],[GroupByKey]]),(OutputTable[GroupByKey]=OutputTable[[#This Row],[GroupByKey]])*OutputTable[RecordedValue])),0)</f>
        <v>16948.3</v>
      </c>
      <c r="L36" cm="1">
        <f t="array" ref="L36">IFERROR(_xlfn.STDEV.S(IF((OutputTable[GroupByKey]=OutputTable[[#This Row],[GroupByKey]]),(OutputTable[GroupByKey]=OutputTable[[#This Row],[GroupByKey]])*OutputTable[RecordedValue])),0)</f>
        <v>183.31033189042506</v>
      </c>
      <c r="M36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131.13231185359012</v>
      </c>
      <c r="O36" cm="1">
        <f t="array" ref="O36">MIN(IF((OutputTable[GroupByKey]=OutputTable[[#This Row],[GroupByKey]]),(OutputTable[GroupByKey]=OutputTable[[#This Row],[GroupByKey]])*OutputTable[RecordedValue]))</f>
        <v>16656</v>
      </c>
      <c r="P36" cm="1">
        <f t="array" ref="P36">MAX(IF((OutputTable[GroupByKey]=OutputTable[[#This Row],[GroupByKey]]),(OutputTable[GroupByKey]=OutputTable[[#This Row],[GroupByKey]])*OutputTable[RecordedValue]))</f>
        <v>17189</v>
      </c>
    </row>
    <row r="37" spans="1:16" x14ac:dyDescent="0.25">
      <c r="A37" t="s">
        <v>67</v>
      </c>
      <c r="B37" t="s">
        <v>69</v>
      </c>
      <c r="C37">
        <v>3</v>
      </c>
      <c r="D37" t="s">
        <v>121</v>
      </c>
      <c r="E37" t="s">
        <v>115</v>
      </c>
      <c r="F37" t="s">
        <v>77</v>
      </c>
      <c r="G37">
        <v>16656</v>
      </c>
      <c r="H37">
        <v>0</v>
      </c>
      <c r="I37" t="str">
        <f>OutputTable[[#This Row],[ProjectName]]&amp;OutputTable[[#This Row],[Name]]&amp;OutputTable[[#This Row],[Type]]&amp;OutputTable[[#This Row],[Source]]</f>
        <v>Unnamed ProjectNewPart.NumberOutNumber OutEntity</v>
      </c>
      <c r="J37" cm="1">
        <f t="array" ref="J37">MAX(IF((ProjectInfoTable[ProjectName]=OutputTable[[#This Row],[ProjectName]]),(ProjectInfoTable[ProjectName]=OutputTable[[#This Row],[ProjectName]])*ProjectInfoTable[NumberOfReplications]))</f>
        <v>10</v>
      </c>
      <c r="K37" cm="1">
        <f t="array" ref="K37">IFERROR(AVERAGE(IF((OutputTable[GroupByKey]=OutputTable[[#This Row],[GroupByKey]]),(OutputTable[GroupByKey]=OutputTable[[#This Row],[GroupByKey]])*OutputTable[RecordedValue])),0)</f>
        <v>16948.099999999999</v>
      </c>
      <c r="L37" cm="1">
        <f t="array" ref="L37">IFERROR(_xlfn.STDEV.S(IF((OutputTable[GroupByKey]=OutputTable[[#This Row],[GroupByKey]]),(OutputTable[GroupByKey]=OutputTable[[#This Row],[GroupByKey]])*OutputTable[RecordedValue])),0)</f>
        <v>184.16022613172714</v>
      </c>
      <c r="M37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131.74028956845027</v>
      </c>
      <c r="O37" cm="1">
        <f t="array" ref="O37">MIN(IF((OutputTable[GroupByKey]=OutputTable[[#This Row],[GroupByKey]]),(OutputTable[GroupByKey]=OutputTable[[#This Row],[GroupByKey]])*OutputTable[RecordedValue]))</f>
        <v>16656</v>
      </c>
      <c r="P37" cm="1">
        <f t="array" ref="P37">MAX(IF((OutputTable[GroupByKey]=OutputTable[[#This Row],[GroupByKey]]),(OutputTable[GroupByKey]=OutputTable[[#This Row],[GroupByKey]])*OutputTable[RecordedValue]))</f>
        <v>17191</v>
      </c>
    </row>
    <row r="38" spans="1:16" x14ac:dyDescent="0.25">
      <c r="A38" t="s">
        <v>67</v>
      </c>
      <c r="B38" t="s">
        <v>69</v>
      </c>
      <c r="C38">
        <v>3</v>
      </c>
      <c r="D38" t="s">
        <v>122</v>
      </c>
      <c r="E38" t="s">
        <v>113</v>
      </c>
      <c r="F38" t="s">
        <v>77</v>
      </c>
      <c r="G38">
        <v>39172</v>
      </c>
      <c r="H38">
        <v>0</v>
      </c>
      <c r="I38" t="str">
        <f>OutputTable[[#This Row],[ProjectName]]&amp;OutputTable[[#This Row],[Name]]&amp;OutputTable[[#This Row],[Type]]&amp;OutputTable[[#This Row],[Source]]</f>
        <v>Unnamed ProjectOldPart.NumberInNumber InEntity</v>
      </c>
      <c r="J38" cm="1">
        <f t="array" ref="J38">MAX(IF((ProjectInfoTable[ProjectName]=OutputTable[[#This Row],[ProjectName]]),(ProjectInfoTable[ProjectName]=OutputTable[[#This Row],[ProjectName]])*ProjectInfoTable[NumberOfReplications]))</f>
        <v>10</v>
      </c>
      <c r="K38" cm="1">
        <f t="array" ref="K38">IFERROR(AVERAGE(IF((OutputTable[GroupByKey]=OutputTable[[#This Row],[GroupByKey]]),(OutputTable[GroupByKey]=OutputTable[[#This Row],[GroupByKey]])*OutputTable[RecordedValue])),0)</f>
        <v>39113.599999999999</v>
      </c>
      <c r="L38" cm="1">
        <f t="array" ref="L38">IFERROR(_xlfn.STDEV.S(IF((OutputTable[GroupByKey]=OutputTable[[#This Row],[GroupByKey]]),(OutputTable[GroupByKey]=OutputTable[[#This Row],[GroupByKey]])*OutputTable[RecordedValue])),0)</f>
        <v>260.00051282000709</v>
      </c>
      <c r="M38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185.9931624017064</v>
      </c>
      <c r="O38" cm="1">
        <f t="array" ref="O38">MIN(IF((OutputTable[GroupByKey]=OutputTable[[#This Row],[GroupByKey]]),(OutputTable[GroupByKey]=OutputTable[[#This Row],[GroupByKey]])*OutputTable[RecordedValue]))</f>
        <v>38586</v>
      </c>
      <c r="P38" cm="1">
        <f t="array" ref="P38">MAX(IF((OutputTable[GroupByKey]=OutputTable[[#This Row],[GroupByKey]]),(OutputTable[GroupByKey]=OutputTable[[#This Row],[GroupByKey]])*OutputTable[RecordedValue]))</f>
        <v>39514</v>
      </c>
    </row>
    <row r="39" spans="1:16" x14ac:dyDescent="0.25">
      <c r="A39" t="s">
        <v>67</v>
      </c>
      <c r="B39" t="s">
        <v>69</v>
      </c>
      <c r="C39">
        <v>3</v>
      </c>
      <c r="D39" t="s">
        <v>123</v>
      </c>
      <c r="E39" t="s">
        <v>115</v>
      </c>
      <c r="F39" t="s">
        <v>77</v>
      </c>
      <c r="G39">
        <v>39172</v>
      </c>
      <c r="H39">
        <v>0</v>
      </c>
      <c r="I39" t="str">
        <f>OutputTable[[#This Row],[ProjectName]]&amp;OutputTable[[#This Row],[Name]]&amp;OutputTable[[#This Row],[Type]]&amp;OutputTable[[#This Row],[Source]]</f>
        <v>Unnamed ProjectOldPart.NumberOutNumber OutEntity</v>
      </c>
      <c r="J39" cm="1">
        <f t="array" ref="J39">MAX(IF((ProjectInfoTable[ProjectName]=OutputTable[[#This Row],[ProjectName]]),(ProjectInfoTable[ProjectName]=OutputTable[[#This Row],[ProjectName]])*ProjectInfoTable[NumberOfReplications]))</f>
        <v>10</v>
      </c>
      <c r="K39" cm="1">
        <f t="array" ref="K39">IFERROR(AVERAGE(IF((OutputTable[GroupByKey]=OutputTable[[#This Row],[GroupByKey]]),(OutputTable[GroupByKey]=OutputTable[[#This Row],[GroupByKey]])*OutputTable[RecordedValue])),0)</f>
        <v>39114.6</v>
      </c>
      <c r="L39" cm="1">
        <f t="array" ref="L39">IFERROR(_xlfn.STDEV.S(IF((OutputTable[GroupByKey]=OutputTable[[#This Row],[GroupByKey]]),(OutputTable[GroupByKey]=OutputTable[[#This Row],[GroupByKey]])*OutputTable[RecordedValue])),0)</f>
        <v>258.98871704295448</v>
      </c>
      <c r="M39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185.26936730515985</v>
      </c>
      <c r="O39" cm="1">
        <f t="array" ref="O39">MIN(IF((OutputTable[GroupByKey]=OutputTable[[#This Row],[GroupByKey]]),(OutputTable[GroupByKey]=OutputTable[[#This Row],[GroupByKey]])*OutputTable[RecordedValue]))</f>
        <v>38588</v>
      </c>
      <c r="P39" cm="1">
        <f t="array" ref="P39">MAX(IF((OutputTable[GroupByKey]=OutputTable[[#This Row],[GroupByKey]]),(OutputTable[GroupByKey]=OutputTable[[#This Row],[GroupByKey]])*OutputTable[RecordedValue]))</f>
        <v>39510</v>
      </c>
    </row>
    <row r="40" spans="1:16" x14ac:dyDescent="0.25">
      <c r="A40" t="s">
        <v>67</v>
      </c>
      <c r="B40" t="s">
        <v>69</v>
      </c>
      <c r="C40">
        <v>3</v>
      </c>
      <c r="D40" t="s">
        <v>124</v>
      </c>
      <c r="E40" t="s">
        <v>117</v>
      </c>
      <c r="F40" t="s">
        <v>106</v>
      </c>
      <c r="G40">
        <v>19409</v>
      </c>
      <c r="H40">
        <v>0</v>
      </c>
      <c r="I40" t="str">
        <f>OutputTable[[#This Row],[ProjectName]]&amp;OutputTable[[#This Row],[Name]]&amp;OutputTable[[#This Row],[Type]]&amp;OutputTable[[#This Row],[Source]]</f>
        <v>Unnamed ProjectPACKER.NumberSeizedTotal Number SeizedResource</v>
      </c>
      <c r="J40" cm="1">
        <f t="array" ref="J40">MAX(IF((ProjectInfoTable[ProjectName]=OutputTable[[#This Row],[ProjectName]]),(ProjectInfoTable[ProjectName]=OutputTable[[#This Row],[ProjectName]])*ProjectInfoTable[NumberOfReplications]))</f>
        <v>10</v>
      </c>
      <c r="K40" cm="1">
        <f t="array" ref="K40">IFERROR(AVERAGE(IF((OutputTable[GroupByKey]=OutputTable[[#This Row],[GroupByKey]]),(OutputTable[GroupByKey]=OutputTable[[#This Row],[GroupByKey]])*OutputTable[RecordedValue])),0)</f>
        <v>19615.8</v>
      </c>
      <c r="L40" cm="1">
        <f t="array" ref="L40">IFERROR(_xlfn.STDEV.S(IF((OutputTable[GroupByKey]=OutputTable[[#This Row],[GroupByKey]]),(OutputTable[GroupByKey]=OutputTable[[#This Row],[GroupByKey]])*OutputTable[RecordedValue])),0)</f>
        <v>165.88670832830459</v>
      </c>
      <c r="M40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118.66820241139406</v>
      </c>
      <c r="O40" cm="1">
        <f t="array" ref="O40">MIN(IF((OutputTable[GroupByKey]=OutputTable[[#This Row],[GroupByKey]]),(OutputTable[GroupByKey]=OutputTable[[#This Row],[GroupByKey]])*OutputTable[RecordedValue]))</f>
        <v>19409</v>
      </c>
      <c r="P40" cm="1">
        <f t="array" ref="P40">MAX(IF((OutputTable[GroupByKey]=OutputTable[[#This Row],[GroupByKey]]),(OutputTable[GroupByKey]=OutputTable[[#This Row],[GroupByKey]])*OutputTable[RecordedValue]))</f>
        <v>19914</v>
      </c>
    </row>
    <row r="41" spans="1:16" x14ac:dyDescent="0.25">
      <c r="A41" t="s">
        <v>67</v>
      </c>
      <c r="B41" t="s">
        <v>69</v>
      </c>
      <c r="C41">
        <v>3</v>
      </c>
      <c r="D41" t="s">
        <v>125</v>
      </c>
      <c r="E41" t="s">
        <v>119</v>
      </c>
      <c r="F41" t="s">
        <v>106</v>
      </c>
      <c r="G41">
        <v>0.80675605099888203</v>
      </c>
      <c r="H41">
        <v>0</v>
      </c>
      <c r="I41" t="str">
        <f>OutputTable[[#This Row],[ProjectName]]&amp;OutputTable[[#This Row],[Name]]&amp;OutputTable[[#This Row],[Type]]&amp;OutputTable[[#This Row],[Source]]</f>
        <v>Unnamed ProjectPACKER.ScheduledUtilizationScheduled UtilizationResource</v>
      </c>
      <c r="J41" cm="1">
        <f t="array" ref="J41">MAX(IF((ProjectInfoTable[ProjectName]=OutputTable[[#This Row],[ProjectName]]),(ProjectInfoTable[ProjectName]=OutputTable[[#This Row],[ProjectName]])*ProjectInfoTable[NumberOfReplications]))</f>
        <v>10</v>
      </c>
      <c r="K41" cm="1">
        <f t="array" ref="K41">IFERROR(AVERAGE(IF((OutputTable[GroupByKey]=OutputTable[[#This Row],[GroupByKey]]),(OutputTable[GroupByKey]=OutputTable[[#This Row],[GroupByKey]])*OutputTable[RecordedValue])),0)</f>
        <v>0.81557194281027567</v>
      </c>
      <c r="L41" cm="1">
        <f t="array" ref="L41">IFERROR(_xlfn.STDEV.S(IF((OutputTable[GroupByKey]=OutputTable[[#This Row],[GroupByKey]]),(OutputTable[GroupByKey]=OutputTable[[#This Row],[GroupByKey]])*OutputTable[RecordedValue])),0)</f>
        <v>6.9416851287817331E-3</v>
      </c>
      <c r="M41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4.9657823959478754E-3</v>
      </c>
      <c r="O41" cm="1">
        <f t="array" ref="O41">MIN(IF((OutputTable[GroupByKey]=OutputTable[[#This Row],[GroupByKey]]),(OutputTable[GroupByKey]=OutputTable[[#This Row],[GroupByKey]])*OutputTable[RecordedValue]))</f>
        <v>0.80675605099888203</v>
      </c>
      <c r="P41" cm="1">
        <f t="array" ref="P41">MAX(IF((OutputTable[GroupByKey]=OutputTable[[#This Row],[GroupByKey]]),(OutputTable[GroupByKey]=OutputTable[[#This Row],[GroupByKey]])*OutputTable[RecordedValue]))</f>
        <v>0.82818429749007605</v>
      </c>
    </row>
    <row r="42" spans="1:16" x14ac:dyDescent="0.25">
      <c r="A42" t="s">
        <v>67</v>
      </c>
      <c r="B42" t="s">
        <v>69</v>
      </c>
      <c r="C42">
        <v>3</v>
      </c>
      <c r="D42" t="s">
        <v>126</v>
      </c>
      <c r="E42" t="s">
        <v>117</v>
      </c>
      <c r="F42" t="s">
        <v>106</v>
      </c>
      <c r="G42">
        <v>13672</v>
      </c>
      <c r="H42">
        <v>0</v>
      </c>
      <c r="I42" t="str">
        <f>OutputTable[[#This Row],[ProjectName]]&amp;OutputTable[[#This Row],[Name]]&amp;OutputTable[[#This Row],[Type]]&amp;OutputTable[[#This Row],[Source]]</f>
        <v>Unnamed ProjectPAINTER.NumberSeizedTotal Number SeizedResource</v>
      </c>
      <c r="J42" cm="1">
        <f t="array" ref="J42">MAX(IF((ProjectInfoTable[ProjectName]=OutputTable[[#This Row],[ProjectName]]),(ProjectInfoTable[ProjectName]=OutputTable[[#This Row],[ProjectName]])*ProjectInfoTable[NumberOfReplications]))</f>
        <v>10</v>
      </c>
      <c r="K42" cm="1">
        <f t="array" ref="K42">IFERROR(AVERAGE(IF((OutputTable[GroupByKey]=OutputTable[[#This Row],[GroupByKey]]),(OutputTable[GroupByKey]=OutputTable[[#This Row],[GroupByKey]])*OutputTable[RecordedValue])),0)</f>
        <v>13722.6</v>
      </c>
      <c r="L42" cm="1">
        <f t="array" ref="L42">IFERROR(_xlfn.STDEV.S(IF((OutputTable[GroupByKey]=OutputTable[[#This Row],[GroupByKey]]),(OutputTable[GroupByKey]=OutputTable[[#This Row],[GroupByKey]])*OutputTable[RecordedValue])),0)</f>
        <v>113.64682133698241</v>
      </c>
      <c r="M42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81.298038485024648</v>
      </c>
      <c r="O42" cm="1">
        <f t="array" ref="O42">MIN(IF((OutputTable[GroupByKey]=OutputTable[[#This Row],[GroupByKey]]),(OutputTable[GroupByKey]=OutputTable[[#This Row],[GroupByKey]])*OutputTable[RecordedValue]))</f>
        <v>13496</v>
      </c>
      <c r="P42" cm="1">
        <f t="array" ref="P42">MAX(IF((OutputTable[GroupByKey]=OutputTable[[#This Row],[GroupByKey]]),(OutputTable[GroupByKey]=OutputTable[[#This Row],[GroupByKey]])*OutputTable[RecordedValue]))</f>
        <v>13871</v>
      </c>
    </row>
    <row r="43" spans="1:16" x14ac:dyDescent="0.25">
      <c r="A43" t="s">
        <v>67</v>
      </c>
      <c r="B43" t="s">
        <v>69</v>
      </c>
      <c r="C43">
        <v>3</v>
      </c>
      <c r="D43" t="s">
        <v>127</v>
      </c>
      <c r="E43" t="s">
        <v>119</v>
      </c>
      <c r="F43" t="s">
        <v>106</v>
      </c>
      <c r="G43">
        <v>0.54839420860655197</v>
      </c>
      <c r="H43">
        <v>0</v>
      </c>
      <c r="I43" t="str">
        <f>OutputTable[[#This Row],[ProjectName]]&amp;OutputTable[[#This Row],[Name]]&amp;OutputTable[[#This Row],[Type]]&amp;OutputTable[[#This Row],[Source]]</f>
        <v>Unnamed ProjectPAINTER.ScheduledUtilizationScheduled UtilizationResource</v>
      </c>
      <c r="J43" cm="1">
        <f t="array" ref="J43">MAX(IF((ProjectInfoTable[ProjectName]=OutputTable[[#This Row],[ProjectName]]),(ProjectInfoTable[ProjectName]=OutputTable[[#This Row],[ProjectName]])*ProjectInfoTable[NumberOfReplications]))</f>
        <v>10</v>
      </c>
      <c r="K43" cm="1">
        <f t="array" ref="K43">IFERROR(AVERAGE(IF((OutputTable[GroupByKey]=OutputTable[[#This Row],[GroupByKey]]),(OutputTable[GroupByKey]=OutputTable[[#This Row],[GroupByKey]])*OutputTable[RecordedValue])),0)</f>
        <v>0.54938142053560801</v>
      </c>
      <c r="L43" cm="1">
        <f t="array" ref="L43">IFERROR(_xlfn.STDEV.S(IF((OutputTable[GroupByKey]=OutputTable[[#This Row],[GroupByKey]]),(OutputTable[GroupByKey]=OutputTable[[#This Row],[GroupByKey]])*OutputTable[RecordedValue])),0)</f>
        <v>4.5196387022068685E-3</v>
      </c>
      <c r="M43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3.2331547581159752E-3</v>
      </c>
      <c r="O43" cm="1">
        <f t="array" ref="O43">MIN(IF((OutputTable[GroupByKey]=OutputTable[[#This Row],[GroupByKey]]),(OutputTable[GroupByKey]=OutputTable[[#This Row],[GroupByKey]])*OutputTable[RecordedValue]))</f>
        <v>0.54030874063430001</v>
      </c>
      <c r="P43" cm="1">
        <f t="array" ref="P43">MAX(IF((OutputTable[GroupByKey]=OutputTable[[#This Row],[GroupByKey]]),(OutputTable[GroupByKey]=OutputTable[[#This Row],[GroupByKey]])*OutputTable[RecordedValue]))</f>
        <v>0.55566835138728998</v>
      </c>
    </row>
    <row r="44" spans="1:16" x14ac:dyDescent="0.25">
      <c r="A44" t="s">
        <v>67</v>
      </c>
      <c r="B44" t="s">
        <v>69</v>
      </c>
      <c r="C44">
        <v>3</v>
      </c>
      <c r="D44" t="s">
        <v>128</v>
      </c>
      <c r="E44" t="s">
        <v>115</v>
      </c>
      <c r="F44" t="s">
        <v>129</v>
      </c>
      <c r="G44">
        <v>55828</v>
      </c>
      <c r="H44">
        <v>0</v>
      </c>
      <c r="I44" t="str">
        <f>OutputTable[[#This Row],[ProjectName]]&amp;OutputTable[[#This Row],[Name]]&amp;OutputTable[[#This Row],[Type]]&amp;OutputTable[[#This Row],[Source]]</f>
        <v>Unnamed ProjectSystem.NumberOutNumber OutSystem</v>
      </c>
      <c r="J44" cm="1">
        <f t="array" ref="J44">MAX(IF((ProjectInfoTable[ProjectName]=OutputTable[[#This Row],[ProjectName]]),(ProjectInfoTable[ProjectName]=OutputTable[[#This Row],[ProjectName]])*ProjectInfoTable[NumberOfReplications]))</f>
        <v>10</v>
      </c>
      <c r="K44" cm="1">
        <f t="array" ref="K44">IFERROR(AVERAGE(IF((OutputTable[GroupByKey]=OutputTable[[#This Row],[GroupByKey]]),(OutputTable[GroupByKey]=OutputTable[[#This Row],[GroupByKey]])*OutputTable[RecordedValue])),0)</f>
        <v>56062.7</v>
      </c>
      <c r="L44" cm="1">
        <f t="array" ref="L44">IFERROR(_xlfn.STDEV.S(IF((OutputTable[GroupByKey]=OutputTable[[#This Row],[GroupByKey]]),(OutputTable[GroupByKey]=OutputTable[[#This Row],[GroupByKey]])*OutputTable[RecordedValue])),0)</f>
        <v>281.95036994320668</v>
      </c>
      <c r="M44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201.69514427985661</v>
      </c>
      <c r="O44" cm="1">
        <f t="array" ref="O44">MIN(IF((OutputTable[GroupByKey]=OutputTable[[#This Row],[GroupByKey]]),(OutputTable[GroupByKey]=OutputTable[[#This Row],[GroupByKey]])*OutputTable[RecordedValue]))</f>
        <v>55662</v>
      </c>
      <c r="P44" cm="1">
        <f t="array" ref="P44">MAX(IF((OutputTable[GroupByKey]=OutputTable[[#This Row],[GroupByKey]]),(OutputTable[GroupByKey]=OutputTable[[#This Row],[GroupByKey]])*OutputTable[RecordedValue]))</f>
        <v>56611</v>
      </c>
    </row>
    <row r="45" spans="1:16" x14ac:dyDescent="0.25">
      <c r="A45" t="s">
        <v>67</v>
      </c>
      <c r="B45" t="s">
        <v>69</v>
      </c>
      <c r="C45">
        <v>3</v>
      </c>
      <c r="D45" t="s">
        <v>130</v>
      </c>
      <c r="E45" t="s">
        <v>117</v>
      </c>
      <c r="F45" t="s">
        <v>106</v>
      </c>
      <c r="G45">
        <v>19409</v>
      </c>
      <c r="H45">
        <v>0</v>
      </c>
      <c r="I45" t="str">
        <f>OutputTable[[#This Row],[ProjectName]]&amp;OutputTable[[#This Row],[Name]]&amp;OutputTable[[#This Row],[Type]]&amp;OutputTable[[#This Row],[Source]]</f>
        <v>Unnamed ProjectWORKER.NumberSeizedTotal Number SeizedResource</v>
      </c>
      <c r="J45" cm="1">
        <f t="array" ref="J45">MAX(IF((ProjectInfoTable[ProjectName]=OutputTable[[#This Row],[ProjectName]]),(ProjectInfoTable[ProjectName]=OutputTable[[#This Row],[ProjectName]])*ProjectInfoTable[NumberOfReplications]))</f>
        <v>10</v>
      </c>
      <c r="K45" cm="1">
        <f t="array" ref="K45">IFERROR(AVERAGE(IF((OutputTable[GroupByKey]=OutputTable[[#This Row],[GroupByKey]]),(OutputTable[GroupByKey]=OutputTable[[#This Row],[GroupByKey]])*OutputTable[RecordedValue])),0)</f>
        <v>19616</v>
      </c>
      <c r="L45" cm="1">
        <f t="array" ref="L45">IFERROR(_xlfn.STDEV.S(IF((OutputTable[GroupByKey]=OutputTable[[#This Row],[GroupByKey]]),(OutputTable[GroupByKey]=OutputTable[[#This Row],[GroupByKey]])*OutputTable[RecordedValue])),0)</f>
        <v>166.31629839288485</v>
      </c>
      <c r="M4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118.97551263082794</v>
      </c>
      <c r="O45" cm="1">
        <f t="array" ref="O45">MIN(IF((OutputTable[GroupByKey]=OutputTable[[#This Row],[GroupByKey]]),(OutputTable[GroupByKey]=OutputTable[[#This Row],[GroupByKey]])*OutputTable[RecordedValue]))</f>
        <v>19409</v>
      </c>
      <c r="P45" cm="1">
        <f t="array" ref="P45">MAX(IF((OutputTable[GroupByKey]=OutputTable[[#This Row],[GroupByKey]]),(OutputTable[GroupByKey]=OutputTable[[#This Row],[GroupByKey]])*OutputTable[RecordedValue]))</f>
        <v>19915</v>
      </c>
    </row>
    <row r="46" spans="1:16" x14ac:dyDescent="0.25">
      <c r="A46" t="s">
        <v>67</v>
      </c>
      <c r="B46" t="s">
        <v>69</v>
      </c>
      <c r="C46">
        <v>3</v>
      </c>
      <c r="D46" t="s">
        <v>131</v>
      </c>
      <c r="E46" t="s">
        <v>119</v>
      </c>
      <c r="F46" t="s">
        <v>106</v>
      </c>
      <c r="G46">
        <v>0.81151215762737705</v>
      </c>
      <c r="H46">
        <v>0</v>
      </c>
      <c r="I46" t="str">
        <f>OutputTable[[#This Row],[ProjectName]]&amp;OutputTable[[#This Row],[Name]]&amp;OutputTable[[#This Row],[Type]]&amp;OutputTable[[#This Row],[Source]]</f>
        <v>Unnamed ProjectWORKER.ScheduledUtilizationScheduled UtilizationResource</v>
      </c>
      <c r="J46" cm="1">
        <f t="array" ref="J46">MAX(IF((ProjectInfoTable[ProjectName]=OutputTable[[#This Row],[ProjectName]]),(ProjectInfoTable[ProjectName]=OutputTable[[#This Row],[ProjectName]])*ProjectInfoTable[NumberOfReplications]))</f>
        <v>10</v>
      </c>
      <c r="K46" cm="1">
        <f t="array" ref="K46">IFERROR(AVERAGE(IF((OutputTable[GroupByKey]=OutputTable[[#This Row],[GroupByKey]]),(OutputTable[GroupByKey]=OutputTable[[#This Row],[GroupByKey]])*OutputTable[RecordedValue])),0)</f>
        <v>0.82030090075893936</v>
      </c>
      <c r="L46" cm="1">
        <f t="array" ref="L46">IFERROR(_xlfn.STDEV.S(IF((OutputTable[GroupByKey]=OutputTable[[#This Row],[GroupByKey]]),(OutputTable[GroupByKey]=OutputTable[[#This Row],[GroupByKey]])*OutputTable[RecordedValue])),0)</f>
        <v>6.9684713894533476E-3</v>
      </c>
      <c r="M46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4.9849441325044447E-3</v>
      </c>
      <c r="O46" cm="1">
        <f t="array" ref="O46">MIN(IF((OutputTable[GroupByKey]=OutputTable[[#This Row],[GroupByKey]]),(OutputTable[GroupByKey]=OutputTable[[#This Row],[GroupByKey]])*OutputTable[RecordedValue]))</f>
        <v>0.81151215762737705</v>
      </c>
      <c r="P46" cm="1">
        <f t="array" ref="P46">MAX(IF((OutputTable[GroupByKey]=OutputTable[[#This Row],[GroupByKey]]),(OutputTable[GroupByKey]=OutputTable[[#This Row],[GroupByKey]])*OutputTable[RecordedValue]))</f>
        <v>0.832837691284112</v>
      </c>
    </row>
    <row r="47" spans="1:16" x14ac:dyDescent="0.25">
      <c r="A47" t="s">
        <v>67</v>
      </c>
      <c r="B47" t="s">
        <v>69</v>
      </c>
      <c r="C47">
        <v>4</v>
      </c>
      <c r="D47" t="s">
        <v>112</v>
      </c>
      <c r="E47" t="s">
        <v>113</v>
      </c>
      <c r="F47" t="s">
        <v>77</v>
      </c>
      <c r="G47">
        <v>19914</v>
      </c>
      <c r="H47">
        <v>0</v>
      </c>
      <c r="I47" t="str">
        <f>OutputTable[[#This Row],[ProjectName]]&amp;OutputTable[[#This Row],[Name]]&amp;OutputTable[[#This Row],[Type]]&amp;OutputTable[[#This Row],[Source]]</f>
        <v>Unnamed ProjectEntity 1.NumberInNumber InEntity</v>
      </c>
      <c r="J47" cm="1">
        <f t="array" ref="J47">MAX(IF((ProjectInfoTable[ProjectName]=OutputTable[[#This Row],[ProjectName]]),(ProjectInfoTable[ProjectName]=OutputTable[[#This Row],[ProjectName]])*ProjectInfoTable[NumberOfReplications]))</f>
        <v>10</v>
      </c>
      <c r="K47" cm="1">
        <f t="array" ref="K47">IFERROR(AVERAGE(IF((OutputTable[GroupByKey]=OutputTable[[#This Row],[GroupByKey]]),(OutputTable[GroupByKey]=OutputTable[[#This Row],[GroupByKey]])*OutputTable[RecordedValue])),0)</f>
        <v>19615.599999999999</v>
      </c>
      <c r="L47" cm="1">
        <f t="array" ref="L47">IFERROR(_xlfn.STDEV.S(IF((OutputTable[GroupByKey]=OutputTable[[#This Row],[GroupByKey]]),(OutputTable[GroupByKey]=OutputTable[[#This Row],[GroupByKey]])*OutputTable[RecordedValue])),0)</f>
        <v>165.97134960254101</v>
      </c>
      <c r="M47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118.72875113144924</v>
      </c>
      <c r="O47" cm="1">
        <f t="array" ref="O47">MIN(IF((OutputTable[GroupByKey]=OutputTable[[#This Row],[GroupByKey]]),(OutputTable[GroupByKey]=OutputTable[[#This Row],[GroupByKey]])*OutputTable[RecordedValue]))</f>
        <v>19410</v>
      </c>
      <c r="P47" cm="1">
        <f t="array" ref="P47">MAX(IF((OutputTable[GroupByKey]=OutputTable[[#This Row],[GroupByKey]]),(OutputTable[GroupByKey]=OutputTable[[#This Row],[GroupByKey]])*OutputTable[RecordedValue]))</f>
        <v>19914</v>
      </c>
    </row>
    <row r="48" spans="1:16" x14ac:dyDescent="0.25">
      <c r="A48" t="s">
        <v>67</v>
      </c>
      <c r="B48" t="s">
        <v>69</v>
      </c>
      <c r="C48">
        <v>4</v>
      </c>
      <c r="D48" t="s">
        <v>114</v>
      </c>
      <c r="E48" t="s">
        <v>115</v>
      </c>
      <c r="F48" t="s">
        <v>77</v>
      </c>
      <c r="G48">
        <v>19914</v>
      </c>
      <c r="H48">
        <v>0</v>
      </c>
      <c r="I48" t="str">
        <f>OutputTable[[#This Row],[ProjectName]]&amp;OutputTable[[#This Row],[Name]]&amp;OutputTable[[#This Row],[Type]]&amp;OutputTable[[#This Row],[Source]]</f>
        <v>Unnamed ProjectEntity 1.NumberOutNumber OutEntity</v>
      </c>
      <c r="J48" cm="1">
        <f t="array" ref="J48">MAX(IF((ProjectInfoTable[ProjectName]=OutputTable[[#This Row],[ProjectName]]),(ProjectInfoTable[ProjectName]=OutputTable[[#This Row],[ProjectName]])*ProjectInfoTable[NumberOfReplications]))</f>
        <v>10</v>
      </c>
      <c r="K48" cm="1">
        <f t="array" ref="K48">IFERROR(AVERAGE(IF((OutputTable[GroupByKey]=OutputTable[[#This Row],[GroupByKey]]),(OutputTable[GroupByKey]=OutputTable[[#This Row],[GroupByKey]])*OutputTable[RecordedValue])),0)</f>
        <v>19615.599999999999</v>
      </c>
      <c r="L48" cm="1">
        <f t="array" ref="L48">IFERROR(_xlfn.STDEV.S(IF((OutputTable[GroupByKey]=OutputTable[[#This Row],[GroupByKey]]),(OutputTable[GroupByKey]=OutputTable[[#This Row],[GroupByKey]])*OutputTable[RecordedValue])),0)</f>
        <v>165.97134960254101</v>
      </c>
      <c r="M48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118.72875113144924</v>
      </c>
      <c r="O48" cm="1">
        <f t="array" ref="O48">MIN(IF((OutputTable[GroupByKey]=OutputTable[[#This Row],[GroupByKey]]),(OutputTable[GroupByKey]=OutputTable[[#This Row],[GroupByKey]])*OutputTable[RecordedValue]))</f>
        <v>19410</v>
      </c>
      <c r="P48" cm="1">
        <f t="array" ref="P48">MAX(IF((OutputTable[GroupByKey]=OutputTable[[#This Row],[GroupByKey]]),(OutputTable[GroupByKey]=OutputTable[[#This Row],[GroupByKey]])*OutputTable[RecordedValue]))</f>
        <v>19914</v>
      </c>
    </row>
    <row r="49" spans="1:16" x14ac:dyDescent="0.25">
      <c r="A49" t="s">
        <v>67</v>
      </c>
      <c r="B49" t="s">
        <v>69</v>
      </c>
      <c r="C49">
        <v>4</v>
      </c>
      <c r="D49" t="s">
        <v>116</v>
      </c>
      <c r="E49" t="s">
        <v>117</v>
      </c>
      <c r="F49" t="s">
        <v>106</v>
      </c>
      <c r="G49">
        <v>6053</v>
      </c>
      <c r="H49">
        <v>0</v>
      </c>
      <c r="I49" t="str">
        <f>OutputTable[[#This Row],[ProjectName]]&amp;OutputTable[[#This Row],[Name]]&amp;OutputTable[[#This Row],[Type]]&amp;OutputTable[[#This Row],[Source]]</f>
        <v>Unnamed ProjectNEWPAINTER.NumberSeizedTotal Number SeizedResource</v>
      </c>
      <c r="J49" cm="1">
        <f t="array" ref="J49">MAX(IF((ProjectInfoTable[ProjectName]=OutputTable[[#This Row],[ProjectName]]),(ProjectInfoTable[ProjectName]=OutputTable[[#This Row],[ProjectName]])*ProjectInfoTable[NumberOfReplications]))</f>
        <v>10</v>
      </c>
      <c r="K49" cm="1">
        <f t="array" ref="K49">IFERROR(AVERAGE(IF((OutputTable[GroupByKey]=OutputTable[[#This Row],[GroupByKey]]),(OutputTable[GroupByKey]=OutputTable[[#This Row],[GroupByKey]])*OutputTable[RecordedValue])),0)</f>
        <v>5893</v>
      </c>
      <c r="L49" cm="1">
        <f t="array" ref="L49">IFERROR(_xlfn.STDEV.S(IF((OutputTable[GroupByKey]=OutputTable[[#This Row],[GroupByKey]]),(OutputTable[GroupByKey]=OutputTable[[#This Row],[GroupByKey]])*OutputTable[RecordedValue])),0)</f>
        <v>92.348374226199681</v>
      </c>
      <c r="M49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66.062047257875278</v>
      </c>
      <c r="O49" cm="1">
        <f t="array" ref="O49">MIN(IF((OutputTable[GroupByKey]=OutputTable[[#This Row],[GroupByKey]]),(OutputTable[GroupByKey]=OutputTable[[#This Row],[GroupByKey]])*OutputTable[RecordedValue]))</f>
        <v>5736</v>
      </c>
      <c r="P49" cm="1">
        <f t="array" ref="P49">MAX(IF((OutputTable[GroupByKey]=OutputTable[[#This Row],[GroupByKey]]),(OutputTable[GroupByKey]=OutputTable[[#This Row],[GroupByKey]])*OutputTable[RecordedValue]))</f>
        <v>6053</v>
      </c>
    </row>
    <row r="50" spans="1:16" x14ac:dyDescent="0.25">
      <c r="A50" t="s">
        <v>67</v>
      </c>
      <c r="B50" t="s">
        <v>69</v>
      </c>
      <c r="C50">
        <v>4</v>
      </c>
      <c r="D50" t="s">
        <v>118</v>
      </c>
      <c r="E50" t="s">
        <v>119</v>
      </c>
      <c r="F50" t="s">
        <v>106</v>
      </c>
      <c r="G50">
        <v>0.54003281556404203</v>
      </c>
      <c r="H50">
        <v>0</v>
      </c>
      <c r="I50" t="str">
        <f>OutputTable[[#This Row],[ProjectName]]&amp;OutputTable[[#This Row],[Name]]&amp;OutputTable[[#This Row],[Type]]&amp;OutputTable[[#This Row],[Source]]</f>
        <v>Unnamed ProjectNEWPAINTER.ScheduledUtilizationScheduled UtilizationResource</v>
      </c>
      <c r="J50" cm="1">
        <f t="array" ref="J50">MAX(IF((ProjectInfoTable[ProjectName]=OutputTable[[#This Row],[ProjectName]]),(ProjectInfoTable[ProjectName]=OutputTable[[#This Row],[ProjectName]])*ProjectInfoTable[NumberOfReplications]))</f>
        <v>10</v>
      </c>
      <c r="K50" cm="1">
        <f t="array" ref="K50">IFERROR(AVERAGE(IF((OutputTable[GroupByKey]=OutputTable[[#This Row],[GroupByKey]]),(OutputTable[GroupByKey]=OutputTable[[#This Row],[GroupByKey]])*OutputTable[RecordedValue])),0)</f>
        <v>0.52518723279433455</v>
      </c>
      <c r="L50" cm="1">
        <f t="array" ref="L50">IFERROR(_xlfn.STDEV.S(IF((OutputTable[GroupByKey]=OutputTable[[#This Row],[GroupByKey]]),(OutputTable[GroupByKey]=OutputTable[[#This Row],[GroupByKey]])*OutputTable[RecordedValue])),0)</f>
        <v>8.4087502405714581E-3</v>
      </c>
      <c r="M50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6.0152575551752803E-3</v>
      </c>
      <c r="O50" cm="1">
        <f t="array" ref="O50">MIN(IF((OutputTable[GroupByKey]=OutputTable[[#This Row],[GroupByKey]]),(OutputTable[GroupByKey]=OutputTable[[#This Row],[GroupByKey]])*OutputTable[RecordedValue]))</f>
        <v>0.51150896826018899</v>
      </c>
      <c r="P50" cm="1">
        <f t="array" ref="P50">MAX(IF((OutputTable[GroupByKey]=OutputTable[[#This Row],[GroupByKey]]),(OutputTable[GroupByKey]=OutputTable[[#This Row],[GroupByKey]])*OutputTable[RecordedValue]))</f>
        <v>0.54003281556404203</v>
      </c>
    </row>
    <row r="51" spans="1:16" x14ac:dyDescent="0.25">
      <c r="A51" t="s">
        <v>67</v>
      </c>
      <c r="B51" t="s">
        <v>69</v>
      </c>
      <c r="C51">
        <v>4</v>
      </c>
      <c r="D51" t="s">
        <v>120</v>
      </c>
      <c r="E51" t="s">
        <v>113</v>
      </c>
      <c r="F51" t="s">
        <v>77</v>
      </c>
      <c r="G51">
        <v>17189</v>
      </c>
      <c r="H51">
        <v>0</v>
      </c>
      <c r="I51" t="str">
        <f>OutputTable[[#This Row],[ProjectName]]&amp;OutputTable[[#This Row],[Name]]&amp;OutputTable[[#This Row],[Type]]&amp;OutputTable[[#This Row],[Source]]</f>
        <v>Unnamed ProjectNewPart.NumberInNumber InEntity</v>
      </c>
      <c r="J51" cm="1">
        <f t="array" ref="J51">MAX(IF((ProjectInfoTable[ProjectName]=OutputTable[[#This Row],[ProjectName]]),(ProjectInfoTable[ProjectName]=OutputTable[[#This Row],[ProjectName]])*ProjectInfoTable[NumberOfReplications]))</f>
        <v>10</v>
      </c>
      <c r="K51" cm="1">
        <f t="array" ref="K51">IFERROR(AVERAGE(IF((OutputTable[GroupByKey]=OutputTable[[#This Row],[GroupByKey]]),(OutputTable[GroupByKey]=OutputTable[[#This Row],[GroupByKey]])*OutputTable[RecordedValue])),0)</f>
        <v>16948.3</v>
      </c>
      <c r="L51" cm="1">
        <f t="array" ref="L51">IFERROR(_xlfn.STDEV.S(IF((OutputTable[GroupByKey]=OutputTable[[#This Row],[GroupByKey]]),(OutputTable[GroupByKey]=OutputTable[[#This Row],[GroupByKey]])*OutputTable[RecordedValue])),0)</f>
        <v>183.31033189042506</v>
      </c>
      <c r="M51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131.13231185359012</v>
      </c>
      <c r="O51" cm="1">
        <f t="array" ref="O51">MIN(IF((OutputTable[GroupByKey]=OutputTable[[#This Row],[GroupByKey]]),(OutputTable[GroupByKey]=OutputTable[[#This Row],[GroupByKey]])*OutputTable[RecordedValue]))</f>
        <v>16656</v>
      </c>
      <c r="P51" cm="1">
        <f t="array" ref="P51">MAX(IF((OutputTable[GroupByKey]=OutputTable[[#This Row],[GroupByKey]]),(OutputTable[GroupByKey]=OutputTable[[#This Row],[GroupByKey]])*OutputTable[RecordedValue]))</f>
        <v>17189</v>
      </c>
    </row>
    <row r="52" spans="1:16" x14ac:dyDescent="0.25">
      <c r="A52" t="s">
        <v>67</v>
      </c>
      <c r="B52" t="s">
        <v>69</v>
      </c>
      <c r="C52">
        <v>4</v>
      </c>
      <c r="D52" t="s">
        <v>121</v>
      </c>
      <c r="E52" t="s">
        <v>115</v>
      </c>
      <c r="F52" t="s">
        <v>77</v>
      </c>
      <c r="G52">
        <v>17191</v>
      </c>
      <c r="H52">
        <v>0</v>
      </c>
      <c r="I52" t="str">
        <f>OutputTable[[#This Row],[ProjectName]]&amp;OutputTable[[#This Row],[Name]]&amp;OutputTable[[#This Row],[Type]]&amp;OutputTable[[#This Row],[Source]]</f>
        <v>Unnamed ProjectNewPart.NumberOutNumber OutEntity</v>
      </c>
      <c r="J52" cm="1">
        <f t="array" ref="J52">MAX(IF((ProjectInfoTable[ProjectName]=OutputTable[[#This Row],[ProjectName]]),(ProjectInfoTable[ProjectName]=OutputTable[[#This Row],[ProjectName]])*ProjectInfoTable[NumberOfReplications]))</f>
        <v>10</v>
      </c>
      <c r="K52" cm="1">
        <f t="array" ref="K52">IFERROR(AVERAGE(IF((OutputTable[GroupByKey]=OutputTable[[#This Row],[GroupByKey]]),(OutputTable[GroupByKey]=OutputTable[[#This Row],[GroupByKey]])*OutputTable[RecordedValue])),0)</f>
        <v>16948.099999999999</v>
      </c>
      <c r="L52" cm="1">
        <f t="array" ref="L52">IFERROR(_xlfn.STDEV.S(IF((OutputTable[GroupByKey]=OutputTable[[#This Row],[GroupByKey]]),(OutputTable[GroupByKey]=OutputTable[[#This Row],[GroupByKey]])*OutputTable[RecordedValue])),0)</f>
        <v>184.16022613172714</v>
      </c>
      <c r="M52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131.74028956845027</v>
      </c>
      <c r="O52" cm="1">
        <f t="array" ref="O52">MIN(IF((OutputTable[GroupByKey]=OutputTable[[#This Row],[GroupByKey]]),(OutputTable[GroupByKey]=OutputTable[[#This Row],[GroupByKey]])*OutputTable[RecordedValue]))</f>
        <v>16656</v>
      </c>
      <c r="P52" cm="1">
        <f t="array" ref="P52">MAX(IF((OutputTable[GroupByKey]=OutputTable[[#This Row],[GroupByKey]]),(OutputTable[GroupByKey]=OutputTable[[#This Row],[GroupByKey]])*OutputTable[RecordedValue]))</f>
        <v>17191</v>
      </c>
    </row>
    <row r="53" spans="1:16" x14ac:dyDescent="0.25">
      <c r="A53" t="s">
        <v>67</v>
      </c>
      <c r="B53" t="s">
        <v>69</v>
      </c>
      <c r="C53">
        <v>4</v>
      </c>
      <c r="D53" t="s">
        <v>122</v>
      </c>
      <c r="E53" t="s">
        <v>113</v>
      </c>
      <c r="F53" t="s">
        <v>77</v>
      </c>
      <c r="G53">
        <v>39204</v>
      </c>
      <c r="H53">
        <v>0</v>
      </c>
      <c r="I53" t="str">
        <f>OutputTable[[#This Row],[ProjectName]]&amp;OutputTable[[#This Row],[Name]]&amp;OutputTable[[#This Row],[Type]]&amp;OutputTable[[#This Row],[Source]]</f>
        <v>Unnamed ProjectOldPart.NumberInNumber InEntity</v>
      </c>
      <c r="J53" cm="1">
        <f t="array" ref="J53">MAX(IF((ProjectInfoTable[ProjectName]=OutputTable[[#This Row],[ProjectName]]),(ProjectInfoTable[ProjectName]=OutputTable[[#This Row],[ProjectName]])*ProjectInfoTable[NumberOfReplications]))</f>
        <v>10</v>
      </c>
      <c r="K53" cm="1">
        <f t="array" ref="K53">IFERROR(AVERAGE(IF((OutputTable[GroupByKey]=OutputTable[[#This Row],[GroupByKey]]),(OutputTable[GroupByKey]=OutputTable[[#This Row],[GroupByKey]])*OutputTable[RecordedValue])),0)</f>
        <v>39113.599999999999</v>
      </c>
      <c r="L53" cm="1">
        <f t="array" ref="L53">IFERROR(_xlfn.STDEV.S(IF((OutputTable[GroupByKey]=OutputTable[[#This Row],[GroupByKey]]),(OutputTable[GroupByKey]=OutputTable[[#This Row],[GroupByKey]])*OutputTable[RecordedValue])),0)</f>
        <v>260.00051282000709</v>
      </c>
      <c r="M53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185.9931624017064</v>
      </c>
      <c r="O53" cm="1">
        <f t="array" ref="O53">MIN(IF((OutputTable[GroupByKey]=OutputTable[[#This Row],[GroupByKey]]),(OutputTable[GroupByKey]=OutputTable[[#This Row],[GroupByKey]])*OutputTable[RecordedValue]))</f>
        <v>38586</v>
      </c>
      <c r="P53" cm="1">
        <f t="array" ref="P53">MAX(IF((OutputTable[GroupByKey]=OutputTable[[#This Row],[GroupByKey]]),(OutputTable[GroupByKey]=OutputTable[[#This Row],[GroupByKey]])*OutputTable[RecordedValue]))</f>
        <v>39514</v>
      </c>
    </row>
    <row r="54" spans="1:16" x14ac:dyDescent="0.25">
      <c r="A54" t="s">
        <v>67</v>
      </c>
      <c r="B54" t="s">
        <v>69</v>
      </c>
      <c r="C54">
        <v>4</v>
      </c>
      <c r="D54" t="s">
        <v>123</v>
      </c>
      <c r="E54" t="s">
        <v>115</v>
      </c>
      <c r="F54" t="s">
        <v>77</v>
      </c>
      <c r="G54">
        <v>39202</v>
      </c>
      <c r="H54">
        <v>0</v>
      </c>
      <c r="I54" t="str">
        <f>OutputTable[[#This Row],[ProjectName]]&amp;OutputTable[[#This Row],[Name]]&amp;OutputTable[[#This Row],[Type]]&amp;OutputTable[[#This Row],[Source]]</f>
        <v>Unnamed ProjectOldPart.NumberOutNumber OutEntity</v>
      </c>
      <c r="J54" cm="1">
        <f t="array" ref="J54">MAX(IF((ProjectInfoTable[ProjectName]=OutputTable[[#This Row],[ProjectName]]),(ProjectInfoTable[ProjectName]=OutputTable[[#This Row],[ProjectName]])*ProjectInfoTable[NumberOfReplications]))</f>
        <v>10</v>
      </c>
      <c r="K54" cm="1">
        <f t="array" ref="K54">IFERROR(AVERAGE(IF((OutputTable[GroupByKey]=OutputTable[[#This Row],[GroupByKey]]),(OutputTable[GroupByKey]=OutputTable[[#This Row],[GroupByKey]])*OutputTable[RecordedValue])),0)</f>
        <v>39114.6</v>
      </c>
      <c r="L54" cm="1">
        <f t="array" ref="L54">IFERROR(_xlfn.STDEV.S(IF((OutputTable[GroupByKey]=OutputTable[[#This Row],[GroupByKey]]),(OutputTable[GroupByKey]=OutputTable[[#This Row],[GroupByKey]])*OutputTable[RecordedValue])),0)</f>
        <v>258.98871704295448</v>
      </c>
      <c r="M54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185.26936730515985</v>
      </c>
      <c r="O54" cm="1">
        <f t="array" ref="O54">MIN(IF((OutputTable[GroupByKey]=OutputTable[[#This Row],[GroupByKey]]),(OutputTable[GroupByKey]=OutputTable[[#This Row],[GroupByKey]])*OutputTable[RecordedValue]))</f>
        <v>38588</v>
      </c>
      <c r="P54" cm="1">
        <f t="array" ref="P54">MAX(IF((OutputTable[GroupByKey]=OutputTable[[#This Row],[GroupByKey]]),(OutputTable[GroupByKey]=OutputTable[[#This Row],[GroupByKey]])*OutputTable[RecordedValue]))</f>
        <v>39510</v>
      </c>
    </row>
    <row r="55" spans="1:16" x14ac:dyDescent="0.25">
      <c r="A55" t="s">
        <v>67</v>
      </c>
      <c r="B55" t="s">
        <v>69</v>
      </c>
      <c r="C55">
        <v>4</v>
      </c>
      <c r="D55" t="s">
        <v>124</v>
      </c>
      <c r="E55" t="s">
        <v>117</v>
      </c>
      <c r="F55" t="s">
        <v>106</v>
      </c>
      <c r="G55">
        <v>19914</v>
      </c>
      <c r="H55">
        <v>0</v>
      </c>
      <c r="I55" t="str">
        <f>OutputTable[[#This Row],[ProjectName]]&amp;OutputTable[[#This Row],[Name]]&amp;OutputTable[[#This Row],[Type]]&amp;OutputTable[[#This Row],[Source]]</f>
        <v>Unnamed ProjectPACKER.NumberSeizedTotal Number SeizedResource</v>
      </c>
      <c r="J55" cm="1">
        <f t="array" ref="J55">MAX(IF((ProjectInfoTable[ProjectName]=OutputTable[[#This Row],[ProjectName]]),(ProjectInfoTable[ProjectName]=OutputTable[[#This Row],[ProjectName]])*ProjectInfoTable[NumberOfReplications]))</f>
        <v>10</v>
      </c>
      <c r="K55" cm="1">
        <f t="array" ref="K55">IFERROR(AVERAGE(IF((OutputTable[GroupByKey]=OutputTable[[#This Row],[GroupByKey]]),(OutputTable[GroupByKey]=OutputTable[[#This Row],[GroupByKey]])*OutputTable[RecordedValue])),0)</f>
        <v>19615.8</v>
      </c>
      <c r="L55" cm="1">
        <f t="array" ref="L55">IFERROR(_xlfn.STDEV.S(IF((OutputTable[GroupByKey]=OutputTable[[#This Row],[GroupByKey]]),(OutputTable[GroupByKey]=OutputTable[[#This Row],[GroupByKey]])*OutputTable[RecordedValue])),0)</f>
        <v>165.88670832830459</v>
      </c>
      <c r="M5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118.66820241139406</v>
      </c>
      <c r="O55" cm="1">
        <f t="array" ref="O55">MIN(IF((OutputTable[GroupByKey]=OutputTable[[#This Row],[GroupByKey]]),(OutputTable[GroupByKey]=OutputTable[[#This Row],[GroupByKey]])*OutputTable[RecordedValue]))</f>
        <v>19409</v>
      </c>
      <c r="P55" cm="1">
        <f t="array" ref="P55">MAX(IF((OutputTable[GroupByKey]=OutputTable[[#This Row],[GroupByKey]]),(OutputTable[GroupByKey]=OutputTable[[#This Row],[GroupByKey]])*OutputTable[RecordedValue]))</f>
        <v>19914</v>
      </c>
    </row>
    <row r="56" spans="1:16" x14ac:dyDescent="0.25">
      <c r="A56" t="s">
        <v>67</v>
      </c>
      <c r="B56" t="s">
        <v>69</v>
      </c>
      <c r="C56">
        <v>4</v>
      </c>
      <c r="D56" t="s">
        <v>125</v>
      </c>
      <c r="E56" t="s">
        <v>119</v>
      </c>
      <c r="F56" t="s">
        <v>106</v>
      </c>
      <c r="G56">
        <v>0.82818429749007605</v>
      </c>
      <c r="H56">
        <v>0</v>
      </c>
      <c r="I56" t="str">
        <f>OutputTable[[#This Row],[ProjectName]]&amp;OutputTable[[#This Row],[Name]]&amp;OutputTable[[#This Row],[Type]]&amp;OutputTable[[#This Row],[Source]]</f>
        <v>Unnamed ProjectPACKER.ScheduledUtilizationScheduled UtilizationResource</v>
      </c>
      <c r="J56" cm="1">
        <f t="array" ref="J56">MAX(IF((ProjectInfoTable[ProjectName]=OutputTable[[#This Row],[ProjectName]]),(ProjectInfoTable[ProjectName]=OutputTable[[#This Row],[ProjectName]])*ProjectInfoTable[NumberOfReplications]))</f>
        <v>10</v>
      </c>
      <c r="K56" cm="1">
        <f t="array" ref="K56">IFERROR(AVERAGE(IF((OutputTable[GroupByKey]=OutputTable[[#This Row],[GroupByKey]]),(OutputTable[GroupByKey]=OutputTable[[#This Row],[GroupByKey]])*OutputTable[RecordedValue])),0)</f>
        <v>0.81557194281027567</v>
      </c>
      <c r="L56" cm="1">
        <f t="array" ref="L56">IFERROR(_xlfn.STDEV.S(IF((OutputTable[GroupByKey]=OutputTable[[#This Row],[GroupByKey]]),(OutputTable[GroupByKey]=OutputTable[[#This Row],[GroupByKey]])*OutputTable[RecordedValue])),0)</f>
        <v>6.9416851287817331E-3</v>
      </c>
      <c r="M56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4.9657823959478754E-3</v>
      </c>
      <c r="O56" cm="1">
        <f t="array" ref="O56">MIN(IF((OutputTable[GroupByKey]=OutputTable[[#This Row],[GroupByKey]]),(OutputTable[GroupByKey]=OutputTable[[#This Row],[GroupByKey]])*OutputTable[RecordedValue]))</f>
        <v>0.80675605099888203</v>
      </c>
      <c r="P56" cm="1">
        <f t="array" ref="P56">MAX(IF((OutputTable[GroupByKey]=OutputTable[[#This Row],[GroupByKey]]),(OutputTable[GroupByKey]=OutputTable[[#This Row],[GroupByKey]])*OutputTable[RecordedValue]))</f>
        <v>0.82818429749007605</v>
      </c>
    </row>
    <row r="57" spans="1:16" x14ac:dyDescent="0.25">
      <c r="A57" t="s">
        <v>67</v>
      </c>
      <c r="B57" t="s">
        <v>69</v>
      </c>
      <c r="C57">
        <v>4</v>
      </c>
      <c r="D57" t="s">
        <v>126</v>
      </c>
      <c r="E57" t="s">
        <v>117</v>
      </c>
      <c r="F57" t="s">
        <v>106</v>
      </c>
      <c r="G57">
        <v>13863</v>
      </c>
      <c r="H57">
        <v>0</v>
      </c>
      <c r="I57" t="str">
        <f>OutputTable[[#This Row],[ProjectName]]&amp;OutputTable[[#This Row],[Name]]&amp;OutputTable[[#This Row],[Type]]&amp;OutputTable[[#This Row],[Source]]</f>
        <v>Unnamed ProjectPAINTER.NumberSeizedTotal Number SeizedResource</v>
      </c>
      <c r="J57" cm="1">
        <f t="array" ref="J57">MAX(IF((ProjectInfoTable[ProjectName]=OutputTable[[#This Row],[ProjectName]]),(ProjectInfoTable[ProjectName]=OutputTable[[#This Row],[ProjectName]])*ProjectInfoTable[NumberOfReplications]))</f>
        <v>10</v>
      </c>
      <c r="K57" cm="1">
        <f t="array" ref="K57">IFERROR(AVERAGE(IF((OutputTable[GroupByKey]=OutputTable[[#This Row],[GroupByKey]]),(OutputTable[GroupByKey]=OutputTable[[#This Row],[GroupByKey]])*OutputTable[RecordedValue])),0)</f>
        <v>13722.6</v>
      </c>
      <c r="L57" cm="1">
        <f t="array" ref="L57">IFERROR(_xlfn.STDEV.S(IF((OutputTable[GroupByKey]=OutputTable[[#This Row],[GroupByKey]]),(OutputTable[GroupByKey]=OutputTable[[#This Row],[GroupByKey]])*OutputTable[RecordedValue])),0)</f>
        <v>113.64682133698241</v>
      </c>
      <c r="M57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81.298038485024648</v>
      </c>
      <c r="O57" cm="1">
        <f t="array" ref="O57">MIN(IF((OutputTable[GroupByKey]=OutputTable[[#This Row],[GroupByKey]]),(OutputTable[GroupByKey]=OutputTable[[#This Row],[GroupByKey]])*OutputTable[RecordedValue]))</f>
        <v>13496</v>
      </c>
      <c r="P57" cm="1">
        <f t="array" ref="P57">MAX(IF((OutputTable[GroupByKey]=OutputTable[[#This Row],[GroupByKey]]),(OutputTable[GroupByKey]=OutputTable[[#This Row],[GroupByKey]])*OutputTable[RecordedValue]))</f>
        <v>13871</v>
      </c>
    </row>
    <row r="58" spans="1:16" x14ac:dyDescent="0.25">
      <c r="A58" t="s">
        <v>67</v>
      </c>
      <c r="B58" t="s">
        <v>69</v>
      </c>
      <c r="C58">
        <v>4</v>
      </c>
      <c r="D58" t="s">
        <v>127</v>
      </c>
      <c r="E58" t="s">
        <v>119</v>
      </c>
      <c r="F58" t="s">
        <v>106</v>
      </c>
      <c r="G58">
        <v>0.55566835138728998</v>
      </c>
      <c r="H58">
        <v>0</v>
      </c>
      <c r="I58" t="str">
        <f>OutputTable[[#This Row],[ProjectName]]&amp;OutputTable[[#This Row],[Name]]&amp;OutputTable[[#This Row],[Type]]&amp;OutputTable[[#This Row],[Source]]</f>
        <v>Unnamed ProjectPAINTER.ScheduledUtilizationScheduled UtilizationResource</v>
      </c>
      <c r="J58" cm="1">
        <f t="array" ref="J58">MAX(IF((ProjectInfoTable[ProjectName]=OutputTable[[#This Row],[ProjectName]]),(ProjectInfoTable[ProjectName]=OutputTable[[#This Row],[ProjectName]])*ProjectInfoTable[NumberOfReplications]))</f>
        <v>10</v>
      </c>
      <c r="K58" cm="1">
        <f t="array" ref="K58">IFERROR(AVERAGE(IF((OutputTable[GroupByKey]=OutputTable[[#This Row],[GroupByKey]]),(OutputTable[GroupByKey]=OutputTable[[#This Row],[GroupByKey]])*OutputTable[RecordedValue])),0)</f>
        <v>0.54938142053560801</v>
      </c>
      <c r="L58" cm="1">
        <f t="array" ref="L58">IFERROR(_xlfn.STDEV.S(IF((OutputTable[GroupByKey]=OutputTable[[#This Row],[GroupByKey]]),(OutputTable[GroupByKey]=OutputTable[[#This Row],[GroupByKey]])*OutputTable[RecordedValue])),0)</f>
        <v>4.5196387022068685E-3</v>
      </c>
      <c r="M58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3.2331547581159752E-3</v>
      </c>
      <c r="O58" cm="1">
        <f t="array" ref="O58">MIN(IF((OutputTable[GroupByKey]=OutputTable[[#This Row],[GroupByKey]]),(OutputTable[GroupByKey]=OutputTable[[#This Row],[GroupByKey]])*OutputTable[RecordedValue]))</f>
        <v>0.54030874063430001</v>
      </c>
      <c r="P58" cm="1">
        <f t="array" ref="P58">MAX(IF((OutputTable[GroupByKey]=OutputTable[[#This Row],[GroupByKey]]),(OutputTable[GroupByKey]=OutputTable[[#This Row],[GroupByKey]])*OutputTable[RecordedValue]))</f>
        <v>0.55566835138728998</v>
      </c>
    </row>
    <row r="59" spans="1:16" x14ac:dyDescent="0.25">
      <c r="A59" t="s">
        <v>67</v>
      </c>
      <c r="B59" t="s">
        <v>69</v>
      </c>
      <c r="C59">
        <v>4</v>
      </c>
      <c r="D59" t="s">
        <v>128</v>
      </c>
      <c r="E59" t="s">
        <v>115</v>
      </c>
      <c r="F59" t="s">
        <v>129</v>
      </c>
      <c r="G59">
        <v>56393</v>
      </c>
      <c r="H59">
        <v>0</v>
      </c>
      <c r="I59" t="str">
        <f>OutputTable[[#This Row],[ProjectName]]&amp;OutputTable[[#This Row],[Name]]&amp;OutputTable[[#This Row],[Type]]&amp;OutputTable[[#This Row],[Source]]</f>
        <v>Unnamed ProjectSystem.NumberOutNumber OutSystem</v>
      </c>
      <c r="J59" cm="1">
        <f t="array" ref="J59">MAX(IF((ProjectInfoTable[ProjectName]=OutputTable[[#This Row],[ProjectName]]),(ProjectInfoTable[ProjectName]=OutputTable[[#This Row],[ProjectName]])*ProjectInfoTable[NumberOfReplications]))</f>
        <v>10</v>
      </c>
      <c r="K59" cm="1">
        <f t="array" ref="K59">IFERROR(AVERAGE(IF((OutputTable[GroupByKey]=OutputTable[[#This Row],[GroupByKey]]),(OutputTable[GroupByKey]=OutputTable[[#This Row],[GroupByKey]])*OutputTable[RecordedValue])),0)</f>
        <v>56062.7</v>
      </c>
      <c r="L59" cm="1">
        <f t="array" ref="L59">IFERROR(_xlfn.STDEV.S(IF((OutputTable[GroupByKey]=OutputTable[[#This Row],[GroupByKey]]),(OutputTable[GroupByKey]=OutputTable[[#This Row],[GroupByKey]])*OutputTable[RecordedValue])),0)</f>
        <v>281.95036994320668</v>
      </c>
      <c r="M59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201.69514427985661</v>
      </c>
      <c r="O59" cm="1">
        <f t="array" ref="O59">MIN(IF((OutputTable[GroupByKey]=OutputTable[[#This Row],[GroupByKey]]),(OutputTable[GroupByKey]=OutputTable[[#This Row],[GroupByKey]])*OutputTable[RecordedValue]))</f>
        <v>55662</v>
      </c>
      <c r="P59" cm="1">
        <f t="array" ref="P59">MAX(IF((OutputTable[GroupByKey]=OutputTable[[#This Row],[GroupByKey]]),(OutputTable[GroupByKey]=OutputTable[[#This Row],[GroupByKey]])*OutputTable[RecordedValue]))</f>
        <v>56611</v>
      </c>
    </row>
    <row r="60" spans="1:16" x14ac:dyDescent="0.25">
      <c r="A60" t="s">
        <v>67</v>
      </c>
      <c r="B60" t="s">
        <v>69</v>
      </c>
      <c r="C60">
        <v>4</v>
      </c>
      <c r="D60" t="s">
        <v>130</v>
      </c>
      <c r="E60" t="s">
        <v>117</v>
      </c>
      <c r="F60" t="s">
        <v>106</v>
      </c>
      <c r="G60">
        <v>19915</v>
      </c>
      <c r="H60">
        <v>0</v>
      </c>
      <c r="I60" t="str">
        <f>OutputTable[[#This Row],[ProjectName]]&amp;OutputTable[[#This Row],[Name]]&amp;OutputTable[[#This Row],[Type]]&amp;OutputTable[[#This Row],[Source]]</f>
        <v>Unnamed ProjectWORKER.NumberSeizedTotal Number SeizedResource</v>
      </c>
      <c r="J60" cm="1">
        <f t="array" ref="J60">MAX(IF((ProjectInfoTable[ProjectName]=OutputTable[[#This Row],[ProjectName]]),(ProjectInfoTable[ProjectName]=OutputTable[[#This Row],[ProjectName]])*ProjectInfoTable[NumberOfReplications]))</f>
        <v>10</v>
      </c>
      <c r="K60" cm="1">
        <f t="array" ref="K60">IFERROR(AVERAGE(IF((OutputTable[GroupByKey]=OutputTable[[#This Row],[GroupByKey]]),(OutputTable[GroupByKey]=OutputTable[[#This Row],[GroupByKey]])*OutputTable[RecordedValue])),0)</f>
        <v>19616</v>
      </c>
      <c r="L60" cm="1">
        <f t="array" ref="L60">IFERROR(_xlfn.STDEV.S(IF((OutputTable[GroupByKey]=OutputTable[[#This Row],[GroupByKey]]),(OutputTable[GroupByKey]=OutputTable[[#This Row],[GroupByKey]])*OutputTable[RecordedValue])),0)</f>
        <v>166.31629839288485</v>
      </c>
      <c r="M60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118.97551263082794</v>
      </c>
      <c r="O60" cm="1">
        <f t="array" ref="O60">MIN(IF((OutputTable[GroupByKey]=OutputTable[[#This Row],[GroupByKey]]),(OutputTable[GroupByKey]=OutputTable[[#This Row],[GroupByKey]])*OutputTable[RecordedValue]))</f>
        <v>19409</v>
      </c>
      <c r="P60" cm="1">
        <f t="array" ref="P60">MAX(IF((OutputTable[GroupByKey]=OutputTable[[#This Row],[GroupByKey]]),(OutputTable[GroupByKey]=OutputTable[[#This Row],[GroupByKey]])*OutputTable[RecordedValue]))</f>
        <v>19915</v>
      </c>
    </row>
    <row r="61" spans="1:16" x14ac:dyDescent="0.25">
      <c r="A61" t="s">
        <v>67</v>
      </c>
      <c r="B61" t="s">
        <v>69</v>
      </c>
      <c r="C61">
        <v>4</v>
      </c>
      <c r="D61" t="s">
        <v>131</v>
      </c>
      <c r="E61" t="s">
        <v>119</v>
      </c>
      <c r="F61" t="s">
        <v>106</v>
      </c>
      <c r="G61">
        <v>0.832837691284112</v>
      </c>
      <c r="H61">
        <v>0</v>
      </c>
      <c r="I61" t="str">
        <f>OutputTable[[#This Row],[ProjectName]]&amp;OutputTable[[#This Row],[Name]]&amp;OutputTable[[#This Row],[Type]]&amp;OutputTable[[#This Row],[Source]]</f>
        <v>Unnamed ProjectWORKER.ScheduledUtilizationScheduled UtilizationResource</v>
      </c>
      <c r="J61" cm="1">
        <f t="array" ref="J61">MAX(IF((ProjectInfoTable[ProjectName]=OutputTable[[#This Row],[ProjectName]]),(ProjectInfoTable[ProjectName]=OutputTable[[#This Row],[ProjectName]])*ProjectInfoTable[NumberOfReplications]))</f>
        <v>10</v>
      </c>
      <c r="K61" cm="1">
        <f t="array" ref="K61">IFERROR(AVERAGE(IF((OutputTable[GroupByKey]=OutputTable[[#This Row],[GroupByKey]]),(OutputTable[GroupByKey]=OutputTable[[#This Row],[GroupByKey]])*OutputTable[RecordedValue])),0)</f>
        <v>0.82030090075893936</v>
      </c>
      <c r="L61" cm="1">
        <f t="array" ref="L61">IFERROR(_xlfn.STDEV.S(IF((OutputTable[GroupByKey]=OutputTable[[#This Row],[GroupByKey]]),(OutputTable[GroupByKey]=OutputTable[[#This Row],[GroupByKey]])*OutputTable[RecordedValue])),0)</f>
        <v>6.9684713894533476E-3</v>
      </c>
      <c r="M61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4.9849441325044447E-3</v>
      </c>
      <c r="O61" cm="1">
        <f t="array" ref="O61">MIN(IF((OutputTable[GroupByKey]=OutputTable[[#This Row],[GroupByKey]]),(OutputTable[GroupByKey]=OutputTable[[#This Row],[GroupByKey]])*OutputTable[RecordedValue]))</f>
        <v>0.81151215762737705</v>
      </c>
      <c r="P61" cm="1">
        <f t="array" ref="P61">MAX(IF((OutputTable[GroupByKey]=OutputTable[[#This Row],[GroupByKey]]),(OutputTable[GroupByKey]=OutputTable[[#This Row],[GroupByKey]])*OutputTable[RecordedValue]))</f>
        <v>0.832837691284112</v>
      </c>
    </row>
    <row r="62" spans="1:16" x14ac:dyDescent="0.25">
      <c r="A62" t="s">
        <v>67</v>
      </c>
      <c r="B62" t="s">
        <v>69</v>
      </c>
      <c r="C62">
        <v>5</v>
      </c>
      <c r="D62" t="s">
        <v>112</v>
      </c>
      <c r="E62" t="s">
        <v>113</v>
      </c>
      <c r="F62" t="s">
        <v>77</v>
      </c>
      <c r="G62">
        <v>19496</v>
      </c>
      <c r="H62">
        <v>0</v>
      </c>
      <c r="I62" t="str">
        <f>OutputTable[[#This Row],[ProjectName]]&amp;OutputTable[[#This Row],[Name]]&amp;OutputTable[[#This Row],[Type]]&amp;OutputTable[[#This Row],[Source]]</f>
        <v>Unnamed ProjectEntity 1.NumberInNumber InEntity</v>
      </c>
      <c r="J62" cm="1">
        <f t="array" ref="J62">MAX(IF((ProjectInfoTable[ProjectName]=OutputTable[[#This Row],[ProjectName]]),(ProjectInfoTable[ProjectName]=OutputTable[[#This Row],[ProjectName]])*ProjectInfoTable[NumberOfReplications]))</f>
        <v>10</v>
      </c>
      <c r="K62" cm="1">
        <f t="array" ref="K62">IFERROR(AVERAGE(IF((OutputTable[GroupByKey]=OutputTable[[#This Row],[GroupByKey]]),(OutputTable[GroupByKey]=OutputTable[[#This Row],[GroupByKey]])*OutputTable[RecordedValue])),0)</f>
        <v>19615.599999999999</v>
      </c>
      <c r="L62" cm="1">
        <f t="array" ref="L62">IFERROR(_xlfn.STDEV.S(IF((OutputTable[GroupByKey]=OutputTable[[#This Row],[GroupByKey]]),(OutputTable[GroupByKey]=OutputTable[[#This Row],[GroupByKey]])*OutputTable[RecordedValue])),0)</f>
        <v>165.97134960254101</v>
      </c>
      <c r="M62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118.72875113144924</v>
      </c>
      <c r="O62" cm="1">
        <f t="array" ref="O62">MIN(IF((OutputTable[GroupByKey]=OutputTable[[#This Row],[GroupByKey]]),(OutputTable[GroupByKey]=OutputTable[[#This Row],[GroupByKey]])*OutputTable[RecordedValue]))</f>
        <v>19410</v>
      </c>
      <c r="P62" cm="1">
        <f t="array" ref="P62">MAX(IF((OutputTable[GroupByKey]=OutputTable[[#This Row],[GroupByKey]]),(OutputTable[GroupByKey]=OutputTable[[#This Row],[GroupByKey]])*OutputTable[RecordedValue]))</f>
        <v>19914</v>
      </c>
    </row>
    <row r="63" spans="1:16" x14ac:dyDescent="0.25">
      <c r="A63" t="s">
        <v>67</v>
      </c>
      <c r="B63" t="s">
        <v>69</v>
      </c>
      <c r="C63">
        <v>5</v>
      </c>
      <c r="D63" t="s">
        <v>114</v>
      </c>
      <c r="E63" t="s">
        <v>115</v>
      </c>
      <c r="F63" t="s">
        <v>77</v>
      </c>
      <c r="G63">
        <v>19496</v>
      </c>
      <c r="H63">
        <v>0</v>
      </c>
      <c r="I63" t="str">
        <f>OutputTable[[#This Row],[ProjectName]]&amp;OutputTable[[#This Row],[Name]]&amp;OutputTable[[#This Row],[Type]]&amp;OutputTable[[#This Row],[Source]]</f>
        <v>Unnamed ProjectEntity 1.NumberOutNumber OutEntity</v>
      </c>
      <c r="J63" cm="1">
        <f t="array" ref="J63">MAX(IF((ProjectInfoTable[ProjectName]=OutputTable[[#This Row],[ProjectName]]),(ProjectInfoTable[ProjectName]=OutputTable[[#This Row],[ProjectName]])*ProjectInfoTable[NumberOfReplications]))</f>
        <v>10</v>
      </c>
      <c r="K63" cm="1">
        <f t="array" ref="K63">IFERROR(AVERAGE(IF((OutputTable[GroupByKey]=OutputTable[[#This Row],[GroupByKey]]),(OutputTable[GroupByKey]=OutputTable[[#This Row],[GroupByKey]])*OutputTable[RecordedValue])),0)</f>
        <v>19615.599999999999</v>
      </c>
      <c r="L63" cm="1">
        <f t="array" ref="L63">IFERROR(_xlfn.STDEV.S(IF((OutputTable[GroupByKey]=OutputTable[[#This Row],[GroupByKey]]),(OutputTable[GroupByKey]=OutputTable[[#This Row],[GroupByKey]])*OutputTable[RecordedValue])),0)</f>
        <v>165.97134960254101</v>
      </c>
      <c r="M63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118.72875113144924</v>
      </c>
      <c r="O63" cm="1">
        <f t="array" ref="O63">MIN(IF((OutputTable[GroupByKey]=OutputTable[[#This Row],[GroupByKey]]),(OutputTable[GroupByKey]=OutputTable[[#This Row],[GroupByKey]])*OutputTable[RecordedValue]))</f>
        <v>19410</v>
      </c>
      <c r="P63" cm="1">
        <f t="array" ref="P63">MAX(IF((OutputTable[GroupByKey]=OutputTable[[#This Row],[GroupByKey]]),(OutputTable[GroupByKey]=OutputTable[[#This Row],[GroupByKey]])*OutputTable[RecordedValue]))</f>
        <v>19914</v>
      </c>
    </row>
    <row r="64" spans="1:16" x14ac:dyDescent="0.25">
      <c r="A64" t="s">
        <v>67</v>
      </c>
      <c r="B64" t="s">
        <v>69</v>
      </c>
      <c r="C64">
        <v>5</v>
      </c>
      <c r="D64" t="s">
        <v>116</v>
      </c>
      <c r="E64" t="s">
        <v>117</v>
      </c>
      <c r="F64" t="s">
        <v>106</v>
      </c>
      <c r="G64">
        <v>5819</v>
      </c>
      <c r="H64">
        <v>0</v>
      </c>
      <c r="I64" t="str">
        <f>OutputTable[[#This Row],[ProjectName]]&amp;OutputTable[[#This Row],[Name]]&amp;OutputTable[[#This Row],[Type]]&amp;OutputTable[[#This Row],[Source]]</f>
        <v>Unnamed ProjectNEWPAINTER.NumberSeizedTotal Number SeizedResource</v>
      </c>
      <c r="J64" cm="1">
        <f t="array" ref="J64">MAX(IF((ProjectInfoTable[ProjectName]=OutputTable[[#This Row],[ProjectName]]),(ProjectInfoTable[ProjectName]=OutputTable[[#This Row],[ProjectName]])*ProjectInfoTable[NumberOfReplications]))</f>
        <v>10</v>
      </c>
      <c r="K64" cm="1">
        <f t="array" ref="K64">IFERROR(AVERAGE(IF((OutputTable[GroupByKey]=OutputTable[[#This Row],[GroupByKey]]),(OutputTable[GroupByKey]=OutputTable[[#This Row],[GroupByKey]])*OutputTable[RecordedValue])),0)</f>
        <v>5893</v>
      </c>
      <c r="L64" cm="1">
        <f t="array" ref="L64">IFERROR(_xlfn.STDEV.S(IF((OutputTable[GroupByKey]=OutputTable[[#This Row],[GroupByKey]]),(OutputTable[GroupByKey]=OutputTable[[#This Row],[GroupByKey]])*OutputTable[RecordedValue])),0)</f>
        <v>92.348374226199681</v>
      </c>
      <c r="M64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66.062047257875278</v>
      </c>
      <c r="O64" cm="1">
        <f t="array" ref="O64">MIN(IF((OutputTable[GroupByKey]=OutputTable[[#This Row],[GroupByKey]]),(OutputTable[GroupByKey]=OutputTable[[#This Row],[GroupByKey]])*OutputTable[RecordedValue]))</f>
        <v>5736</v>
      </c>
      <c r="P64" cm="1">
        <f t="array" ref="P64">MAX(IF((OutputTable[GroupByKey]=OutputTable[[#This Row],[GroupByKey]]),(OutputTable[GroupByKey]=OutputTable[[#This Row],[GroupByKey]])*OutputTable[RecordedValue]))</f>
        <v>6053</v>
      </c>
    </row>
    <row r="65" spans="1:16" x14ac:dyDescent="0.25">
      <c r="A65" t="s">
        <v>67</v>
      </c>
      <c r="B65" t="s">
        <v>69</v>
      </c>
      <c r="C65">
        <v>5</v>
      </c>
      <c r="D65" t="s">
        <v>118</v>
      </c>
      <c r="E65" t="s">
        <v>119</v>
      </c>
      <c r="F65" t="s">
        <v>106</v>
      </c>
      <c r="G65">
        <v>0.51888120912242897</v>
      </c>
      <c r="H65">
        <v>0</v>
      </c>
      <c r="I65" t="str">
        <f>OutputTable[[#This Row],[ProjectName]]&amp;OutputTable[[#This Row],[Name]]&amp;OutputTable[[#This Row],[Type]]&amp;OutputTable[[#This Row],[Source]]</f>
        <v>Unnamed ProjectNEWPAINTER.ScheduledUtilizationScheduled UtilizationResource</v>
      </c>
      <c r="J65" cm="1">
        <f t="array" ref="J65">MAX(IF((ProjectInfoTable[ProjectName]=OutputTable[[#This Row],[ProjectName]]),(ProjectInfoTable[ProjectName]=OutputTable[[#This Row],[ProjectName]])*ProjectInfoTable[NumberOfReplications]))</f>
        <v>10</v>
      </c>
      <c r="K65" cm="1">
        <f t="array" ref="K65">IFERROR(AVERAGE(IF((OutputTable[GroupByKey]=OutputTable[[#This Row],[GroupByKey]]),(OutputTable[GroupByKey]=OutputTable[[#This Row],[GroupByKey]])*OutputTable[RecordedValue])),0)</f>
        <v>0.52518723279433455</v>
      </c>
      <c r="L65" cm="1">
        <f t="array" ref="L65">IFERROR(_xlfn.STDEV.S(IF((OutputTable[GroupByKey]=OutputTable[[#This Row],[GroupByKey]]),(OutputTable[GroupByKey]=OutputTable[[#This Row],[GroupByKey]])*OutputTable[RecordedValue])),0)</f>
        <v>8.4087502405714581E-3</v>
      </c>
      <c r="M6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6.0152575551752803E-3</v>
      </c>
      <c r="O65" cm="1">
        <f t="array" ref="O65">MIN(IF((OutputTable[GroupByKey]=OutputTable[[#This Row],[GroupByKey]]),(OutputTable[GroupByKey]=OutputTable[[#This Row],[GroupByKey]])*OutputTable[RecordedValue]))</f>
        <v>0.51150896826018899</v>
      </c>
      <c r="P65" cm="1">
        <f t="array" ref="P65">MAX(IF((OutputTable[GroupByKey]=OutputTable[[#This Row],[GroupByKey]]),(OutputTable[GroupByKey]=OutputTable[[#This Row],[GroupByKey]])*OutputTable[RecordedValue]))</f>
        <v>0.54003281556404203</v>
      </c>
    </row>
    <row r="66" spans="1:16" x14ac:dyDescent="0.25">
      <c r="A66" t="s">
        <v>67</v>
      </c>
      <c r="B66" t="s">
        <v>69</v>
      </c>
      <c r="C66">
        <v>5</v>
      </c>
      <c r="D66" t="s">
        <v>120</v>
      </c>
      <c r="E66" t="s">
        <v>113</v>
      </c>
      <c r="F66" t="s">
        <v>77</v>
      </c>
      <c r="G66">
        <v>16905</v>
      </c>
      <c r="H66">
        <v>0</v>
      </c>
      <c r="I66" t="str">
        <f>OutputTable[[#This Row],[ProjectName]]&amp;OutputTable[[#This Row],[Name]]&amp;OutputTable[[#This Row],[Type]]&amp;OutputTable[[#This Row],[Source]]</f>
        <v>Unnamed ProjectNewPart.NumberInNumber InEntity</v>
      </c>
      <c r="J66" cm="1">
        <f t="array" ref="J66">MAX(IF((ProjectInfoTable[ProjectName]=OutputTable[[#This Row],[ProjectName]]),(ProjectInfoTable[ProjectName]=OutputTable[[#This Row],[ProjectName]])*ProjectInfoTable[NumberOfReplications]))</f>
        <v>10</v>
      </c>
      <c r="K66" cm="1">
        <f t="array" ref="K66">IFERROR(AVERAGE(IF((OutputTable[GroupByKey]=OutputTable[[#This Row],[GroupByKey]]),(OutputTable[GroupByKey]=OutputTable[[#This Row],[GroupByKey]])*OutputTable[RecordedValue])),0)</f>
        <v>16948.3</v>
      </c>
      <c r="L66" cm="1">
        <f t="array" ref="L66">IFERROR(_xlfn.STDEV.S(IF((OutputTable[GroupByKey]=OutputTable[[#This Row],[GroupByKey]]),(OutputTable[GroupByKey]=OutputTable[[#This Row],[GroupByKey]])*OutputTable[RecordedValue])),0)</f>
        <v>183.31033189042506</v>
      </c>
      <c r="M66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131.13231185359012</v>
      </c>
      <c r="O66" cm="1">
        <f t="array" ref="O66">MIN(IF((OutputTable[GroupByKey]=OutputTable[[#This Row],[GroupByKey]]),(OutputTable[GroupByKey]=OutputTable[[#This Row],[GroupByKey]])*OutputTable[RecordedValue]))</f>
        <v>16656</v>
      </c>
      <c r="P66" cm="1">
        <f t="array" ref="P66">MAX(IF((OutputTable[GroupByKey]=OutputTable[[#This Row],[GroupByKey]]),(OutputTable[GroupByKey]=OutputTable[[#This Row],[GroupByKey]])*OutputTable[RecordedValue]))</f>
        <v>17189</v>
      </c>
    </row>
    <row r="67" spans="1:16" x14ac:dyDescent="0.25">
      <c r="A67" t="s">
        <v>67</v>
      </c>
      <c r="B67" t="s">
        <v>69</v>
      </c>
      <c r="C67">
        <v>5</v>
      </c>
      <c r="D67" t="s">
        <v>121</v>
      </c>
      <c r="E67" t="s">
        <v>115</v>
      </c>
      <c r="F67" t="s">
        <v>77</v>
      </c>
      <c r="G67">
        <v>16907</v>
      </c>
      <c r="H67">
        <v>0</v>
      </c>
      <c r="I67" t="str">
        <f>OutputTable[[#This Row],[ProjectName]]&amp;OutputTable[[#This Row],[Name]]&amp;OutputTable[[#This Row],[Type]]&amp;OutputTable[[#This Row],[Source]]</f>
        <v>Unnamed ProjectNewPart.NumberOutNumber OutEntity</v>
      </c>
      <c r="J67" cm="1">
        <f t="array" ref="J67">MAX(IF((ProjectInfoTable[ProjectName]=OutputTable[[#This Row],[ProjectName]]),(ProjectInfoTable[ProjectName]=OutputTable[[#This Row],[ProjectName]])*ProjectInfoTable[NumberOfReplications]))</f>
        <v>10</v>
      </c>
      <c r="K67" cm="1">
        <f t="array" ref="K67">IFERROR(AVERAGE(IF((OutputTable[GroupByKey]=OutputTable[[#This Row],[GroupByKey]]),(OutputTable[GroupByKey]=OutputTable[[#This Row],[GroupByKey]])*OutputTable[RecordedValue])),0)</f>
        <v>16948.099999999999</v>
      </c>
      <c r="L67" cm="1">
        <f t="array" ref="L67">IFERROR(_xlfn.STDEV.S(IF((OutputTable[GroupByKey]=OutputTable[[#This Row],[GroupByKey]]),(OutputTable[GroupByKey]=OutputTable[[#This Row],[GroupByKey]])*OutputTable[RecordedValue])),0)</f>
        <v>184.16022613172714</v>
      </c>
      <c r="M67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131.74028956845027</v>
      </c>
      <c r="O67" cm="1">
        <f t="array" ref="O67">MIN(IF((OutputTable[GroupByKey]=OutputTable[[#This Row],[GroupByKey]]),(OutputTable[GroupByKey]=OutputTable[[#This Row],[GroupByKey]])*OutputTable[RecordedValue]))</f>
        <v>16656</v>
      </c>
      <c r="P67" cm="1">
        <f t="array" ref="P67">MAX(IF((OutputTable[GroupByKey]=OutputTable[[#This Row],[GroupByKey]]),(OutputTable[GroupByKey]=OutputTable[[#This Row],[GroupByKey]])*OutputTable[RecordedValue]))</f>
        <v>17191</v>
      </c>
    </row>
    <row r="68" spans="1:16" x14ac:dyDescent="0.25">
      <c r="A68" t="s">
        <v>67</v>
      </c>
      <c r="B68" t="s">
        <v>69</v>
      </c>
      <c r="C68">
        <v>5</v>
      </c>
      <c r="D68" t="s">
        <v>122</v>
      </c>
      <c r="E68" t="s">
        <v>113</v>
      </c>
      <c r="F68" t="s">
        <v>77</v>
      </c>
      <c r="G68">
        <v>38935</v>
      </c>
      <c r="H68">
        <v>0</v>
      </c>
      <c r="I68" t="str">
        <f>OutputTable[[#This Row],[ProjectName]]&amp;OutputTable[[#This Row],[Name]]&amp;OutputTable[[#This Row],[Type]]&amp;OutputTable[[#This Row],[Source]]</f>
        <v>Unnamed ProjectOldPart.NumberInNumber InEntity</v>
      </c>
      <c r="J68" cm="1">
        <f t="array" ref="J68">MAX(IF((ProjectInfoTable[ProjectName]=OutputTable[[#This Row],[ProjectName]]),(ProjectInfoTable[ProjectName]=OutputTable[[#This Row],[ProjectName]])*ProjectInfoTable[NumberOfReplications]))</f>
        <v>10</v>
      </c>
      <c r="K68" cm="1">
        <f t="array" ref="K68">IFERROR(AVERAGE(IF((OutputTable[GroupByKey]=OutputTable[[#This Row],[GroupByKey]]),(OutputTable[GroupByKey]=OutputTable[[#This Row],[GroupByKey]])*OutputTable[RecordedValue])),0)</f>
        <v>39113.599999999999</v>
      </c>
      <c r="L68" cm="1">
        <f t="array" ref="L68">IFERROR(_xlfn.STDEV.S(IF((OutputTable[GroupByKey]=OutputTable[[#This Row],[GroupByKey]]),(OutputTable[GroupByKey]=OutputTable[[#This Row],[GroupByKey]])*OutputTable[RecordedValue])),0)</f>
        <v>260.00051282000709</v>
      </c>
      <c r="M68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185.9931624017064</v>
      </c>
      <c r="O68" cm="1">
        <f t="array" ref="O68">MIN(IF((OutputTable[GroupByKey]=OutputTable[[#This Row],[GroupByKey]]),(OutputTable[GroupByKey]=OutputTable[[#This Row],[GroupByKey]])*OutputTable[RecordedValue]))</f>
        <v>38586</v>
      </c>
      <c r="P68" cm="1">
        <f t="array" ref="P68">MAX(IF((OutputTable[GroupByKey]=OutputTable[[#This Row],[GroupByKey]]),(OutputTable[GroupByKey]=OutputTable[[#This Row],[GroupByKey]])*OutputTable[RecordedValue]))</f>
        <v>39514</v>
      </c>
    </row>
    <row r="69" spans="1:16" x14ac:dyDescent="0.25">
      <c r="A69" t="s">
        <v>67</v>
      </c>
      <c r="B69" t="s">
        <v>69</v>
      </c>
      <c r="C69">
        <v>5</v>
      </c>
      <c r="D69" t="s">
        <v>123</v>
      </c>
      <c r="E69" t="s">
        <v>115</v>
      </c>
      <c r="F69" t="s">
        <v>77</v>
      </c>
      <c r="G69">
        <v>38937</v>
      </c>
      <c r="H69">
        <v>0</v>
      </c>
      <c r="I69" t="str">
        <f>OutputTable[[#This Row],[ProjectName]]&amp;OutputTable[[#This Row],[Name]]&amp;OutputTable[[#This Row],[Type]]&amp;OutputTable[[#This Row],[Source]]</f>
        <v>Unnamed ProjectOldPart.NumberOutNumber OutEntity</v>
      </c>
      <c r="J69" cm="1">
        <f t="array" ref="J69">MAX(IF((ProjectInfoTable[ProjectName]=OutputTable[[#This Row],[ProjectName]]),(ProjectInfoTable[ProjectName]=OutputTable[[#This Row],[ProjectName]])*ProjectInfoTable[NumberOfReplications]))</f>
        <v>10</v>
      </c>
      <c r="K69" cm="1">
        <f t="array" ref="K69">IFERROR(AVERAGE(IF((OutputTable[GroupByKey]=OutputTable[[#This Row],[GroupByKey]]),(OutputTable[GroupByKey]=OutputTable[[#This Row],[GroupByKey]])*OutputTable[RecordedValue])),0)</f>
        <v>39114.6</v>
      </c>
      <c r="L69" cm="1">
        <f t="array" ref="L69">IFERROR(_xlfn.STDEV.S(IF((OutputTable[GroupByKey]=OutputTable[[#This Row],[GroupByKey]]),(OutputTable[GroupByKey]=OutputTable[[#This Row],[GroupByKey]])*OutputTable[RecordedValue])),0)</f>
        <v>258.98871704295448</v>
      </c>
      <c r="M69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185.26936730515985</v>
      </c>
      <c r="O69" cm="1">
        <f t="array" ref="O69">MIN(IF((OutputTable[GroupByKey]=OutputTable[[#This Row],[GroupByKey]]),(OutputTable[GroupByKey]=OutputTable[[#This Row],[GroupByKey]])*OutputTable[RecordedValue]))</f>
        <v>38588</v>
      </c>
      <c r="P69" cm="1">
        <f t="array" ref="P69">MAX(IF((OutputTable[GroupByKey]=OutputTable[[#This Row],[GroupByKey]]),(OutputTable[GroupByKey]=OutputTable[[#This Row],[GroupByKey]])*OutputTable[RecordedValue]))</f>
        <v>39510</v>
      </c>
    </row>
    <row r="70" spans="1:16" x14ac:dyDescent="0.25">
      <c r="A70" t="s">
        <v>67</v>
      </c>
      <c r="B70" t="s">
        <v>69</v>
      </c>
      <c r="C70">
        <v>5</v>
      </c>
      <c r="D70" t="s">
        <v>124</v>
      </c>
      <c r="E70" t="s">
        <v>117</v>
      </c>
      <c r="F70" t="s">
        <v>106</v>
      </c>
      <c r="G70">
        <v>19498</v>
      </c>
      <c r="H70">
        <v>0</v>
      </c>
      <c r="I70" t="str">
        <f>OutputTable[[#This Row],[ProjectName]]&amp;OutputTable[[#This Row],[Name]]&amp;OutputTable[[#This Row],[Type]]&amp;OutputTable[[#This Row],[Source]]</f>
        <v>Unnamed ProjectPACKER.NumberSeizedTotal Number SeizedResource</v>
      </c>
      <c r="J70" cm="1">
        <f t="array" ref="J70">MAX(IF((ProjectInfoTable[ProjectName]=OutputTable[[#This Row],[ProjectName]]),(ProjectInfoTable[ProjectName]=OutputTable[[#This Row],[ProjectName]])*ProjectInfoTable[NumberOfReplications]))</f>
        <v>10</v>
      </c>
      <c r="K70" cm="1">
        <f t="array" ref="K70">IFERROR(AVERAGE(IF((OutputTable[GroupByKey]=OutputTable[[#This Row],[GroupByKey]]),(OutputTable[GroupByKey]=OutputTable[[#This Row],[GroupByKey]])*OutputTable[RecordedValue])),0)</f>
        <v>19615.8</v>
      </c>
      <c r="L70" cm="1">
        <f t="array" ref="L70">IFERROR(_xlfn.STDEV.S(IF((OutputTable[GroupByKey]=OutputTable[[#This Row],[GroupByKey]]),(OutputTable[GroupByKey]=OutputTable[[#This Row],[GroupByKey]])*OutputTable[RecordedValue])),0)</f>
        <v>165.88670832830459</v>
      </c>
      <c r="M70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118.66820241139406</v>
      </c>
      <c r="O70" cm="1">
        <f t="array" ref="O70">MIN(IF((OutputTable[GroupByKey]=OutputTable[[#This Row],[GroupByKey]]),(OutputTable[GroupByKey]=OutputTable[[#This Row],[GroupByKey]])*OutputTable[RecordedValue]))</f>
        <v>19409</v>
      </c>
      <c r="P70" cm="1">
        <f t="array" ref="P70">MAX(IF((OutputTable[GroupByKey]=OutputTable[[#This Row],[GroupByKey]]),(OutputTable[GroupByKey]=OutputTable[[#This Row],[GroupByKey]])*OutputTable[RecordedValue]))</f>
        <v>19914</v>
      </c>
    </row>
    <row r="71" spans="1:16" x14ac:dyDescent="0.25">
      <c r="A71" t="s">
        <v>67</v>
      </c>
      <c r="B71" t="s">
        <v>69</v>
      </c>
      <c r="C71">
        <v>5</v>
      </c>
      <c r="D71" t="s">
        <v>125</v>
      </c>
      <c r="E71" t="s">
        <v>119</v>
      </c>
      <c r="F71" t="s">
        <v>106</v>
      </c>
      <c r="G71">
        <v>0.81071013184483298</v>
      </c>
      <c r="H71">
        <v>0</v>
      </c>
      <c r="I71" t="str">
        <f>OutputTable[[#This Row],[ProjectName]]&amp;OutputTable[[#This Row],[Name]]&amp;OutputTable[[#This Row],[Type]]&amp;OutputTable[[#This Row],[Source]]</f>
        <v>Unnamed ProjectPACKER.ScheduledUtilizationScheduled UtilizationResource</v>
      </c>
      <c r="J71" cm="1">
        <f t="array" ref="J71">MAX(IF((ProjectInfoTable[ProjectName]=OutputTable[[#This Row],[ProjectName]]),(ProjectInfoTable[ProjectName]=OutputTable[[#This Row],[ProjectName]])*ProjectInfoTable[NumberOfReplications]))</f>
        <v>10</v>
      </c>
      <c r="K71" cm="1">
        <f t="array" ref="K71">IFERROR(AVERAGE(IF((OutputTable[GroupByKey]=OutputTable[[#This Row],[GroupByKey]]),(OutputTable[GroupByKey]=OutputTable[[#This Row],[GroupByKey]])*OutputTable[RecordedValue])),0)</f>
        <v>0.81557194281027567</v>
      </c>
      <c r="L71" cm="1">
        <f t="array" ref="L71">IFERROR(_xlfn.STDEV.S(IF((OutputTable[GroupByKey]=OutputTable[[#This Row],[GroupByKey]]),(OutputTable[GroupByKey]=OutputTable[[#This Row],[GroupByKey]])*OutputTable[RecordedValue])),0)</f>
        <v>6.9416851287817331E-3</v>
      </c>
      <c r="M71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4.9657823959478754E-3</v>
      </c>
      <c r="O71" cm="1">
        <f t="array" ref="O71">MIN(IF((OutputTable[GroupByKey]=OutputTable[[#This Row],[GroupByKey]]),(OutputTable[GroupByKey]=OutputTable[[#This Row],[GroupByKey]])*OutputTable[RecordedValue]))</f>
        <v>0.80675605099888203</v>
      </c>
      <c r="P71" cm="1">
        <f t="array" ref="P71">MAX(IF((OutputTable[GroupByKey]=OutputTable[[#This Row],[GroupByKey]]),(OutputTable[GroupByKey]=OutputTable[[#This Row],[GroupByKey]])*OutputTable[RecordedValue]))</f>
        <v>0.82818429749007605</v>
      </c>
    </row>
    <row r="72" spans="1:16" x14ac:dyDescent="0.25">
      <c r="A72" t="s">
        <v>67</v>
      </c>
      <c r="B72" t="s">
        <v>69</v>
      </c>
      <c r="C72">
        <v>5</v>
      </c>
      <c r="D72" t="s">
        <v>126</v>
      </c>
      <c r="E72" t="s">
        <v>117</v>
      </c>
      <c r="F72" t="s">
        <v>106</v>
      </c>
      <c r="G72">
        <v>13677</v>
      </c>
      <c r="H72">
        <v>0</v>
      </c>
      <c r="I72" t="str">
        <f>OutputTable[[#This Row],[ProjectName]]&amp;OutputTable[[#This Row],[Name]]&amp;OutputTable[[#This Row],[Type]]&amp;OutputTable[[#This Row],[Source]]</f>
        <v>Unnamed ProjectPAINTER.NumberSeizedTotal Number SeizedResource</v>
      </c>
      <c r="J72" cm="1">
        <f t="array" ref="J72">MAX(IF((ProjectInfoTable[ProjectName]=OutputTable[[#This Row],[ProjectName]]),(ProjectInfoTable[ProjectName]=OutputTable[[#This Row],[ProjectName]])*ProjectInfoTable[NumberOfReplications]))</f>
        <v>10</v>
      </c>
      <c r="K72" cm="1">
        <f t="array" ref="K72">IFERROR(AVERAGE(IF((OutputTable[GroupByKey]=OutputTable[[#This Row],[GroupByKey]]),(OutputTable[GroupByKey]=OutputTable[[#This Row],[GroupByKey]])*OutputTable[RecordedValue])),0)</f>
        <v>13722.6</v>
      </c>
      <c r="L72" cm="1">
        <f t="array" ref="L72">IFERROR(_xlfn.STDEV.S(IF((OutputTable[GroupByKey]=OutputTable[[#This Row],[GroupByKey]]),(OutputTable[GroupByKey]=OutputTable[[#This Row],[GroupByKey]])*OutputTable[RecordedValue])),0)</f>
        <v>113.64682133698241</v>
      </c>
      <c r="M72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81.298038485024648</v>
      </c>
      <c r="O72" cm="1">
        <f t="array" ref="O72">MIN(IF((OutputTable[GroupByKey]=OutputTable[[#This Row],[GroupByKey]]),(OutputTable[GroupByKey]=OutputTable[[#This Row],[GroupByKey]])*OutputTable[RecordedValue]))</f>
        <v>13496</v>
      </c>
      <c r="P72" cm="1">
        <f t="array" ref="P72">MAX(IF((OutputTable[GroupByKey]=OutputTable[[#This Row],[GroupByKey]]),(OutputTable[GroupByKey]=OutputTable[[#This Row],[GroupByKey]])*OutputTable[RecordedValue]))</f>
        <v>13871</v>
      </c>
    </row>
    <row r="73" spans="1:16" x14ac:dyDescent="0.25">
      <c r="A73" t="s">
        <v>67</v>
      </c>
      <c r="B73" t="s">
        <v>69</v>
      </c>
      <c r="C73">
        <v>5</v>
      </c>
      <c r="D73" t="s">
        <v>127</v>
      </c>
      <c r="E73" t="s">
        <v>119</v>
      </c>
      <c r="F73" t="s">
        <v>106</v>
      </c>
      <c r="G73">
        <v>0.54726193256515798</v>
      </c>
      <c r="H73">
        <v>0</v>
      </c>
      <c r="I73" t="str">
        <f>OutputTable[[#This Row],[ProjectName]]&amp;OutputTable[[#This Row],[Name]]&amp;OutputTable[[#This Row],[Type]]&amp;OutputTable[[#This Row],[Source]]</f>
        <v>Unnamed ProjectPAINTER.ScheduledUtilizationScheduled UtilizationResource</v>
      </c>
      <c r="J73" cm="1">
        <f t="array" ref="J73">MAX(IF((ProjectInfoTable[ProjectName]=OutputTable[[#This Row],[ProjectName]]),(ProjectInfoTable[ProjectName]=OutputTable[[#This Row],[ProjectName]])*ProjectInfoTable[NumberOfReplications]))</f>
        <v>10</v>
      </c>
      <c r="K73" cm="1">
        <f t="array" ref="K73">IFERROR(AVERAGE(IF((OutputTable[GroupByKey]=OutputTable[[#This Row],[GroupByKey]]),(OutputTable[GroupByKey]=OutputTable[[#This Row],[GroupByKey]])*OutputTable[RecordedValue])),0)</f>
        <v>0.54938142053560801</v>
      </c>
      <c r="L73" cm="1">
        <f t="array" ref="L73">IFERROR(_xlfn.STDEV.S(IF((OutputTable[GroupByKey]=OutputTable[[#This Row],[GroupByKey]]),(OutputTable[GroupByKey]=OutputTable[[#This Row],[GroupByKey]])*OutputTable[RecordedValue])),0)</f>
        <v>4.5196387022068685E-3</v>
      </c>
      <c r="M73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3.2331547581159752E-3</v>
      </c>
      <c r="O73" cm="1">
        <f t="array" ref="O73">MIN(IF((OutputTable[GroupByKey]=OutputTable[[#This Row],[GroupByKey]]),(OutputTable[GroupByKey]=OutputTable[[#This Row],[GroupByKey]])*OutputTable[RecordedValue]))</f>
        <v>0.54030874063430001</v>
      </c>
      <c r="P73" cm="1">
        <f t="array" ref="P73">MAX(IF((OutputTable[GroupByKey]=OutputTable[[#This Row],[GroupByKey]]),(OutputTable[GroupByKey]=OutputTable[[#This Row],[GroupByKey]])*OutputTable[RecordedValue]))</f>
        <v>0.55566835138728998</v>
      </c>
    </row>
    <row r="74" spans="1:16" x14ac:dyDescent="0.25">
      <c r="A74" t="s">
        <v>67</v>
      </c>
      <c r="B74" t="s">
        <v>69</v>
      </c>
      <c r="C74">
        <v>5</v>
      </c>
      <c r="D74" t="s">
        <v>128</v>
      </c>
      <c r="E74" t="s">
        <v>115</v>
      </c>
      <c r="F74" t="s">
        <v>129</v>
      </c>
      <c r="G74">
        <v>55844</v>
      </c>
      <c r="H74">
        <v>0</v>
      </c>
      <c r="I74" t="str">
        <f>OutputTable[[#This Row],[ProjectName]]&amp;OutputTable[[#This Row],[Name]]&amp;OutputTable[[#This Row],[Type]]&amp;OutputTable[[#This Row],[Source]]</f>
        <v>Unnamed ProjectSystem.NumberOutNumber OutSystem</v>
      </c>
      <c r="J74" cm="1">
        <f t="array" ref="J74">MAX(IF((ProjectInfoTable[ProjectName]=OutputTable[[#This Row],[ProjectName]]),(ProjectInfoTable[ProjectName]=OutputTable[[#This Row],[ProjectName]])*ProjectInfoTable[NumberOfReplications]))</f>
        <v>10</v>
      </c>
      <c r="K74" cm="1">
        <f t="array" ref="K74">IFERROR(AVERAGE(IF((OutputTable[GroupByKey]=OutputTable[[#This Row],[GroupByKey]]),(OutputTable[GroupByKey]=OutputTable[[#This Row],[GroupByKey]])*OutputTable[RecordedValue])),0)</f>
        <v>56062.7</v>
      </c>
      <c r="L74" cm="1">
        <f t="array" ref="L74">IFERROR(_xlfn.STDEV.S(IF((OutputTable[GroupByKey]=OutputTable[[#This Row],[GroupByKey]]),(OutputTable[GroupByKey]=OutputTable[[#This Row],[GroupByKey]])*OutputTable[RecordedValue])),0)</f>
        <v>281.95036994320668</v>
      </c>
      <c r="M74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201.69514427985661</v>
      </c>
      <c r="O74" cm="1">
        <f t="array" ref="O74">MIN(IF((OutputTable[GroupByKey]=OutputTable[[#This Row],[GroupByKey]]),(OutputTable[GroupByKey]=OutputTable[[#This Row],[GroupByKey]])*OutputTable[RecordedValue]))</f>
        <v>55662</v>
      </c>
      <c r="P74" cm="1">
        <f t="array" ref="P74">MAX(IF((OutputTable[GroupByKey]=OutputTable[[#This Row],[GroupByKey]]),(OutputTable[GroupByKey]=OutputTable[[#This Row],[GroupByKey]])*OutputTable[RecordedValue]))</f>
        <v>56611</v>
      </c>
    </row>
    <row r="75" spans="1:16" x14ac:dyDescent="0.25">
      <c r="A75" t="s">
        <v>67</v>
      </c>
      <c r="B75" t="s">
        <v>69</v>
      </c>
      <c r="C75">
        <v>5</v>
      </c>
      <c r="D75" t="s">
        <v>130</v>
      </c>
      <c r="E75" t="s">
        <v>117</v>
      </c>
      <c r="F75" t="s">
        <v>106</v>
      </c>
      <c r="G75">
        <v>19495</v>
      </c>
      <c r="H75">
        <v>0</v>
      </c>
      <c r="I75" t="str">
        <f>OutputTable[[#This Row],[ProjectName]]&amp;OutputTable[[#This Row],[Name]]&amp;OutputTable[[#This Row],[Type]]&amp;OutputTable[[#This Row],[Source]]</f>
        <v>Unnamed ProjectWORKER.NumberSeizedTotal Number SeizedResource</v>
      </c>
      <c r="J75" cm="1">
        <f t="array" ref="J75">MAX(IF((ProjectInfoTable[ProjectName]=OutputTable[[#This Row],[ProjectName]]),(ProjectInfoTable[ProjectName]=OutputTable[[#This Row],[ProjectName]])*ProjectInfoTable[NumberOfReplications]))</f>
        <v>10</v>
      </c>
      <c r="K75" cm="1">
        <f t="array" ref="K75">IFERROR(AVERAGE(IF((OutputTable[GroupByKey]=OutputTable[[#This Row],[GroupByKey]]),(OutputTable[GroupByKey]=OutputTable[[#This Row],[GroupByKey]])*OutputTable[RecordedValue])),0)</f>
        <v>19616</v>
      </c>
      <c r="L75" cm="1">
        <f t="array" ref="L75">IFERROR(_xlfn.STDEV.S(IF((OutputTable[GroupByKey]=OutputTable[[#This Row],[GroupByKey]]),(OutputTable[GroupByKey]=OutputTable[[#This Row],[GroupByKey]])*OutputTable[RecordedValue])),0)</f>
        <v>166.31629839288485</v>
      </c>
      <c r="M7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118.97551263082794</v>
      </c>
      <c r="O75" cm="1">
        <f t="array" ref="O75">MIN(IF((OutputTable[GroupByKey]=OutputTable[[#This Row],[GroupByKey]]),(OutputTable[GroupByKey]=OutputTable[[#This Row],[GroupByKey]])*OutputTable[RecordedValue]))</f>
        <v>19409</v>
      </c>
      <c r="P75" cm="1">
        <f t="array" ref="P75">MAX(IF((OutputTable[GroupByKey]=OutputTable[[#This Row],[GroupByKey]]),(OutputTable[GroupByKey]=OutputTable[[#This Row],[GroupByKey]])*OutputTable[RecordedValue]))</f>
        <v>19915</v>
      </c>
    </row>
    <row r="76" spans="1:16" x14ac:dyDescent="0.25">
      <c r="A76" t="s">
        <v>67</v>
      </c>
      <c r="B76" t="s">
        <v>69</v>
      </c>
      <c r="C76">
        <v>5</v>
      </c>
      <c r="D76" t="s">
        <v>131</v>
      </c>
      <c r="E76" t="s">
        <v>119</v>
      </c>
      <c r="F76" t="s">
        <v>106</v>
      </c>
      <c r="G76">
        <v>0.814901604024725</v>
      </c>
      <c r="H76">
        <v>0</v>
      </c>
      <c r="I76" t="str">
        <f>OutputTable[[#This Row],[ProjectName]]&amp;OutputTable[[#This Row],[Name]]&amp;OutputTable[[#This Row],[Type]]&amp;OutputTable[[#This Row],[Source]]</f>
        <v>Unnamed ProjectWORKER.ScheduledUtilizationScheduled UtilizationResource</v>
      </c>
      <c r="J76" cm="1">
        <f t="array" ref="J76">MAX(IF((ProjectInfoTable[ProjectName]=OutputTable[[#This Row],[ProjectName]]),(ProjectInfoTable[ProjectName]=OutputTable[[#This Row],[ProjectName]])*ProjectInfoTable[NumberOfReplications]))</f>
        <v>10</v>
      </c>
      <c r="K76" cm="1">
        <f t="array" ref="K76">IFERROR(AVERAGE(IF((OutputTable[GroupByKey]=OutputTable[[#This Row],[GroupByKey]]),(OutputTable[GroupByKey]=OutputTable[[#This Row],[GroupByKey]])*OutputTable[RecordedValue])),0)</f>
        <v>0.82030090075893936</v>
      </c>
      <c r="L76" cm="1">
        <f t="array" ref="L76">IFERROR(_xlfn.STDEV.S(IF((OutputTable[GroupByKey]=OutputTable[[#This Row],[GroupByKey]]),(OutputTable[GroupByKey]=OutputTable[[#This Row],[GroupByKey]])*OutputTable[RecordedValue])),0)</f>
        <v>6.9684713894533476E-3</v>
      </c>
      <c r="M76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4.9849441325044447E-3</v>
      </c>
      <c r="O76" cm="1">
        <f t="array" ref="O76">MIN(IF((OutputTable[GroupByKey]=OutputTable[[#This Row],[GroupByKey]]),(OutputTable[GroupByKey]=OutputTable[[#This Row],[GroupByKey]])*OutputTable[RecordedValue]))</f>
        <v>0.81151215762737705</v>
      </c>
      <c r="P76" cm="1">
        <f t="array" ref="P76">MAX(IF((OutputTable[GroupByKey]=OutputTable[[#This Row],[GroupByKey]]),(OutputTable[GroupByKey]=OutputTable[[#This Row],[GroupByKey]])*OutputTable[RecordedValue]))</f>
        <v>0.832837691284112</v>
      </c>
    </row>
    <row r="77" spans="1:16" x14ac:dyDescent="0.25">
      <c r="A77" t="s">
        <v>67</v>
      </c>
      <c r="B77" t="s">
        <v>69</v>
      </c>
      <c r="C77">
        <v>6</v>
      </c>
      <c r="D77" t="s">
        <v>112</v>
      </c>
      <c r="E77" t="s">
        <v>113</v>
      </c>
      <c r="F77" t="s">
        <v>77</v>
      </c>
      <c r="G77">
        <v>19859</v>
      </c>
      <c r="H77">
        <v>0</v>
      </c>
      <c r="I77" t="str">
        <f>OutputTable[[#This Row],[ProjectName]]&amp;OutputTable[[#This Row],[Name]]&amp;OutputTable[[#This Row],[Type]]&amp;OutputTable[[#This Row],[Source]]</f>
        <v>Unnamed ProjectEntity 1.NumberInNumber InEntity</v>
      </c>
      <c r="J77" cm="1">
        <f t="array" ref="J77">MAX(IF((ProjectInfoTable[ProjectName]=OutputTable[[#This Row],[ProjectName]]),(ProjectInfoTable[ProjectName]=OutputTable[[#This Row],[ProjectName]])*ProjectInfoTable[NumberOfReplications]))</f>
        <v>10</v>
      </c>
      <c r="K77" cm="1">
        <f t="array" ref="K77">IFERROR(AVERAGE(IF((OutputTable[GroupByKey]=OutputTable[[#This Row],[GroupByKey]]),(OutputTable[GroupByKey]=OutputTable[[#This Row],[GroupByKey]])*OutputTable[RecordedValue])),0)</f>
        <v>19615.599999999999</v>
      </c>
      <c r="L77" cm="1">
        <f t="array" ref="L77">IFERROR(_xlfn.STDEV.S(IF((OutputTable[GroupByKey]=OutputTable[[#This Row],[GroupByKey]]),(OutputTable[GroupByKey]=OutputTable[[#This Row],[GroupByKey]])*OutputTable[RecordedValue])),0)</f>
        <v>165.97134960254101</v>
      </c>
      <c r="M77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118.72875113144924</v>
      </c>
      <c r="O77" cm="1">
        <f t="array" ref="O77">MIN(IF((OutputTable[GroupByKey]=OutputTable[[#This Row],[GroupByKey]]),(OutputTable[GroupByKey]=OutputTable[[#This Row],[GroupByKey]])*OutputTable[RecordedValue]))</f>
        <v>19410</v>
      </c>
      <c r="P77" cm="1">
        <f t="array" ref="P77">MAX(IF((OutputTable[GroupByKey]=OutputTable[[#This Row],[GroupByKey]]),(OutputTable[GroupByKey]=OutputTable[[#This Row],[GroupByKey]])*OutputTable[RecordedValue]))</f>
        <v>19914</v>
      </c>
    </row>
    <row r="78" spans="1:16" x14ac:dyDescent="0.25">
      <c r="A78" t="s">
        <v>67</v>
      </c>
      <c r="B78" t="s">
        <v>69</v>
      </c>
      <c r="C78">
        <v>6</v>
      </c>
      <c r="D78" t="s">
        <v>114</v>
      </c>
      <c r="E78" t="s">
        <v>115</v>
      </c>
      <c r="F78" t="s">
        <v>77</v>
      </c>
      <c r="G78">
        <v>19859</v>
      </c>
      <c r="H78">
        <v>0</v>
      </c>
      <c r="I78" t="str">
        <f>OutputTable[[#This Row],[ProjectName]]&amp;OutputTable[[#This Row],[Name]]&amp;OutputTable[[#This Row],[Type]]&amp;OutputTable[[#This Row],[Source]]</f>
        <v>Unnamed ProjectEntity 1.NumberOutNumber OutEntity</v>
      </c>
      <c r="J78" cm="1">
        <f t="array" ref="J78">MAX(IF((ProjectInfoTable[ProjectName]=OutputTable[[#This Row],[ProjectName]]),(ProjectInfoTable[ProjectName]=OutputTable[[#This Row],[ProjectName]])*ProjectInfoTable[NumberOfReplications]))</f>
        <v>10</v>
      </c>
      <c r="K78" cm="1">
        <f t="array" ref="K78">IFERROR(AVERAGE(IF((OutputTable[GroupByKey]=OutputTable[[#This Row],[GroupByKey]]),(OutputTable[GroupByKey]=OutputTable[[#This Row],[GroupByKey]])*OutputTable[RecordedValue])),0)</f>
        <v>19615.599999999999</v>
      </c>
      <c r="L78" cm="1">
        <f t="array" ref="L78">IFERROR(_xlfn.STDEV.S(IF((OutputTable[GroupByKey]=OutputTable[[#This Row],[GroupByKey]]),(OutputTable[GroupByKey]=OutputTable[[#This Row],[GroupByKey]])*OutputTable[RecordedValue])),0)</f>
        <v>165.97134960254101</v>
      </c>
      <c r="M78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118.72875113144924</v>
      </c>
      <c r="O78" cm="1">
        <f t="array" ref="O78">MIN(IF((OutputTable[GroupByKey]=OutputTable[[#This Row],[GroupByKey]]),(OutputTable[GroupByKey]=OutputTable[[#This Row],[GroupByKey]])*OutputTable[RecordedValue]))</f>
        <v>19410</v>
      </c>
      <c r="P78" cm="1">
        <f t="array" ref="P78">MAX(IF((OutputTable[GroupByKey]=OutputTable[[#This Row],[GroupByKey]]),(OutputTable[GroupByKey]=OutputTable[[#This Row],[GroupByKey]])*OutputTable[RecordedValue]))</f>
        <v>19914</v>
      </c>
    </row>
    <row r="79" spans="1:16" x14ac:dyDescent="0.25">
      <c r="A79" t="s">
        <v>67</v>
      </c>
      <c r="B79" t="s">
        <v>69</v>
      </c>
      <c r="C79">
        <v>6</v>
      </c>
      <c r="D79" t="s">
        <v>116</v>
      </c>
      <c r="E79" t="s">
        <v>117</v>
      </c>
      <c r="F79" t="s">
        <v>106</v>
      </c>
      <c r="G79">
        <v>5986</v>
      </c>
      <c r="H79">
        <v>0</v>
      </c>
      <c r="I79" t="str">
        <f>OutputTable[[#This Row],[ProjectName]]&amp;OutputTable[[#This Row],[Name]]&amp;OutputTable[[#This Row],[Type]]&amp;OutputTable[[#This Row],[Source]]</f>
        <v>Unnamed ProjectNEWPAINTER.NumberSeizedTotal Number SeizedResource</v>
      </c>
      <c r="J79" cm="1">
        <f t="array" ref="J79">MAX(IF((ProjectInfoTable[ProjectName]=OutputTable[[#This Row],[ProjectName]]),(ProjectInfoTable[ProjectName]=OutputTable[[#This Row],[ProjectName]])*ProjectInfoTable[NumberOfReplications]))</f>
        <v>10</v>
      </c>
      <c r="K79" cm="1">
        <f t="array" ref="K79">IFERROR(AVERAGE(IF((OutputTable[GroupByKey]=OutputTable[[#This Row],[GroupByKey]]),(OutputTable[GroupByKey]=OutputTable[[#This Row],[GroupByKey]])*OutputTable[RecordedValue])),0)</f>
        <v>5893</v>
      </c>
      <c r="L79" cm="1">
        <f t="array" ref="L79">IFERROR(_xlfn.STDEV.S(IF((OutputTable[GroupByKey]=OutputTable[[#This Row],[GroupByKey]]),(OutputTable[GroupByKey]=OutputTable[[#This Row],[GroupByKey]])*OutputTable[RecordedValue])),0)</f>
        <v>92.348374226199681</v>
      </c>
      <c r="M79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66.062047257875278</v>
      </c>
      <c r="O79" cm="1">
        <f t="array" ref="O79">MIN(IF((OutputTable[GroupByKey]=OutputTable[[#This Row],[GroupByKey]]),(OutputTable[GroupByKey]=OutputTable[[#This Row],[GroupByKey]])*OutputTable[RecordedValue]))</f>
        <v>5736</v>
      </c>
      <c r="P79" cm="1">
        <f t="array" ref="P79">MAX(IF((OutputTable[GroupByKey]=OutputTable[[#This Row],[GroupByKey]]),(OutputTable[GroupByKey]=OutputTable[[#This Row],[GroupByKey]])*OutputTable[RecordedValue]))</f>
        <v>6053</v>
      </c>
    </row>
    <row r="80" spans="1:16" x14ac:dyDescent="0.25">
      <c r="A80" t="s">
        <v>67</v>
      </c>
      <c r="B80" t="s">
        <v>69</v>
      </c>
      <c r="C80">
        <v>6</v>
      </c>
      <c r="D80" t="s">
        <v>118</v>
      </c>
      <c r="E80" t="s">
        <v>119</v>
      </c>
      <c r="F80" t="s">
        <v>106</v>
      </c>
      <c r="G80">
        <v>0.53340234367730699</v>
      </c>
      <c r="H80">
        <v>0</v>
      </c>
      <c r="I80" t="str">
        <f>OutputTable[[#This Row],[ProjectName]]&amp;OutputTable[[#This Row],[Name]]&amp;OutputTable[[#This Row],[Type]]&amp;OutputTable[[#This Row],[Source]]</f>
        <v>Unnamed ProjectNEWPAINTER.ScheduledUtilizationScheduled UtilizationResource</v>
      </c>
      <c r="J80" cm="1">
        <f t="array" ref="J80">MAX(IF((ProjectInfoTable[ProjectName]=OutputTable[[#This Row],[ProjectName]]),(ProjectInfoTable[ProjectName]=OutputTable[[#This Row],[ProjectName]])*ProjectInfoTable[NumberOfReplications]))</f>
        <v>10</v>
      </c>
      <c r="K80" cm="1">
        <f t="array" ref="K80">IFERROR(AVERAGE(IF((OutputTable[GroupByKey]=OutputTable[[#This Row],[GroupByKey]]),(OutputTable[GroupByKey]=OutputTable[[#This Row],[GroupByKey]])*OutputTable[RecordedValue])),0)</f>
        <v>0.52518723279433455</v>
      </c>
      <c r="L80" cm="1">
        <f t="array" ref="L80">IFERROR(_xlfn.STDEV.S(IF((OutputTable[GroupByKey]=OutputTable[[#This Row],[GroupByKey]]),(OutputTable[GroupByKey]=OutputTable[[#This Row],[GroupByKey]])*OutputTable[RecordedValue])),0)</f>
        <v>8.4087502405714581E-3</v>
      </c>
      <c r="M80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6.0152575551752803E-3</v>
      </c>
      <c r="O80" cm="1">
        <f t="array" ref="O80">MIN(IF((OutputTable[GroupByKey]=OutputTable[[#This Row],[GroupByKey]]),(OutputTable[GroupByKey]=OutputTable[[#This Row],[GroupByKey]])*OutputTable[RecordedValue]))</f>
        <v>0.51150896826018899</v>
      </c>
      <c r="P80" cm="1">
        <f t="array" ref="P80">MAX(IF((OutputTable[GroupByKey]=OutputTable[[#This Row],[GroupByKey]]),(OutputTable[GroupByKey]=OutputTable[[#This Row],[GroupByKey]])*OutputTable[RecordedValue]))</f>
        <v>0.54003281556404203</v>
      </c>
    </row>
    <row r="81" spans="1:16" x14ac:dyDescent="0.25">
      <c r="A81" t="s">
        <v>67</v>
      </c>
      <c r="B81" t="s">
        <v>69</v>
      </c>
      <c r="C81">
        <v>6</v>
      </c>
      <c r="D81" t="s">
        <v>120</v>
      </c>
      <c r="E81" t="s">
        <v>113</v>
      </c>
      <c r="F81" t="s">
        <v>77</v>
      </c>
      <c r="G81">
        <v>17099</v>
      </c>
      <c r="H81">
        <v>0</v>
      </c>
      <c r="I81" t="str">
        <f>OutputTable[[#This Row],[ProjectName]]&amp;OutputTable[[#This Row],[Name]]&amp;OutputTable[[#This Row],[Type]]&amp;OutputTable[[#This Row],[Source]]</f>
        <v>Unnamed ProjectNewPart.NumberInNumber InEntity</v>
      </c>
      <c r="J81" cm="1">
        <f t="array" ref="J81">MAX(IF((ProjectInfoTable[ProjectName]=OutputTable[[#This Row],[ProjectName]]),(ProjectInfoTable[ProjectName]=OutputTable[[#This Row],[ProjectName]])*ProjectInfoTable[NumberOfReplications]))</f>
        <v>10</v>
      </c>
      <c r="K81" cm="1">
        <f t="array" ref="K81">IFERROR(AVERAGE(IF((OutputTable[GroupByKey]=OutputTable[[#This Row],[GroupByKey]]),(OutputTable[GroupByKey]=OutputTable[[#This Row],[GroupByKey]])*OutputTable[RecordedValue])),0)</f>
        <v>16948.3</v>
      </c>
      <c r="L81" cm="1">
        <f t="array" ref="L81">IFERROR(_xlfn.STDEV.S(IF((OutputTable[GroupByKey]=OutputTable[[#This Row],[GroupByKey]]),(OutputTable[GroupByKey]=OutputTable[[#This Row],[GroupByKey]])*OutputTable[RecordedValue])),0)</f>
        <v>183.31033189042506</v>
      </c>
      <c r="M81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131.13231185359012</v>
      </c>
      <c r="O81" cm="1">
        <f t="array" ref="O81">MIN(IF((OutputTable[GroupByKey]=OutputTable[[#This Row],[GroupByKey]]),(OutputTable[GroupByKey]=OutputTable[[#This Row],[GroupByKey]])*OutputTable[RecordedValue]))</f>
        <v>16656</v>
      </c>
      <c r="P81" cm="1">
        <f t="array" ref="P81">MAX(IF((OutputTable[GroupByKey]=OutputTable[[#This Row],[GroupByKey]]),(OutputTable[GroupByKey]=OutputTable[[#This Row],[GroupByKey]])*OutputTable[RecordedValue]))</f>
        <v>17189</v>
      </c>
    </row>
    <row r="82" spans="1:16" x14ac:dyDescent="0.25">
      <c r="A82" t="s">
        <v>67</v>
      </c>
      <c r="B82" t="s">
        <v>69</v>
      </c>
      <c r="C82">
        <v>6</v>
      </c>
      <c r="D82" t="s">
        <v>121</v>
      </c>
      <c r="E82" t="s">
        <v>115</v>
      </c>
      <c r="F82" t="s">
        <v>77</v>
      </c>
      <c r="G82">
        <v>17101</v>
      </c>
      <c r="H82">
        <v>0</v>
      </c>
      <c r="I82" t="str">
        <f>OutputTable[[#This Row],[ProjectName]]&amp;OutputTable[[#This Row],[Name]]&amp;OutputTable[[#This Row],[Type]]&amp;OutputTable[[#This Row],[Source]]</f>
        <v>Unnamed ProjectNewPart.NumberOutNumber OutEntity</v>
      </c>
      <c r="J82" cm="1">
        <f t="array" ref="J82">MAX(IF((ProjectInfoTable[ProjectName]=OutputTable[[#This Row],[ProjectName]]),(ProjectInfoTable[ProjectName]=OutputTable[[#This Row],[ProjectName]])*ProjectInfoTable[NumberOfReplications]))</f>
        <v>10</v>
      </c>
      <c r="K82" cm="1">
        <f t="array" ref="K82">IFERROR(AVERAGE(IF((OutputTable[GroupByKey]=OutputTable[[#This Row],[GroupByKey]]),(OutputTable[GroupByKey]=OutputTable[[#This Row],[GroupByKey]])*OutputTable[RecordedValue])),0)</f>
        <v>16948.099999999999</v>
      </c>
      <c r="L82" cm="1">
        <f t="array" ref="L82">IFERROR(_xlfn.STDEV.S(IF((OutputTable[GroupByKey]=OutputTable[[#This Row],[GroupByKey]]),(OutputTable[GroupByKey]=OutputTable[[#This Row],[GroupByKey]])*OutputTable[RecordedValue])),0)</f>
        <v>184.16022613172714</v>
      </c>
      <c r="M82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131.74028956845027</v>
      </c>
      <c r="O82" cm="1">
        <f t="array" ref="O82">MIN(IF((OutputTable[GroupByKey]=OutputTable[[#This Row],[GroupByKey]]),(OutputTable[GroupByKey]=OutputTable[[#This Row],[GroupByKey]])*OutputTable[RecordedValue]))</f>
        <v>16656</v>
      </c>
      <c r="P82" cm="1">
        <f t="array" ref="P82">MAX(IF((OutputTable[GroupByKey]=OutputTable[[#This Row],[GroupByKey]]),(OutputTable[GroupByKey]=OutputTable[[#This Row],[GroupByKey]])*OutputTable[RecordedValue]))</f>
        <v>17191</v>
      </c>
    </row>
    <row r="83" spans="1:16" x14ac:dyDescent="0.25">
      <c r="A83" t="s">
        <v>67</v>
      </c>
      <c r="B83" t="s">
        <v>69</v>
      </c>
      <c r="C83">
        <v>6</v>
      </c>
      <c r="D83" t="s">
        <v>122</v>
      </c>
      <c r="E83" t="s">
        <v>113</v>
      </c>
      <c r="F83" t="s">
        <v>77</v>
      </c>
      <c r="G83">
        <v>39514</v>
      </c>
      <c r="H83">
        <v>0</v>
      </c>
      <c r="I83" t="str">
        <f>OutputTable[[#This Row],[ProjectName]]&amp;OutputTable[[#This Row],[Name]]&amp;OutputTable[[#This Row],[Type]]&amp;OutputTable[[#This Row],[Source]]</f>
        <v>Unnamed ProjectOldPart.NumberInNumber InEntity</v>
      </c>
      <c r="J83" cm="1">
        <f t="array" ref="J83">MAX(IF((ProjectInfoTable[ProjectName]=OutputTable[[#This Row],[ProjectName]]),(ProjectInfoTable[ProjectName]=OutputTable[[#This Row],[ProjectName]])*ProjectInfoTable[NumberOfReplications]))</f>
        <v>10</v>
      </c>
      <c r="K83" cm="1">
        <f t="array" ref="K83">IFERROR(AVERAGE(IF((OutputTable[GroupByKey]=OutputTable[[#This Row],[GroupByKey]]),(OutputTable[GroupByKey]=OutputTable[[#This Row],[GroupByKey]])*OutputTable[RecordedValue])),0)</f>
        <v>39113.599999999999</v>
      </c>
      <c r="L83" cm="1">
        <f t="array" ref="L83">IFERROR(_xlfn.STDEV.S(IF((OutputTable[GroupByKey]=OutputTable[[#This Row],[GroupByKey]]),(OutputTable[GroupByKey]=OutputTable[[#This Row],[GroupByKey]])*OutputTable[RecordedValue])),0)</f>
        <v>260.00051282000709</v>
      </c>
      <c r="M83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185.9931624017064</v>
      </c>
      <c r="O83" cm="1">
        <f t="array" ref="O83">MIN(IF((OutputTable[GroupByKey]=OutputTable[[#This Row],[GroupByKey]]),(OutputTable[GroupByKey]=OutputTable[[#This Row],[GroupByKey]])*OutputTable[RecordedValue]))</f>
        <v>38586</v>
      </c>
      <c r="P83" cm="1">
        <f t="array" ref="P83">MAX(IF((OutputTable[GroupByKey]=OutputTable[[#This Row],[GroupByKey]]),(OutputTable[GroupByKey]=OutputTable[[#This Row],[GroupByKey]])*OutputTable[RecordedValue]))</f>
        <v>39514</v>
      </c>
    </row>
    <row r="84" spans="1:16" x14ac:dyDescent="0.25">
      <c r="A84" t="s">
        <v>67</v>
      </c>
      <c r="B84" t="s">
        <v>69</v>
      </c>
      <c r="C84">
        <v>6</v>
      </c>
      <c r="D84" t="s">
        <v>123</v>
      </c>
      <c r="E84" t="s">
        <v>115</v>
      </c>
      <c r="F84" t="s">
        <v>77</v>
      </c>
      <c r="G84">
        <v>39510</v>
      </c>
      <c r="H84">
        <v>0</v>
      </c>
      <c r="I84" t="str">
        <f>OutputTable[[#This Row],[ProjectName]]&amp;OutputTable[[#This Row],[Name]]&amp;OutputTable[[#This Row],[Type]]&amp;OutputTable[[#This Row],[Source]]</f>
        <v>Unnamed ProjectOldPart.NumberOutNumber OutEntity</v>
      </c>
      <c r="J84" cm="1">
        <f t="array" ref="J84">MAX(IF((ProjectInfoTable[ProjectName]=OutputTable[[#This Row],[ProjectName]]),(ProjectInfoTable[ProjectName]=OutputTable[[#This Row],[ProjectName]])*ProjectInfoTable[NumberOfReplications]))</f>
        <v>10</v>
      </c>
      <c r="K84" cm="1">
        <f t="array" ref="K84">IFERROR(AVERAGE(IF((OutputTable[GroupByKey]=OutputTable[[#This Row],[GroupByKey]]),(OutputTable[GroupByKey]=OutputTable[[#This Row],[GroupByKey]])*OutputTable[RecordedValue])),0)</f>
        <v>39114.6</v>
      </c>
      <c r="L84" cm="1">
        <f t="array" ref="L84">IFERROR(_xlfn.STDEV.S(IF((OutputTable[GroupByKey]=OutputTable[[#This Row],[GroupByKey]]),(OutputTable[GroupByKey]=OutputTable[[#This Row],[GroupByKey]])*OutputTable[RecordedValue])),0)</f>
        <v>258.98871704295448</v>
      </c>
      <c r="M84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185.26936730515985</v>
      </c>
      <c r="O84" cm="1">
        <f t="array" ref="O84">MIN(IF((OutputTable[GroupByKey]=OutputTable[[#This Row],[GroupByKey]]),(OutputTable[GroupByKey]=OutputTable[[#This Row],[GroupByKey]])*OutputTable[RecordedValue]))</f>
        <v>38588</v>
      </c>
      <c r="P84" cm="1">
        <f t="array" ref="P84">MAX(IF((OutputTable[GroupByKey]=OutputTable[[#This Row],[GroupByKey]]),(OutputTable[GroupByKey]=OutputTable[[#This Row],[GroupByKey]])*OutputTable[RecordedValue]))</f>
        <v>39510</v>
      </c>
    </row>
    <row r="85" spans="1:16" x14ac:dyDescent="0.25">
      <c r="A85" t="s">
        <v>67</v>
      </c>
      <c r="B85" t="s">
        <v>69</v>
      </c>
      <c r="C85">
        <v>6</v>
      </c>
      <c r="D85" t="s">
        <v>124</v>
      </c>
      <c r="E85" t="s">
        <v>117</v>
      </c>
      <c r="F85" t="s">
        <v>106</v>
      </c>
      <c r="G85">
        <v>19857</v>
      </c>
      <c r="H85">
        <v>0</v>
      </c>
      <c r="I85" t="str">
        <f>OutputTable[[#This Row],[ProjectName]]&amp;OutputTable[[#This Row],[Name]]&amp;OutputTable[[#This Row],[Type]]&amp;OutputTable[[#This Row],[Source]]</f>
        <v>Unnamed ProjectPACKER.NumberSeizedTotal Number SeizedResource</v>
      </c>
      <c r="J85" cm="1">
        <f t="array" ref="J85">MAX(IF((ProjectInfoTable[ProjectName]=OutputTable[[#This Row],[ProjectName]]),(ProjectInfoTable[ProjectName]=OutputTable[[#This Row],[ProjectName]])*ProjectInfoTable[NumberOfReplications]))</f>
        <v>10</v>
      </c>
      <c r="K85" cm="1">
        <f t="array" ref="K85">IFERROR(AVERAGE(IF((OutputTable[GroupByKey]=OutputTable[[#This Row],[GroupByKey]]),(OutputTable[GroupByKey]=OutputTable[[#This Row],[GroupByKey]])*OutputTable[RecordedValue])),0)</f>
        <v>19615.8</v>
      </c>
      <c r="L85" cm="1">
        <f t="array" ref="L85">IFERROR(_xlfn.STDEV.S(IF((OutputTable[GroupByKey]=OutputTable[[#This Row],[GroupByKey]]),(OutputTable[GroupByKey]=OutputTable[[#This Row],[GroupByKey]])*OutputTable[RecordedValue])),0)</f>
        <v>165.88670832830459</v>
      </c>
      <c r="M8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118.66820241139406</v>
      </c>
      <c r="O85" cm="1">
        <f t="array" ref="O85">MIN(IF((OutputTable[GroupByKey]=OutputTable[[#This Row],[GroupByKey]]),(OutputTable[GroupByKey]=OutputTable[[#This Row],[GroupByKey]])*OutputTable[RecordedValue]))</f>
        <v>19409</v>
      </c>
      <c r="P85" cm="1">
        <f t="array" ref="P85">MAX(IF((OutputTable[GroupByKey]=OutputTable[[#This Row],[GroupByKey]]),(OutputTable[GroupByKey]=OutputTable[[#This Row],[GroupByKey]])*OutputTable[RecordedValue]))</f>
        <v>19914</v>
      </c>
    </row>
    <row r="86" spans="1:16" x14ac:dyDescent="0.25">
      <c r="A86" t="s">
        <v>67</v>
      </c>
      <c r="B86" t="s">
        <v>69</v>
      </c>
      <c r="C86">
        <v>6</v>
      </c>
      <c r="D86" t="s">
        <v>125</v>
      </c>
      <c r="E86" t="s">
        <v>119</v>
      </c>
      <c r="F86" t="s">
        <v>106</v>
      </c>
      <c r="G86">
        <v>0.82572369910156995</v>
      </c>
      <c r="H86">
        <v>0</v>
      </c>
      <c r="I86" t="str">
        <f>OutputTable[[#This Row],[ProjectName]]&amp;OutputTable[[#This Row],[Name]]&amp;OutputTable[[#This Row],[Type]]&amp;OutputTable[[#This Row],[Source]]</f>
        <v>Unnamed ProjectPACKER.ScheduledUtilizationScheduled UtilizationResource</v>
      </c>
      <c r="J86" cm="1">
        <f t="array" ref="J86">MAX(IF((ProjectInfoTable[ProjectName]=OutputTable[[#This Row],[ProjectName]]),(ProjectInfoTable[ProjectName]=OutputTable[[#This Row],[ProjectName]])*ProjectInfoTable[NumberOfReplications]))</f>
        <v>10</v>
      </c>
      <c r="K86" cm="1">
        <f t="array" ref="K86">IFERROR(AVERAGE(IF((OutputTable[GroupByKey]=OutputTable[[#This Row],[GroupByKey]]),(OutputTable[GroupByKey]=OutputTable[[#This Row],[GroupByKey]])*OutputTable[RecordedValue])),0)</f>
        <v>0.81557194281027567</v>
      </c>
      <c r="L86" cm="1">
        <f t="array" ref="L86">IFERROR(_xlfn.STDEV.S(IF((OutputTable[GroupByKey]=OutputTable[[#This Row],[GroupByKey]]),(OutputTable[GroupByKey]=OutputTable[[#This Row],[GroupByKey]])*OutputTable[RecordedValue])),0)</f>
        <v>6.9416851287817331E-3</v>
      </c>
      <c r="M86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4.9657823959478754E-3</v>
      </c>
      <c r="O86" cm="1">
        <f t="array" ref="O86">MIN(IF((OutputTable[GroupByKey]=OutputTable[[#This Row],[GroupByKey]]),(OutputTable[GroupByKey]=OutputTable[[#This Row],[GroupByKey]])*OutputTable[RecordedValue]))</f>
        <v>0.80675605099888203</v>
      </c>
      <c r="P86" cm="1">
        <f t="array" ref="P86">MAX(IF((OutputTable[GroupByKey]=OutputTable[[#This Row],[GroupByKey]]),(OutputTable[GroupByKey]=OutputTable[[#This Row],[GroupByKey]])*OutputTable[RecordedValue]))</f>
        <v>0.82818429749007605</v>
      </c>
    </row>
    <row r="87" spans="1:16" x14ac:dyDescent="0.25">
      <c r="A87" t="s">
        <v>67</v>
      </c>
      <c r="B87" t="s">
        <v>69</v>
      </c>
      <c r="C87">
        <v>6</v>
      </c>
      <c r="D87" t="s">
        <v>126</v>
      </c>
      <c r="E87" t="s">
        <v>117</v>
      </c>
      <c r="F87" t="s">
        <v>106</v>
      </c>
      <c r="G87">
        <v>13871</v>
      </c>
      <c r="H87">
        <v>0</v>
      </c>
      <c r="I87" t="str">
        <f>OutputTable[[#This Row],[ProjectName]]&amp;OutputTable[[#This Row],[Name]]&amp;OutputTable[[#This Row],[Type]]&amp;OutputTable[[#This Row],[Source]]</f>
        <v>Unnamed ProjectPAINTER.NumberSeizedTotal Number SeizedResource</v>
      </c>
      <c r="J87" cm="1">
        <f t="array" ref="J87">MAX(IF((ProjectInfoTable[ProjectName]=OutputTable[[#This Row],[ProjectName]]),(ProjectInfoTable[ProjectName]=OutputTable[[#This Row],[ProjectName]])*ProjectInfoTable[NumberOfReplications]))</f>
        <v>10</v>
      </c>
      <c r="K87" cm="1">
        <f t="array" ref="K87">IFERROR(AVERAGE(IF((OutputTable[GroupByKey]=OutputTable[[#This Row],[GroupByKey]]),(OutputTable[GroupByKey]=OutputTable[[#This Row],[GroupByKey]])*OutputTable[RecordedValue])),0)</f>
        <v>13722.6</v>
      </c>
      <c r="L87" cm="1">
        <f t="array" ref="L87">IFERROR(_xlfn.STDEV.S(IF((OutputTable[GroupByKey]=OutputTable[[#This Row],[GroupByKey]]),(OutputTable[GroupByKey]=OutputTable[[#This Row],[GroupByKey]])*OutputTable[RecordedValue])),0)</f>
        <v>113.64682133698241</v>
      </c>
      <c r="M87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81.298038485024648</v>
      </c>
      <c r="O87" cm="1">
        <f t="array" ref="O87">MIN(IF((OutputTable[GroupByKey]=OutputTable[[#This Row],[GroupByKey]]),(OutputTable[GroupByKey]=OutputTable[[#This Row],[GroupByKey]])*OutputTable[RecordedValue]))</f>
        <v>13496</v>
      </c>
      <c r="P87" cm="1">
        <f t="array" ref="P87">MAX(IF((OutputTable[GroupByKey]=OutputTable[[#This Row],[GroupByKey]]),(OutputTable[GroupByKey]=OutputTable[[#This Row],[GroupByKey]])*OutputTable[RecordedValue]))</f>
        <v>13871</v>
      </c>
    </row>
    <row r="88" spans="1:16" x14ac:dyDescent="0.25">
      <c r="A88" t="s">
        <v>67</v>
      </c>
      <c r="B88" t="s">
        <v>69</v>
      </c>
      <c r="C88">
        <v>6</v>
      </c>
      <c r="D88" t="s">
        <v>127</v>
      </c>
      <c r="E88" t="s">
        <v>119</v>
      </c>
      <c r="F88" t="s">
        <v>106</v>
      </c>
      <c r="G88">
        <v>0.55480881547008698</v>
      </c>
      <c r="H88">
        <v>0</v>
      </c>
      <c r="I88" t="str">
        <f>OutputTable[[#This Row],[ProjectName]]&amp;OutputTable[[#This Row],[Name]]&amp;OutputTable[[#This Row],[Type]]&amp;OutputTable[[#This Row],[Source]]</f>
        <v>Unnamed ProjectPAINTER.ScheduledUtilizationScheduled UtilizationResource</v>
      </c>
      <c r="J88" cm="1">
        <f t="array" ref="J88">MAX(IF((ProjectInfoTable[ProjectName]=OutputTable[[#This Row],[ProjectName]]),(ProjectInfoTable[ProjectName]=OutputTable[[#This Row],[ProjectName]])*ProjectInfoTable[NumberOfReplications]))</f>
        <v>10</v>
      </c>
      <c r="K88" cm="1">
        <f t="array" ref="K88">IFERROR(AVERAGE(IF((OutputTable[GroupByKey]=OutputTable[[#This Row],[GroupByKey]]),(OutputTable[GroupByKey]=OutputTable[[#This Row],[GroupByKey]])*OutputTable[RecordedValue])),0)</f>
        <v>0.54938142053560801</v>
      </c>
      <c r="L88" cm="1">
        <f t="array" ref="L88">IFERROR(_xlfn.STDEV.S(IF((OutputTable[GroupByKey]=OutputTable[[#This Row],[GroupByKey]]),(OutputTable[GroupByKey]=OutputTable[[#This Row],[GroupByKey]])*OutputTable[RecordedValue])),0)</f>
        <v>4.5196387022068685E-3</v>
      </c>
      <c r="M88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3.2331547581159752E-3</v>
      </c>
      <c r="O88" cm="1">
        <f t="array" ref="O88">MIN(IF((OutputTable[GroupByKey]=OutputTable[[#This Row],[GroupByKey]]),(OutputTable[GroupByKey]=OutputTable[[#This Row],[GroupByKey]])*OutputTable[RecordedValue]))</f>
        <v>0.54030874063430001</v>
      </c>
      <c r="P88" cm="1">
        <f t="array" ref="P88">MAX(IF((OutputTable[GroupByKey]=OutputTable[[#This Row],[GroupByKey]]),(OutputTable[GroupByKey]=OutputTable[[#This Row],[GroupByKey]])*OutputTable[RecordedValue]))</f>
        <v>0.55566835138728998</v>
      </c>
    </row>
    <row r="89" spans="1:16" x14ac:dyDescent="0.25">
      <c r="A89" t="s">
        <v>67</v>
      </c>
      <c r="B89" t="s">
        <v>69</v>
      </c>
      <c r="C89">
        <v>6</v>
      </c>
      <c r="D89" t="s">
        <v>128</v>
      </c>
      <c r="E89" t="s">
        <v>115</v>
      </c>
      <c r="F89" t="s">
        <v>129</v>
      </c>
      <c r="G89">
        <v>56611</v>
      </c>
      <c r="H89">
        <v>0</v>
      </c>
      <c r="I89" t="str">
        <f>OutputTable[[#This Row],[ProjectName]]&amp;OutputTable[[#This Row],[Name]]&amp;OutputTable[[#This Row],[Type]]&amp;OutputTable[[#This Row],[Source]]</f>
        <v>Unnamed ProjectSystem.NumberOutNumber OutSystem</v>
      </c>
      <c r="J89" cm="1">
        <f t="array" ref="J89">MAX(IF((ProjectInfoTable[ProjectName]=OutputTable[[#This Row],[ProjectName]]),(ProjectInfoTable[ProjectName]=OutputTable[[#This Row],[ProjectName]])*ProjectInfoTable[NumberOfReplications]))</f>
        <v>10</v>
      </c>
      <c r="K89" cm="1">
        <f t="array" ref="K89">IFERROR(AVERAGE(IF((OutputTable[GroupByKey]=OutputTable[[#This Row],[GroupByKey]]),(OutputTable[GroupByKey]=OutputTable[[#This Row],[GroupByKey]])*OutputTable[RecordedValue])),0)</f>
        <v>56062.7</v>
      </c>
      <c r="L89" cm="1">
        <f t="array" ref="L89">IFERROR(_xlfn.STDEV.S(IF((OutputTable[GroupByKey]=OutputTable[[#This Row],[GroupByKey]]),(OutputTable[GroupByKey]=OutputTable[[#This Row],[GroupByKey]])*OutputTable[RecordedValue])),0)</f>
        <v>281.95036994320668</v>
      </c>
      <c r="M89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201.69514427985661</v>
      </c>
      <c r="O89" cm="1">
        <f t="array" ref="O89">MIN(IF((OutputTable[GroupByKey]=OutputTable[[#This Row],[GroupByKey]]),(OutputTable[GroupByKey]=OutputTable[[#This Row],[GroupByKey]])*OutputTable[RecordedValue]))</f>
        <v>55662</v>
      </c>
      <c r="P89" cm="1">
        <f t="array" ref="P89">MAX(IF((OutputTable[GroupByKey]=OutputTable[[#This Row],[GroupByKey]]),(OutputTable[GroupByKey]=OutputTable[[#This Row],[GroupByKey]])*OutputTable[RecordedValue]))</f>
        <v>56611</v>
      </c>
    </row>
    <row r="90" spans="1:16" x14ac:dyDescent="0.25">
      <c r="A90" t="s">
        <v>67</v>
      </c>
      <c r="B90" t="s">
        <v>69</v>
      </c>
      <c r="C90">
        <v>6</v>
      </c>
      <c r="D90" t="s">
        <v>130</v>
      </c>
      <c r="E90" t="s">
        <v>117</v>
      </c>
      <c r="F90" t="s">
        <v>106</v>
      </c>
      <c r="G90">
        <v>19858</v>
      </c>
      <c r="H90">
        <v>0</v>
      </c>
      <c r="I90" t="str">
        <f>OutputTable[[#This Row],[ProjectName]]&amp;OutputTable[[#This Row],[Name]]&amp;OutputTable[[#This Row],[Type]]&amp;OutputTable[[#This Row],[Source]]</f>
        <v>Unnamed ProjectWORKER.NumberSeizedTotal Number SeizedResource</v>
      </c>
      <c r="J90" cm="1">
        <f t="array" ref="J90">MAX(IF((ProjectInfoTable[ProjectName]=OutputTable[[#This Row],[ProjectName]]),(ProjectInfoTable[ProjectName]=OutputTable[[#This Row],[ProjectName]])*ProjectInfoTable[NumberOfReplications]))</f>
        <v>10</v>
      </c>
      <c r="K90" cm="1">
        <f t="array" ref="K90">IFERROR(AVERAGE(IF((OutputTable[GroupByKey]=OutputTable[[#This Row],[GroupByKey]]),(OutputTable[GroupByKey]=OutputTable[[#This Row],[GroupByKey]])*OutputTable[RecordedValue])),0)</f>
        <v>19616</v>
      </c>
      <c r="L90" cm="1">
        <f t="array" ref="L90">IFERROR(_xlfn.STDEV.S(IF((OutputTable[GroupByKey]=OutputTable[[#This Row],[GroupByKey]]),(OutputTable[GroupByKey]=OutputTable[[#This Row],[GroupByKey]])*OutputTable[RecordedValue])),0)</f>
        <v>166.31629839288485</v>
      </c>
      <c r="M90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118.97551263082794</v>
      </c>
      <c r="O90" cm="1">
        <f t="array" ref="O90">MIN(IF((OutputTable[GroupByKey]=OutputTable[[#This Row],[GroupByKey]]),(OutputTable[GroupByKey]=OutputTable[[#This Row],[GroupByKey]])*OutputTable[RecordedValue]))</f>
        <v>19409</v>
      </c>
      <c r="P90" cm="1">
        <f t="array" ref="P90">MAX(IF((OutputTable[GroupByKey]=OutputTable[[#This Row],[GroupByKey]]),(OutputTable[GroupByKey]=OutputTable[[#This Row],[GroupByKey]])*OutputTable[RecordedValue]))</f>
        <v>19915</v>
      </c>
    </row>
    <row r="91" spans="1:16" x14ac:dyDescent="0.25">
      <c r="A91" t="s">
        <v>67</v>
      </c>
      <c r="B91" t="s">
        <v>69</v>
      </c>
      <c r="C91">
        <v>6</v>
      </c>
      <c r="D91" t="s">
        <v>131</v>
      </c>
      <c r="E91" t="s">
        <v>119</v>
      </c>
      <c r="F91" t="s">
        <v>106</v>
      </c>
      <c r="G91">
        <v>0.83018197609076905</v>
      </c>
      <c r="H91">
        <v>0</v>
      </c>
      <c r="I91" t="str">
        <f>OutputTable[[#This Row],[ProjectName]]&amp;OutputTable[[#This Row],[Name]]&amp;OutputTable[[#This Row],[Type]]&amp;OutputTable[[#This Row],[Source]]</f>
        <v>Unnamed ProjectWORKER.ScheduledUtilizationScheduled UtilizationResource</v>
      </c>
      <c r="J91" cm="1">
        <f t="array" ref="J91">MAX(IF((ProjectInfoTable[ProjectName]=OutputTable[[#This Row],[ProjectName]]),(ProjectInfoTable[ProjectName]=OutputTable[[#This Row],[ProjectName]])*ProjectInfoTable[NumberOfReplications]))</f>
        <v>10</v>
      </c>
      <c r="K91" cm="1">
        <f t="array" ref="K91">IFERROR(AVERAGE(IF((OutputTable[GroupByKey]=OutputTable[[#This Row],[GroupByKey]]),(OutputTable[GroupByKey]=OutputTable[[#This Row],[GroupByKey]])*OutputTable[RecordedValue])),0)</f>
        <v>0.82030090075893936</v>
      </c>
      <c r="L91" cm="1">
        <f t="array" ref="L91">IFERROR(_xlfn.STDEV.S(IF((OutputTable[GroupByKey]=OutputTable[[#This Row],[GroupByKey]]),(OutputTable[GroupByKey]=OutputTable[[#This Row],[GroupByKey]])*OutputTable[RecordedValue])),0)</f>
        <v>6.9684713894533476E-3</v>
      </c>
      <c r="M91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4.9849441325044447E-3</v>
      </c>
      <c r="O91" cm="1">
        <f t="array" ref="O91">MIN(IF((OutputTable[GroupByKey]=OutputTable[[#This Row],[GroupByKey]]),(OutputTable[GroupByKey]=OutputTable[[#This Row],[GroupByKey]])*OutputTable[RecordedValue]))</f>
        <v>0.81151215762737705</v>
      </c>
      <c r="P91" cm="1">
        <f t="array" ref="P91">MAX(IF((OutputTable[GroupByKey]=OutputTable[[#This Row],[GroupByKey]]),(OutputTable[GroupByKey]=OutputTable[[#This Row],[GroupByKey]])*OutputTable[RecordedValue]))</f>
        <v>0.832837691284112</v>
      </c>
    </row>
    <row r="92" spans="1:16" x14ac:dyDescent="0.25">
      <c r="A92" t="s">
        <v>67</v>
      </c>
      <c r="B92" t="s">
        <v>69</v>
      </c>
      <c r="C92">
        <v>7</v>
      </c>
      <c r="D92" t="s">
        <v>112</v>
      </c>
      <c r="E92" t="s">
        <v>113</v>
      </c>
      <c r="F92" t="s">
        <v>77</v>
      </c>
      <c r="G92">
        <v>19567</v>
      </c>
      <c r="H92">
        <v>0</v>
      </c>
      <c r="I92" t="str">
        <f>OutputTable[[#This Row],[ProjectName]]&amp;OutputTable[[#This Row],[Name]]&amp;OutputTable[[#This Row],[Type]]&amp;OutputTable[[#This Row],[Source]]</f>
        <v>Unnamed ProjectEntity 1.NumberInNumber InEntity</v>
      </c>
      <c r="J92" cm="1">
        <f t="array" ref="J92">MAX(IF((ProjectInfoTable[ProjectName]=OutputTable[[#This Row],[ProjectName]]),(ProjectInfoTable[ProjectName]=OutputTable[[#This Row],[ProjectName]])*ProjectInfoTable[NumberOfReplications]))</f>
        <v>10</v>
      </c>
      <c r="K92" cm="1">
        <f t="array" ref="K92">IFERROR(AVERAGE(IF((OutputTable[GroupByKey]=OutputTable[[#This Row],[GroupByKey]]),(OutputTable[GroupByKey]=OutputTable[[#This Row],[GroupByKey]])*OutputTable[RecordedValue])),0)</f>
        <v>19615.599999999999</v>
      </c>
      <c r="L92" cm="1">
        <f t="array" ref="L92">IFERROR(_xlfn.STDEV.S(IF((OutputTable[GroupByKey]=OutputTable[[#This Row],[GroupByKey]]),(OutputTable[GroupByKey]=OutputTable[[#This Row],[GroupByKey]])*OutputTable[RecordedValue])),0)</f>
        <v>165.97134960254101</v>
      </c>
      <c r="M92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118.72875113144924</v>
      </c>
      <c r="O92" cm="1">
        <f t="array" ref="O92">MIN(IF((OutputTable[GroupByKey]=OutputTable[[#This Row],[GroupByKey]]),(OutputTable[GroupByKey]=OutputTable[[#This Row],[GroupByKey]])*OutputTable[RecordedValue]))</f>
        <v>19410</v>
      </c>
      <c r="P92" cm="1">
        <f t="array" ref="P92">MAX(IF((OutputTable[GroupByKey]=OutputTable[[#This Row],[GroupByKey]]),(OutputTable[GroupByKey]=OutputTable[[#This Row],[GroupByKey]])*OutputTable[RecordedValue]))</f>
        <v>19914</v>
      </c>
    </row>
    <row r="93" spans="1:16" x14ac:dyDescent="0.25">
      <c r="A93" t="s">
        <v>67</v>
      </c>
      <c r="B93" t="s">
        <v>69</v>
      </c>
      <c r="C93">
        <v>7</v>
      </c>
      <c r="D93" t="s">
        <v>114</v>
      </c>
      <c r="E93" t="s">
        <v>115</v>
      </c>
      <c r="F93" t="s">
        <v>77</v>
      </c>
      <c r="G93">
        <v>19567</v>
      </c>
      <c r="H93">
        <v>0</v>
      </c>
      <c r="I93" t="str">
        <f>OutputTable[[#This Row],[ProjectName]]&amp;OutputTable[[#This Row],[Name]]&amp;OutputTable[[#This Row],[Type]]&amp;OutputTable[[#This Row],[Source]]</f>
        <v>Unnamed ProjectEntity 1.NumberOutNumber OutEntity</v>
      </c>
      <c r="J93" cm="1">
        <f t="array" ref="J93">MAX(IF((ProjectInfoTable[ProjectName]=OutputTable[[#This Row],[ProjectName]]),(ProjectInfoTable[ProjectName]=OutputTable[[#This Row],[ProjectName]])*ProjectInfoTable[NumberOfReplications]))</f>
        <v>10</v>
      </c>
      <c r="K93" cm="1">
        <f t="array" ref="K93">IFERROR(AVERAGE(IF((OutputTable[GroupByKey]=OutputTable[[#This Row],[GroupByKey]]),(OutputTable[GroupByKey]=OutputTable[[#This Row],[GroupByKey]])*OutputTable[RecordedValue])),0)</f>
        <v>19615.599999999999</v>
      </c>
      <c r="L93" cm="1">
        <f t="array" ref="L93">IFERROR(_xlfn.STDEV.S(IF((OutputTable[GroupByKey]=OutputTable[[#This Row],[GroupByKey]]),(OutputTable[GroupByKey]=OutputTable[[#This Row],[GroupByKey]])*OutputTable[RecordedValue])),0)</f>
        <v>165.97134960254101</v>
      </c>
      <c r="M93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118.72875113144924</v>
      </c>
      <c r="O93" cm="1">
        <f t="array" ref="O93">MIN(IF((OutputTable[GroupByKey]=OutputTable[[#This Row],[GroupByKey]]),(OutputTable[GroupByKey]=OutputTable[[#This Row],[GroupByKey]])*OutputTable[RecordedValue]))</f>
        <v>19410</v>
      </c>
      <c r="P93" cm="1">
        <f t="array" ref="P93">MAX(IF((OutputTable[GroupByKey]=OutputTable[[#This Row],[GroupByKey]]),(OutputTable[GroupByKey]=OutputTable[[#This Row],[GroupByKey]])*OutputTable[RecordedValue]))</f>
        <v>19914</v>
      </c>
    </row>
    <row r="94" spans="1:16" x14ac:dyDescent="0.25">
      <c r="A94" t="s">
        <v>67</v>
      </c>
      <c r="B94" t="s">
        <v>69</v>
      </c>
      <c r="C94">
        <v>7</v>
      </c>
      <c r="D94" t="s">
        <v>116</v>
      </c>
      <c r="E94" t="s">
        <v>117</v>
      </c>
      <c r="F94" t="s">
        <v>106</v>
      </c>
      <c r="G94">
        <v>5935</v>
      </c>
      <c r="H94">
        <v>0</v>
      </c>
      <c r="I94" t="str">
        <f>OutputTable[[#This Row],[ProjectName]]&amp;OutputTable[[#This Row],[Name]]&amp;OutputTable[[#This Row],[Type]]&amp;OutputTable[[#This Row],[Source]]</f>
        <v>Unnamed ProjectNEWPAINTER.NumberSeizedTotal Number SeizedResource</v>
      </c>
      <c r="J94" cm="1">
        <f t="array" ref="J94">MAX(IF((ProjectInfoTable[ProjectName]=OutputTable[[#This Row],[ProjectName]]),(ProjectInfoTable[ProjectName]=OutputTable[[#This Row],[ProjectName]])*ProjectInfoTable[NumberOfReplications]))</f>
        <v>10</v>
      </c>
      <c r="K94" cm="1">
        <f t="array" ref="K94">IFERROR(AVERAGE(IF((OutputTable[GroupByKey]=OutputTable[[#This Row],[GroupByKey]]),(OutputTable[GroupByKey]=OutputTable[[#This Row],[GroupByKey]])*OutputTable[RecordedValue])),0)</f>
        <v>5893</v>
      </c>
      <c r="L94" cm="1">
        <f t="array" ref="L94">IFERROR(_xlfn.STDEV.S(IF((OutputTable[GroupByKey]=OutputTable[[#This Row],[GroupByKey]]),(OutputTable[GroupByKey]=OutputTable[[#This Row],[GroupByKey]])*OutputTable[RecordedValue])),0)</f>
        <v>92.348374226199681</v>
      </c>
      <c r="M94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66.062047257875278</v>
      </c>
      <c r="O94" cm="1">
        <f t="array" ref="O94">MIN(IF((OutputTable[GroupByKey]=OutputTable[[#This Row],[GroupByKey]]),(OutputTable[GroupByKey]=OutputTable[[#This Row],[GroupByKey]])*OutputTable[RecordedValue]))</f>
        <v>5736</v>
      </c>
      <c r="P94" cm="1">
        <f t="array" ref="P94">MAX(IF((OutputTable[GroupByKey]=OutputTable[[#This Row],[GroupByKey]]),(OutputTable[GroupByKey]=OutputTable[[#This Row],[GroupByKey]])*OutputTable[RecordedValue]))</f>
        <v>6053</v>
      </c>
    </row>
    <row r="95" spans="1:16" x14ac:dyDescent="0.25">
      <c r="A95" t="s">
        <v>67</v>
      </c>
      <c r="B95" t="s">
        <v>69</v>
      </c>
      <c r="C95">
        <v>7</v>
      </c>
      <c r="D95" t="s">
        <v>118</v>
      </c>
      <c r="E95" t="s">
        <v>119</v>
      </c>
      <c r="F95" t="s">
        <v>106</v>
      </c>
      <c r="G95">
        <v>0.52708130347938897</v>
      </c>
      <c r="H95">
        <v>0</v>
      </c>
      <c r="I95" t="str">
        <f>OutputTable[[#This Row],[ProjectName]]&amp;OutputTable[[#This Row],[Name]]&amp;OutputTable[[#This Row],[Type]]&amp;OutputTable[[#This Row],[Source]]</f>
        <v>Unnamed ProjectNEWPAINTER.ScheduledUtilizationScheduled UtilizationResource</v>
      </c>
      <c r="J95" cm="1">
        <f t="array" ref="J95">MAX(IF((ProjectInfoTable[ProjectName]=OutputTable[[#This Row],[ProjectName]]),(ProjectInfoTable[ProjectName]=OutputTable[[#This Row],[ProjectName]])*ProjectInfoTable[NumberOfReplications]))</f>
        <v>10</v>
      </c>
      <c r="K95" cm="1">
        <f t="array" ref="K95">IFERROR(AVERAGE(IF((OutputTable[GroupByKey]=OutputTable[[#This Row],[GroupByKey]]),(OutputTable[GroupByKey]=OutputTable[[#This Row],[GroupByKey]])*OutputTable[RecordedValue])),0)</f>
        <v>0.52518723279433455</v>
      </c>
      <c r="L95" cm="1">
        <f t="array" ref="L95">IFERROR(_xlfn.STDEV.S(IF((OutputTable[GroupByKey]=OutputTable[[#This Row],[GroupByKey]]),(OutputTable[GroupByKey]=OutputTable[[#This Row],[GroupByKey]])*OutputTable[RecordedValue])),0)</f>
        <v>8.4087502405714581E-3</v>
      </c>
      <c r="M9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6.0152575551752803E-3</v>
      </c>
      <c r="O95" cm="1">
        <f t="array" ref="O95">MIN(IF((OutputTable[GroupByKey]=OutputTable[[#This Row],[GroupByKey]]),(OutputTable[GroupByKey]=OutputTable[[#This Row],[GroupByKey]])*OutputTable[RecordedValue]))</f>
        <v>0.51150896826018899</v>
      </c>
      <c r="P95" cm="1">
        <f t="array" ref="P95">MAX(IF((OutputTable[GroupByKey]=OutputTable[[#This Row],[GroupByKey]]),(OutputTable[GroupByKey]=OutputTable[[#This Row],[GroupByKey]])*OutputTable[RecordedValue]))</f>
        <v>0.54003281556404203</v>
      </c>
    </row>
    <row r="96" spans="1:16" x14ac:dyDescent="0.25">
      <c r="A96" t="s">
        <v>67</v>
      </c>
      <c r="B96" t="s">
        <v>69</v>
      </c>
      <c r="C96">
        <v>7</v>
      </c>
      <c r="D96" t="s">
        <v>120</v>
      </c>
      <c r="E96" t="s">
        <v>113</v>
      </c>
      <c r="F96" t="s">
        <v>77</v>
      </c>
      <c r="G96">
        <v>17130</v>
      </c>
      <c r="H96">
        <v>0</v>
      </c>
      <c r="I96" t="str">
        <f>OutputTable[[#This Row],[ProjectName]]&amp;OutputTable[[#This Row],[Name]]&amp;OutputTable[[#This Row],[Type]]&amp;OutputTable[[#This Row],[Source]]</f>
        <v>Unnamed ProjectNewPart.NumberInNumber InEntity</v>
      </c>
      <c r="J96" cm="1">
        <f t="array" ref="J96">MAX(IF((ProjectInfoTable[ProjectName]=OutputTable[[#This Row],[ProjectName]]),(ProjectInfoTable[ProjectName]=OutputTable[[#This Row],[ProjectName]])*ProjectInfoTable[NumberOfReplications]))</f>
        <v>10</v>
      </c>
      <c r="K96" cm="1">
        <f t="array" ref="K96">IFERROR(AVERAGE(IF((OutputTable[GroupByKey]=OutputTable[[#This Row],[GroupByKey]]),(OutputTable[GroupByKey]=OutputTable[[#This Row],[GroupByKey]])*OutputTable[RecordedValue])),0)</f>
        <v>16948.3</v>
      </c>
      <c r="L96" cm="1">
        <f t="array" ref="L96">IFERROR(_xlfn.STDEV.S(IF((OutputTable[GroupByKey]=OutputTable[[#This Row],[GroupByKey]]),(OutputTable[GroupByKey]=OutputTable[[#This Row],[GroupByKey]])*OutputTable[RecordedValue])),0)</f>
        <v>183.31033189042506</v>
      </c>
      <c r="M96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131.13231185359012</v>
      </c>
      <c r="O96" cm="1">
        <f t="array" ref="O96">MIN(IF((OutputTable[GroupByKey]=OutputTable[[#This Row],[GroupByKey]]),(OutputTable[GroupByKey]=OutputTable[[#This Row],[GroupByKey]])*OutputTable[RecordedValue]))</f>
        <v>16656</v>
      </c>
      <c r="P96" cm="1">
        <f t="array" ref="P96">MAX(IF((OutputTable[GroupByKey]=OutputTable[[#This Row],[GroupByKey]]),(OutputTable[GroupByKey]=OutputTable[[#This Row],[GroupByKey]])*OutputTable[RecordedValue]))</f>
        <v>17189</v>
      </c>
    </row>
    <row r="97" spans="1:16" x14ac:dyDescent="0.25">
      <c r="A97" t="s">
        <v>67</v>
      </c>
      <c r="B97" t="s">
        <v>69</v>
      </c>
      <c r="C97">
        <v>7</v>
      </c>
      <c r="D97" t="s">
        <v>121</v>
      </c>
      <c r="E97" t="s">
        <v>115</v>
      </c>
      <c r="F97" t="s">
        <v>77</v>
      </c>
      <c r="G97">
        <v>17131</v>
      </c>
      <c r="H97">
        <v>0</v>
      </c>
      <c r="I97" t="str">
        <f>OutputTable[[#This Row],[ProjectName]]&amp;OutputTable[[#This Row],[Name]]&amp;OutputTable[[#This Row],[Type]]&amp;OutputTable[[#This Row],[Source]]</f>
        <v>Unnamed ProjectNewPart.NumberOutNumber OutEntity</v>
      </c>
      <c r="J97" cm="1">
        <f t="array" ref="J97">MAX(IF((ProjectInfoTable[ProjectName]=OutputTable[[#This Row],[ProjectName]]),(ProjectInfoTable[ProjectName]=OutputTable[[#This Row],[ProjectName]])*ProjectInfoTable[NumberOfReplications]))</f>
        <v>10</v>
      </c>
      <c r="K97" cm="1">
        <f t="array" ref="K97">IFERROR(AVERAGE(IF((OutputTable[GroupByKey]=OutputTable[[#This Row],[GroupByKey]]),(OutputTable[GroupByKey]=OutputTable[[#This Row],[GroupByKey]])*OutputTable[RecordedValue])),0)</f>
        <v>16948.099999999999</v>
      </c>
      <c r="L97" cm="1">
        <f t="array" ref="L97">IFERROR(_xlfn.STDEV.S(IF((OutputTable[GroupByKey]=OutputTable[[#This Row],[GroupByKey]]),(OutputTable[GroupByKey]=OutputTable[[#This Row],[GroupByKey]])*OutputTable[RecordedValue])),0)</f>
        <v>184.16022613172714</v>
      </c>
      <c r="M97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131.74028956845027</v>
      </c>
      <c r="O97" cm="1">
        <f t="array" ref="O97">MIN(IF((OutputTable[GroupByKey]=OutputTable[[#This Row],[GroupByKey]]),(OutputTable[GroupByKey]=OutputTable[[#This Row],[GroupByKey]])*OutputTable[RecordedValue]))</f>
        <v>16656</v>
      </c>
      <c r="P97" cm="1">
        <f t="array" ref="P97">MAX(IF((OutputTable[GroupByKey]=OutputTable[[#This Row],[GroupByKey]]),(OutputTable[GroupByKey]=OutputTable[[#This Row],[GroupByKey]])*OutputTable[RecordedValue]))</f>
        <v>17191</v>
      </c>
    </row>
    <row r="98" spans="1:16" x14ac:dyDescent="0.25">
      <c r="A98" t="s">
        <v>67</v>
      </c>
      <c r="B98" t="s">
        <v>69</v>
      </c>
      <c r="C98">
        <v>7</v>
      </c>
      <c r="D98" t="s">
        <v>122</v>
      </c>
      <c r="E98" t="s">
        <v>113</v>
      </c>
      <c r="F98" t="s">
        <v>77</v>
      </c>
      <c r="G98">
        <v>38836</v>
      </c>
      <c r="H98">
        <v>0</v>
      </c>
      <c r="I98" t="str">
        <f>OutputTable[[#This Row],[ProjectName]]&amp;OutputTable[[#This Row],[Name]]&amp;OutputTable[[#This Row],[Type]]&amp;OutputTable[[#This Row],[Source]]</f>
        <v>Unnamed ProjectOldPart.NumberInNumber InEntity</v>
      </c>
      <c r="J98" cm="1">
        <f t="array" ref="J98">MAX(IF((ProjectInfoTable[ProjectName]=OutputTable[[#This Row],[ProjectName]]),(ProjectInfoTable[ProjectName]=OutputTable[[#This Row],[ProjectName]])*ProjectInfoTable[NumberOfReplications]))</f>
        <v>10</v>
      </c>
      <c r="K98" cm="1">
        <f t="array" ref="K98">IFERROR(AVERAGE(IF((OutputTable[GroupByKey]=OutputTable[[#This Row],[GroupByKey]]),(OutputTable[GroupByKey]=OutputTable[[#This Row],[GroupByKey]])*OutputTable[RecordedValue])),0)</f>
        <v>39113.599999999999</v>
      </c>
      <c r="L98" cm="1">
        <f t="array" ref="L98">IFERROR(_xlfn.STDEV.S(IF((OutputTable[GroupByKey]=OutputTable[[#This Row],[GroupByKey]]),(OutputTable[GroupByKey]=OutputTable[[#This Row],[GroupByKey]])*OutputTable[RecordedValue])),0)</f>
        <v>260.00051282000709</v>
      </c>
      <c r="M98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185.9931624017064</v>
      </c>
      <c r="O98" cm="1">
        <f t="array" ref="O98">MIN(IF((OutputTable[GroupByKey]=OutputTable[[#This Row],[GroupByKey]]),(OutputTable[GroupByKey]=OutputTable[[#This Row],[GroupByKey]])*OutputTable[RecordedValue]))</f>
        <v>38586</v>
      </c>
      <c r="P98" cm="1">
        <f t="array" ref="P98">MAX(IF((OutputTable[GroupByKey]=OutputTable[[#This Row],[GroupByKey]]),(OutputTable[GroupByKey]=OutputTable[[#This Row],[GroupByKey]])*OutputTable[RecordedValue]))</f>
        <v>39514</v>
      </c>
    </row>
    <row r="99" spans="1:16" x14ac:dyDescent="0.25">
      <c r="A99" t="s">
        <v>67</v>
      </c>
      <c r="B99" t="s">
        <v>69</v>
      </c>
      <c r="C99">
        <v>7</v>
      </c>
      <c r="D99" t="s">
        <v>123</v>
      </c>
      <c r="E99" t="s">
        <v>115</v>
      </c>
      <c r="F99" t="s">
        <v>77</v>
      </c>
      <c r="G99">
        <v>38838</v>
      </c>
      <c r="H99">
        <v>0</v>
      </c>
      <c r="I99" t="str">
        <f>OutputTable[[#This Row],[ProjectName]]&amp;OutputTable[[#This Row],[Name]]&amp;OutputTable[[#This Row],[Type]]&amp;OutputTable[[#This Row],[Source]]</f>
        <v>Unnamed ProjectOldPart.NumberOutNumber OutEntity</v>
      </c>
      <c r="J99" cm="1">
        <f t="array" ref="J99">MAX(IF((ProjectInfoTable[ProjectName]=OutputTable[[#This Row],[ProjectName]]),(ProjectInfoTable[ProjectName]=OutputTable[[#This Row],[ProjectName]])*ProjectInfoTable[NumberOfReplications]))</f>
        <v>10</v>
      </c>
      <c r="K99" cm="1">
        <f t="array" ref="K99">IFERROR(AVERAGE(IF((OutputTable[GroupByKey]=OutputTable[[#This Row],[GroupByKey]]),(OutputTable[GroupByKey]=OutputTable[[#This Row],[GroupByKey]])*OutputTable[RecordedValue])),0)</f>
        <v>39114.6</v>
      </c>
      <c r="L99" cm="1">
        <f t="array" ref="L99">IFERROR(_xlfn.STDEV.S(IF((OutputTable[GroupByKey]=OutputTable[[#This Row],[GroupByKey]]),(OutputTable[GroupByKey]=OutputTable[[#This Row],[GroupByKey]])*OutputTable[RecordedValue])),0)</f>
        <v>258.98871704295448</v>
      </c>
      <c r="M99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185.26936730515985</v>
      </c>
      <c r="O99" cm="1">
        <f t="array" ref="O99">MIN(IF((OutputTable[GroupByKey]=OutputTable[[#This Row],[GroupByKey]]),(OutputTable[GroupByKey]=OutputTable[[#This Row],[GroupByKey]])*OutputTable[RecordedValue]))</f>
        <v>38588</v>
      </c>
      <c r="P99" cm="1">
        <f t="array" ref="P99">MAX(IF((OutputTable[GroupByKey]=OutputTable[[#This Row],[GroupByKey]]),(OutputTable[GroupByKey]=OutputTable[[#This Row],[GroupByKey]])*OutputTable[RecordedValue]))</f>
        <v>39510</v>
      </c>
    </row>
    <row r="100" spans="1:16" x14ac:dyDescent="0.25">
      <c r="A100" t="s">
        <v>67</v>
      </c>
      <c r="B100" t="s">
        <v>69</v>
      </c>
      <c r="C100">
        <v>7</v>
      </c>
      <c r="D100" t="s">
        <v>124</v>
      </c>
      <c r="E100" t="s">
        <v>117</v>
      </c>
      <c r="F100" t="s">
        <v>106</v>
      </c>
      <c r="G100">
        <v>19570</v>
      </c>
      <c r="H100">
        <v>0</v>
      </c>
      <c r="I100" t="str">
        <f>OutputTable[[#This Row],[ProjectName]]&amp;OutputTable[[#This Row],[Name]]&amp;OutputTable[[#This Row],[Type]]&amp;OutputTable[[#This Row],[Source]]</f>
        <v>Unnamed ProjectPACKER.NumberSeizedTotal Number SeizedResource</v>
      </c>
      <c r="J100" cm="1">
        <f t="array" ref="J100">MAX(IF((ProjectInfoTable[ProjectName]=OutputTable[[#This Row],[ProjectName]]),(ProjectInfoTable[ProjectName]=OutputTable[[#This Row],[ProjectName]])*ProjectInfoTable[NumberOfReplications]))</f>
        <v>10</v>
      </c>
      <c r="K100" cm="1">
        <f t="array" ref="K100">IFERROR(AVERAGE(IF((OutputTable[GroupByKey]=OutputTable[[#This Row],[GroupByKey]]),(OutputTable[GroupByKey]=OutputTable[[#This Row],[GroupByKey]])*OutputTable[RecordedValue])),0)</f>
        <v>19615.8</v>
      </c>
      <c r="L100" cm="1">
        <f t="array" ref="L100">IFERROR(_xlfn.STDEV.S(IF((OutputTable[GroupByKey]=OutputTable[[#This Row],[GroupByKey]]),(OutputTable[GroupByKey]=OutputTable[[#This Row],[GroupByKey]])*OutputTable[RecordedValue])),0)</f>
        <v>165.88670832830459</v>
      </c>
      <c r="M100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118.66820241139406</v>
      </c>
      <c r="O100" cm="1">
        <f t="array" ref="O100">MIN(IF((OutputTable[GroupByKey]=OutputTable[[#This Row],[GroupByKey]]),(OutputTable[GroupByKey]=OutputTable[[#This Row],[GroupByKey]])*OutputTable[RecordedValue]))</f>
        <v>19409</v>
      </c>
      <c r="P100" cm="1">
        <f t="array" ref="P100">MAX(IF((OutputTable[GroupByKey]=OutputTable[[#This Row],[GroupByKey]]),(OutputTable[GroupByKey]=OutputTable[[#This Row],[GroupByKey]])*OutputTable[RecordedValue]))</f>
        <v>19914</v>
      </c>
    </row>
    <row r="101" spans="1:16" x14ac:dyDescent="0.25">
      <c r="A101" t="s">
        <v>67</v>
      </c>
      <c r="B101" t="s">
        <v>69</v>
      </c>
      <c r="C101">
        <v>7</v>
      </c>
      <c r="D101" t="s">
        <v>125</v>
      </c>
      <c r="E101" t="s">
        <v>119</v>
      </c>
      <c r="F101" t="s">
        <v>106</v>
      </c>
      <c r="G101">
        <v>0.81393386067525597</v>
      </c>
      <c r="H101">
        <v>0</v>
      </c>
      <c r="I101" t="str">
        <f>OutputTable[[#This Row],[ProjectName]]&amp;OutputTable[[#This Row],[Name]]&amp;OutputTable[[#This Row],[Type]]&amp;OutputTable[[#This Row],[Source]]</f>
        <v>Unnamed ProjectPACKER.ScheduledUtilizationScheduled UtilizationResource</v>
      </c>
      <c r="J101" cm="1">
        <f t="array" ref="J101">MAX(IF((ProjectInfoTable[ProjectName]=OutputTable[[#This Row],[ProjectName]]),(ProjectInfoTable[ProjectName]=OutputTable[[#This Row],[ProjectName]])*ProjectInfoTable[NumberOfReplications]))</f>
        <v>10</v>
      </c>
      <c r="K101" cm="1">
        <f t="array" ref="K101">IFERROR(AVERAGE(IF((OutputTable[GroupByKey]=OutputTable[[#This Row],[GroupByKey]]),(OutputTable[GroupByKey]=OutputTable[[#This Row],[GroupByKey]])*OutputTable[RecordedValue])),0)</f>
        <v>0.81557194281027567</v>
      </c>
      <c r="L101" cm="1">
        <f t="array" ref="L101">IFERROR(_xlfn.STDEV.S(IF((OutputTable[GroupByKey]=OutputTable[[#This Row],[GroupByKey]]),(OutputTable[GroupByKey]=OutputTable[[#This Row],[GroupByKey]])*OutputTable[RecordedValue])),0)</f>
        <v>6.9416851287817331E-3</v>
      </c>
      <c r="M101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4.9657823959478754E-3</v>
      </c>
      <c r="O101" cm="1">
        <f t="array" ref="O101">MIN(IF((OutputTable[GroupByKey]=OutputTable[[#This Row],[GroupByKey]]),(OutputTable[GroupByKey]=OutputTable[[#This Row],[GroupByKey]])*OutputTable[RecordedValue]))</f>
        <v>0.80675605099888203</v>
      </c>
      <c r="P101" cm="1">
        <f t="array" ref="P101">MAX(IF((OutputTable[GroupByKey]=OutputTable[[#This Row],[GroupByKey]]),(OutputTable[GroupByKey]=OutputTable[[#This Row],[GroupByKey]])*OutputTable[RecordedValue]))</f>
        <v>0.82818429749007605</v>
      </c>
    </row>
    <row r="102" spans="1:16" x14ac:dyDescent="0.25">
      <c r="A102" t="s">
        <v>67</v>
      </c>
      <c r="B102" t="s">
        <v>69</v>
      </c>
      <c r="C102">
        <v>7</v>
      </c>
      <c r="D102" t="s">
        <v>126</v>
      </c>
      <c r="E102" t="s">
        <v>117</v>
      </c>
      <c r="F102" t="s">
        <v>106</v>
      </c>
      <c r="G102">
        <v>13636</v>
      </c>
      <c r="H102">
        <v>0</v>
      </c>
      <c r="I102" t="str">
        <f>OutputTable[[#This Row],[ProjectName]]&amp;OutputTable[[#This Row],[Name]]&amp;OutputTable[[#This Row],[Type]]&amp;OutputTable[[#This Row],[Source]]</f>
        <v>Unnamed ProjectPAINTER.NumberSeizedTotal Number SeizedResource</v>
      </c>
      <c r="J102" cm="1">
        <f t="array" ref="J102">MAX(IF((ProjectInfoTable[ProjectName]=OutputTable[[#This Row],[ProjectName]]),(ProjectInfoTable[ProjectName]=OutputTable[[#This Row],[ProjectName]])*ProjectInfoTable[NumberOfReplications]))</f>
        <v>10</v>
      </c>
      <c r="K102" cm="1">
        <f t="array" ref="K102">IFERROR(AVERAGE(IF((OutputTable[GroupByKey]=OutputTable[[#This Row],[GroupByKey]]),(OutputTable[GroupByKey]=OutputTable[[#This Row],[GroupByKey]])*OutputTable[RecordedValue])),0)</f>
        <v>13722.6</v>
      </c>
      <c r="L102" cm="1">
        <f t="array" ref="L102">IFERROR(_xlfn.STDEV.S(IF((OutputTable[GroupByKey]=OutputTable[[#This Row],[GroupByKey]]),(OutputTable[GroupByKey]=OutputTable[[#This Row],[GroupByKey]])*OutputTable[RecordedValue])),0)</f>
        <v>113.64682133698241</v>
      </c>
      <c r="M102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81.298038485024648</v>
      </c>
      <c r="O102" cm="1">
        <f t="array" ref="O102">MIN(IF((OutputTable[GroupByKey]=OutputTable[[#This Row],[GroupByKey]]),(OutputTable[GroupByKey]=OutputTable[[#This Row],[GroupByKey]])*OutputTable[RecordedValue]))</f>
        <v>13496</v>
      </c>
      <c r="P102" cm="1">
        <f t="array" ref="P102">MAX(IF((OutputTable[GroupByKey]=OutputTable[[#This Row],[GroupByKey]]),(OutputTable[GroupByKey]=OutputTable[[#This Row],[GroupByKey]])*OutputTable[RecordedValue]))</f>
        <v>13871</v>
      </c>
    </row>
    <row r="103" spans="1:16" x14ac:dyDescent="0.25">
      <c r="A103" t="s">
        <v>67</v>
      </c>
      <c r="B103" t="s">
        <v>69</v>
      </c>
      <c r="C103">
        <v>7</v>
      </c>
      <c r="D103" t="s">
        <v>127</v>
      </c>
      <c r="E103" t="s">
        <v>119</v>
      </c>
      <c r="F103" t="s">
        <v>106</v>
      </c>
      <c r="G103">
        <v>0.54549381403427999</v>
      </c>
      <c r="H103">
        <v>0</v>
      </c>
      <c r="I103" t="str">
        <f>OutputTable[[#This Row],[ProjectName]]&amp;OutputTable[[#This Row],[Name]]&amp;OutputTable[[#This Row],[Type]]&amp;OutputTable[[#This Row],[Source]]</f>
        <v>Unnamed ProjectPAINTER.ScheduledUtilizationScheduled UtilizationResource</v>
      </c>
      <c r="J103" cm="1">
        <f t="array" ref="J103">MAX(IF((ProjectInfoTable[ProjectName]=OutputTable[[#This Row],[ProjectName]]),(ProjectInfoTable[ProjectName]=OutputTable[[#This Row],[ProjectName]])*ProjectInfoTable[NumberOfReplications]))</f>
        <v>10</v>
      </c>
      <c r="K103" cm="1">
        <f t="array" ref="K103">IFERROR(AVERAGE(IF((OutputTable[GroupByKey]=OutputTable[[#This Row],[GroupByKey]]),(OutputTable[GroupByKey]=OutputTable[[#This Row],[GroupByKey]])*OutputTable[RecordedValue])),0)</f>
        <v>0.54938142053560801</v>
      </c>
      <c r="L103" cm="1">
        <f t="array" ref="L103">IFERROR(_xlfn.STDEV.S(IF((OutputTable[GroupByKey]=OutputTable[[#This Row],[GroupByKey]]),(OutputTable[GroupByKey]=OutputTable[[#This Row],[GroupByKey]])*OutputTable[RecordedValue])),0)</f>
        <v>4.5196387022068685E-3</v>
      </c>
      <c r="M103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3.2331547581159752E-3</v>
      </c>
      <c r="O103" cm="1">
        <f t="array" ref="O103">MIN(IF((OutputTable[GroupByKey]=OutputTable[[#This Row],[GroupByKey]]),(OutputTable[GroupByKey]=OutputTable[[#This Row],[GroupByKey]])*OutputTable[RecordedValue]))</f>
        <v>0.54030874063430001</v>
      </c>
      <c r="P103" cm="1">
        <f t="array" ref="P103">MAX(IF((OutputTable[GroupByKey]=OutputTable[[#This Row],[GroupByKey]]),(OutputTable[GroupByKey]=OutputTable[[#This Row],[GroupByKey]])*OutputTable[RecordedValue]))</f>
        <v>0.55566835138728998</v>
      </c>
    </row>
    <row r="104" spans="1:16" x14ac:dyDescent="0.25">
      <c r="A104" t="s">
        <v>67</v>
      </c>
      <c r="B104" t="s">
        <v>69</v>
      </c>
      <c r="C104">
        <v>7</v>
      </c>
      <c r="D104" t="s">
        <v>128</v>
      </c>
      <c r="E104" t="s">
        <v>115</v>
      </c>
      <c r="F104" t="s">
        <v>129</v>
      </c>
      <c r="G104">
        <v>55969</v>
      </c>
      <c r="H104">
        <v>0</v>
      </c>
      <c r="I104" t="str">
        <f>OutputTable[[#This Row],[ProjectName]]&amp;OutputTable[[#This Row],[Name]]&amp;OutputTable[[#This Row],[Type]]&amp;OutputTable[[#This Row],[Source]]</f>
        <v>Unnamed ProjectSystem.NumberOutNumber OutSystem</v>
      </c>
      <c r="J104" cm="1">
        <f t="array" ref="J104">MAX(IF((ProjectInfoTable[ProjectName]=OutputTable[[#This Row],[ProjectName]]),(ProjectInfoTable[ProjectName]=OutputTable[[#This Row],[ProjectName]])*ProjectInfoTable[NumberOfReplications]))</f>
        <v>10</v>
      </c>
      <c r="K104" cm="1">
        <f t="array" ref="K104">IFERROR(AVERAGE(IF((OutputTable[GroupByKey]=OutputTable[[#This Row],[GroupByKey]]),(OutputTable[GroupByKey]=OutputTable[[#This Row],[GroupByKey]])*OutputTable[RecordedValue])),0)</f>
        <v>56062.7</v>
      </c>
      <c r="L104" cm="1">
        <f t="array" ref="L104">IFERROR(_xlfn.STDEV.S(IF((OutputTable[GroupByKey]=OutputTable[[#This Row],[GroupByKey]]),(OutputTable[GroupByKey]=OutputTable[[#This Row],[GroupByKey]])*OutputTable[RecordedValue])),0)</f>
        <v>281.95036994320668</v>
      </c>
      <c r="M104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201.69514427985661</v>
      </c>
      <c r="O104" cm="1">
        <f t="array" ref="O104">MIN(IF((OutputTable[GroupByKey]=OutputTable[[#This Row],[GroupByKey]]),(OutputTable[GroupByKey]=OutputTable[[#This Row],[GroupByKey]])*OutputTable[RecordedValue]))</f>
        <v>55662</v>
      </c>
      <c r="P104" cm="1">
        <f t="array" ref="P104">MAX(IF((OutputTable[GroupByKey]=OutputTable[[#This Row],[GroupByKey]]),(OutputTable[GroupByKey]=OutputTable[[#This Row],[GroupByKey]])*OutputTable[RecordedValue]))</f>
        <v>56611</v>
      </c>
    </row>
    <row r="105" spans="1:16" x14ac:dyDescent="0.25">
      <c r="A105" t="s">
        <v>67</v>
      </c>
      <c r="B105" t="s">
        <v>69</v>
      </c>
      <c r="C105">
        <v>7</v>
      </c>
      <c r="D105" t="s">
        <v>130</v>
      </c>
      <c r="E105" t="s">
        <v>117</v>
      </c>
      <c r="F105" t="s">
        <v>106</v>
      </c>
      <c r="G105">
        <v>19570</v>
      </c>
      <c r="H105">
        <v>0</v>
      </c>
      <c r="I105" t="str">
        <f>OutputTable[[#This Row],[ProjectName]]&amp;OutputTable[[#This Row],[Name]]&amp;OutputTable[[#This Row],[Type]]&amp;OutputTable[[#This Row],[Source]]</f>
        <v>Unnamed ProjectWORKER.NumberSeizedTotal Number SeizedResource</v>
      </c>
      <c r="J105" cm="1">
        <f t="array" ref="J105">MAX(IF((ProjectInfoTable[ProjectName]=OutputTable[[#This Row],[ProjectName]]),(ProjectInfoTable[ProjectName]=OutputTable[[#This Row],[ProjectName]])*ProjectInfoTable[NumberOfReplications]))</f>
        <v>10</v>
      </c>
      <c r="K105" cm="1">
        <f t="array" ref="K105">IFERROR(AVERAGE(IF((OutputTable[GroupByKey]=OutputTable[[#This Row],[GroupByKey]]),(OutputTable[GroupByKey]=OutputTable[[#This Row],[GroupByKey]])*OutputTable[RecordedValue])),0)</f>
        <v>19616</v>
      </c>
      <c r="L105" cm="1">
        <f t="array" ref="L105">IFERROR(_xlfn.STDEV.S(IF((OutputTable[GroupByKey]=OutputTable[[#This Row],[GroupByKey]]),(OutputTable[GroupByKey]=OutputTable[[#This Row],[GroupByKey]])*OutputTable[RecordedValue])),0)</f>
        <v>166.31629839288485</v>
      </c>
      <c r="M10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118.97551263082794</v>
      </c>
      <c r="O105" cm="1">
        <f t="array" ref="O105">MIN(IF((OutputTable[GroupByKey]=OutputTable[[#This Row],[GroupByKey]]),(OutputTable[GroupByKey]=OutputTable[[#This Row],[GroupByKey]])*OutputTable[RecordedValue]))</f>
        <v>19409</v>
      </c>
      <c r="P105" cm="1">
        <f t="array" ref="P105">MAX(IF((OutputTable[GroupByKey]=OutputTable[[#This Row],[GroupByKey]]),(OutputTable[GroupByKey]=OutputTable[[#This Row],[GroupByKey]])*OutputTable[RecordedValue]))</f>
        <v>19915</v>
      </c>
    </row>
    <row r="106" spans="1:16" x14ac:dyDescent="0.25">
      <c r="A106" t="s">
        <v>67</v>
      </c>
      <c r="B106" t="s">
        <v>69</v>
      </c>
      <c r="C106">
        <v>7</v>
      </c>
      <c r="D106" t="s">
        <v>131</v>
      </c>
      <c r="E106" t="s">
        <v>119</v>
      </c>
      <c r="F106" t="s">
        <v>106</v>
      </c>
      <c r="G106">
        <v>0.81843938720675102</v>
      </c>
      <c r="H106">
        <v>0</v>
      </c>
      <c r="I106" t="str">
        <f>OutputTable[[#This Row],[ProjectName]]&amp;OutputTable[[#This Row],[Name]]&amp;OutputTable[[#This Row],[Type]]&amp;OutputTable[[#This Row],[Source]]</f>
        <v>Unnamed ProjectWORKER.ScheduledUtilizationScheduled UtilizationResource</v>
      </c>
      <c r="J106" cm="1">
        <f t="array" ref="J106">MAX(IF((ProjectInfoTable[ProjectName]=OutputTable[[#This Row],[ProjectName]]),(ProjectInfoTable[ProjectName]=OutputTable[[#This Row],[ProjectName]])*ProjectInfoTable[NumberOfReplications]))</f>
        <v>10</v>
      </c>
      <c r="K106" cm="1">
        <f t="array" ref="K106">IFERROR(AVERAGE(IF((OutputTable[GroupByKey]=OutputTable[[#This Row],[GroupByKey]]),(OutputTable[GroupByKey]=OutputTable[[#This Row],[GroupByKey]])*OutputTable[RecordedValue])),0)</f>
        <v>0.82030090075893936</v>
      </c>
      <c r="L106" cm="1">
        <f t="array" ref="L106">IFERROR(_xlfn.STDEV.S(IF((OutputTable[GroupByKey]=OutputTable[[#This Row],[GroupByKey]]),(OutputTable[GroupByKey]=OutputTable[[#This Row],[GroupByKey]])*OutputTable[RecordedValue])),0)</f>
        <v>6.9684713894533476E-3</v>
      </c>
      <c r="M106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4.9849441325044447E-3</v>
      </c>
      <c r="O106" cm="1">
        <f t="array" ref="O106">MIN(IF((OutputTable[GroupByKey]=OutputTable[[#This Row],[GroupByKey]]),(OutputTable[GroupByKey]=OutputTable[[#This Row],[GroupByKey]])*OutputTable[RecordedValue]))</f>
        <v>0.81151215762737705</v>
      </c>
      <c r="P106" cm="1">
        <f t="array" ref="P106">MAX(IF((OutputTable[GroupByKey]=OutputTable[[#This Row],[GroupByKey]]),(OutputTable[GroupByKey]=OutputTable[[#This Row],[GroupByKey]])*OutputTable[RecordedValue]))</f>
        <v>0.832837691284112</v>
      </c>
    </row>
    <row r="107" spans="1:16" x14ac:dyDescent="0.25">
      <c r="A107" t="s">
        <v>67</v>
      </c>
      <c r="B107" t="s">
        <v>69</v>
      </c>
      <c r="C107">
        <v>8</v>
      </c>
      <c r="D107" t="s">
        <v>112</v>
      </c>
      <c r="E107" t="s">
        <v>113</v>
      </c>
      <c r="F107" t="s">
        <v>77</v>
      </c>
      <c r="G107">
        <v>19692</v>
      </c>
      <c r="H107">
        <v>0</v>
      </c>
      <c r="I107" t="str">
        <f>OutputTable[[#This Row],[ProjectName]]&amp;OutputTable[[#This Row],[Name]]&amp;OutputTable[[#This Row],[Type]]&amp;OutputTable[[#This Row],[Source]]</f>
        <v>Unnamed ProjectEntity 1.NumberInNumber InEntity</v>
      </c>
      <c r="J107" cm="1">
        <f t="array" ref="J107">MAX(IF((ProjectInfoTable[ProjectName]=OutputTable[[#This Row],[ProjectName]]),(ProjectInfoTable[ProjectName]=OutputTable[[#This Row],[ProjectName]])*ProjectInfoTable[NumberOfReplications]))</f>
        <v>10</v>
      </c>
      <c r="K107" cm="1">
        <f t="array" ref="K107">IFERROR(AVERAGE(IF((OutputTable[GroupByKey]=OutputTable[[#This Row],[GroupByKey]]),(OutputTable[GroupByKey]=OutputTable[[#This Row],[GroupByKey]])*OutputTable[RecordedValue])),0)</f>
        <v>19615.599999999999</v>
      </c>
      <c r="L107" cm="1">
        <f t="array" ref="L107">IFERROR(_xlfn.STDEV.S(IF((OutputTable[GroupByKey]=OutputTable[[#This Row],[GroupByKey]]),(OutputTable[GroupByKey]=OutputTable[[#This Row],[GroupByKey]])*OutputTable[RecordedValue])),0)</f>
        <v>165.97134960254101</v>
      </c>
      <c r="M107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118.72875113144924</v>
      </c>
      <c r="O107" cm="1">
        <f t="array" ref="O107">MIN(IF((OutputTable[GroupByKey]=OutputTable[[#This Row],[GroupByKey]]),(OutputTable[GroupByKey]=OutputTable[[#This Row],[GroupByKey]])*OutputTable[RecordedValue]))</f>
        <v>19410</v>
      </c>
      <c r="P107" cm="1">
        <f t="array" ref="P107">MAX(IF((OutputTable[GroupByKey]=OutputTable[[#This Row],[GroupByKey]]),(OutputTable[GroupByKey]=OutputTable[[#This Row],[GroupByKey]])*OutputTable[RecordedValue]))</f>
        <v>19914</v>
      </c>
    </row>
    <row r="108" spans="1:16" x14ac:dyDescent="0.25">
      <c r="A108" t="s">
        <v>67</v>
      </c>
      <c r="B108" t="s">
        <v>69</v>
      </c>
      <c r="C108">
        <v>8</v>
      </c>
      <c r="D108" t="s">
        <v>114</v>
      </c>
      <c r="E108" t="s">
        <v>115</v>
      </c>
      <c r="F108" t="s">
        <v>77</v>
      </c>
      <c r="G108">
        <v>19692</v>
      </c>
      <c r="H108">
        <v>0</v>
      </c>
      <c r="I108" t="str">
        <f>OutputTable[[#This Row],[ProjectName]]&amp;OutputTable[[#This Row],[Name]]&amp;OutputTable[[#This Row],[Type]]&amp;OutputTable[[#This Row],[Source]]</f>
        <v>Unnamed ProjectEntity 1.NumberOutNumber OutEntity</v>
      </c>
      <c r="J108" cm="1">
        <f t="array" ref="J108">MAX(IF((ProjectInfoTable[ProjectName]=OutputTable[[#This Row],[ProjectName]]),(ProjectInfoTable[ProjectName]=OutputTable[[#This Row],[ProjectName]])*ProjectInfoTable[NumberOfReplications]))</f>
        <v>10</v>
      </c>
      <c r="K108" cm="1">
        <f t="array" ref="K108">IFERROR(AVERAGE(IF((OutputTable[GroupByKey]=OutputTable[[#This Row],[GroupByKey]]),(OutputTable[GroupByKey]=OutputTable[[#This Row],[GroupByKey]])*OutputTable[RecordedValue])),0)</f>
        <v>19615.599999999999</v>
      </c>
      <c r="L108" cm="1">
        <f t="array" ref="L108">IFERROR(_xlfn.STDEV.S(IF((OutputTable[GroupByKey]=OutputTable[[#This Row],[GroupByKey]]),(OutputTable[GroupByKey]=OutputTable[[#This Row],[GroupByKey]])*OutputTable[RecordedValue])),0)</f>
        <v>165.97134960254101</v>
      </c>
      <c r="M108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118.72875113144924</v>
      </c>
      <c r="O108" cm="1">
        <f t="array" ref="O108">MIN(IF((OutputTable[GroupByKey]=OutputTable[[#This Row],[GroupByKey]]),(OutputTable[GroupByKey]=OutputTable[[#This Row],[GroupByKey]])*OutputTable[RecordedValue]))</f>
        <v>19410</v>
      </c>
      <c r="P108" cm="1">
        <f t="array" ref="P108">MAX(IF((OutputTable[GroupByKey]=OutputTable[[#This Row],[GroupByKey]]),(OutputTable[GroupByKey]=OutputTable[[#This Row],[GroupByKey]])*OutputTable[RecordedValue]))</f>
        <v>19914</v>
      </c>
    </row>
    <row r="109" spans="1:16" x14ac:dyDescent="0.25">
      <c r="A109" t="s">
        <v>67</v>
      </c>
      <c r="B109" t="s">
        <v>69</v>
      </c>
      <c r="C109">
        <v>8</v>
      </c>
      <c r="D109" t="s">
        <v>116</v>
      </c>
      <c r="E109" t="s">
        <v>117</v>
      </c>
      <c r="F109" t="s">
        <v>106</v>
      </c>
      <c r="G109">
        <v>5882</v>
      </c>
      <c r="H109">
        <v>0</v>
      </c>
      <c r="I109" t="str">
        <f>OutputTable[[#This Row],[ProjectName]]&amp;OutputTable[[#This Row],[Name]]&amp;OutputTable[[#This Row],[Type]]&amp;OutputTable[[#This Row],[Source]]</f>
        <v>Unnamed ProjectNEWPAINTER.NumberSeizedTotal Number SeizedResource</v>
      </c>
      <c r="J109" cm="1">
        <f t="array" ref="J109">MAX(IF((ProjectInfoTable[ProjectName]=OutputTable[[#This Row],[ProjectName]]),(ProjectInfoTable[ProjectName]=OutputTable[[#This Row],[ProjectName]])*ProjectInfoTable[NumberOfReplications]))</f>
        <v>10</v>
      </c>
      <c r="K109" cm="1">
        <f t="array" ref="K109">IFERROR(AVERAGE(IF((OutputTable[GroupByKey]=OutputTable[[#This Row],[GroupByKey]]),(OutputTable[GroupByKey]=OutputTable[[#This Row],[GroupByKey]])*OutputTable[RecordedValue])),0)</f>
        <v>5893</v>
      </c>
      <c r="L109" cm="1">
        <f t="array" ref="L109">IFERROR(_xlfn.STDEV.S(IF((OutputTable[GroupByKey]=OutputTable[[#This Row],[GroupByKey]]),(OutputTable[GroupByKey]=OutputTable[[#This Row],[GroupByKey]])*OutputTable[RecordedValue])),0)</f>
        <v>92.348374226199681</v>
      </c>
      <c r="M109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66.062047257875278</v>
      </c>
      <c r="O109" cm="1">
        <f t="array" ref="O109">MIN(IF((OutputTable[GroupByKey]=OutputTable[[#This Row],[GroupByKey]]),(OutputTable[GroupByKey]=OutputTable[[#This Row],[GroupByKey]])*OutputTable[RecordedValue]))</f>
        <v>5736</v>
      </c>
      <c r="P109" cm="1">
        <f t="array" ref="P109">MAX(IF((OutputTable[GroupByKey]=OutputTable[[#This Row],[GroupByKey]]),(OutputTable[GroupByKey]=OutputTable[[#This Row],[GroupByKey]])*OutputTable[RecordedValue]))</f>
        <v>6053</v>
      </c>
    </row>
    <row r="110" spans="1:16" x14ac:dyDescent="0.25">
      <c r="A110" t="s">
        <v>67</v>
      </c>
      <c r="B110" t="s">
        <v>69</v>
      </c>
      <c r="C110">
        <v>8</v>
      </c>
      <c r="D110" t="s">
        <v>118</v>
      </c>
      <c r="E110" t="s">
        <v>119</v>
      </c>
      <c r="F110" t="s">
        <v>106</v>
      </c>
      <c r="G110">
        <v>0.52474220708409902</v>
      </c>
      <c r="H110">
        <v>0</v>
      </c>
      <c r="I110" t="str">
        <f>OutputTable[[#This Row],[ProjectName]]&amp;OutputTable[[#This Row],[Name]]&amp;OutputTable[[#This Row],[Type]]&amp;OutputTable[[#This Row],[Source]]</f>
        <v>Unnamed ProjectNEWPAINTER.ScheduledUtilizationScheduled UtilizationResource</v>
      </c>
      <c r="J110" cm="1">
        <f t="array" ref="J110">MAX(IF((ProjectInfoTable[ProjectName]=OutputTable[[#This Row],[ProjectName]]),(ProjectInfoTable[ProjectName]=OutputTable[[#This Row],[ProjectName]])*ProjectInfoTable[NumberOfReplications]))</f>
        <v>10</v>
      </c>
      <c r="K110" cm="1">
        <f t="array" ref="K110">IFERROR(AVERAGE(IF((OutputTable[GroupByKey]=OutputTable[[#This Row],[GroupByKey]]),(OutputTable[GroupByKey]=OutputTable[[#This Row],[GroupByKey]])*OutputTable[RecordedValue])),0)</f>
        <v>0.52518723279433455</v>
      </c>
      <c r="L110" cm="1">
        <f t="array" ref="L110">IFERROR(_xlfn.STDEV.S(IF((OutputTable[GroupByKey]=OutputTable[[#This Row],[GroupByKey]]),(OutputTable[GroupByKey]=OutputTable[[#This Row],[GroupByKey]])*OutputTable[RecordedValue])),0)</f>
        <v>8.4087502405714581E-3</v>
      </c>
      <c r="M110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6.0152575551752803E-3</v>
      </c>
      <c r="O110" cm="1">
        <f t="array" ref="O110">MIN(IF((OutputTable[GroupByKey]=OutputTable[[#This Row],[GroupByKey]]),(OutputTable[GroupByKey]=OutputTable[[#This Row],[GroupByKey]])*OutputTable[RecordedValue]))</f>
        <v>0.51150896826018899</v>
      </c>
      <c r="P110" cm="1">
        <f t="array" ref="P110">MAX(IF((OutputTable[GroupByKey]=OutputTable[[#This Row],[GroupByKey]]),(OutputTable[GroupByKey]=OutputTable[[#This Row],[GroupByKey]])*OutputTable[RecordedValue]))</f>
        <v>0.54003281556404203</v>
      </c>
    </row>
    <row r="111" spans="1:16" x14ac:dyDescent="0.25">
      <c r="A111" t="s">
        <v>67</v>
      </c>
      <c r="B111" t="s">
        <v>69</v>
      </c>
      <c r="C111">
        <v>8</v>
      </c>
      <c r="D111" t="s">
        <v>120</v>
      </c>
      <c r="E111" t="s">
        <v>113</v>
      </c>
      <c r="F111" t="s">
        <v>77</v>
      </c>
      <c r="G111">
        <v>16910</v>
      </c>
      <c r="H111">
        <v>0</v>
      </c>
      <c r="I111" t="str">
        <f>OutputTable[[#This Row],[ProjectName]]&amp;OutputTable[[#This Row],[Name]]&amp;OutputTable[[#This Row],[Type]]&amp;OutputTable[[#This Row],[Source]]</f>
        <v>Unnamed ProjectNewPart.NumberInNumber InEntity</v>
      </c>
      <c r="J111" cm="1">
        <f t="array" ref="J111">MAX(IF((ProjectInfoTable[ProjectName]=OutputTable[[#This Row],[ProjectName]]),(ProjectInfoTable[ProjectName]=OutputTable[[#This Row],[ProjectName]])*ProjectInfoTable[NumberOfReplications]))</f>
        <v>10</v>
      </c>
      <c r="K111" cm="1">
        <f t="array" ref="K111">IFERROR(AVERAGE(IF((OutputTable[GroupByKey]=OutputTable[[#This Row],[GroupByKey]]),(OutputTable[GroupByKey]=OutputTable[[#This Row],[GroupByKey]])*OutputTable[RecordedValue])),0)</f>
        <v>16948.3</v>
      </c>
      <c r="L111" cm="1">
        <f t="array" ref="L111">IFERROR(_xlfn.STDEV.S(IF((OutputTable[GroupByKey]=OutputTable[[#This Row],[GroupByKey]]),(OutputTable[GroupByKey]=OutputTable[[#This Row],[GroupByKey]])*OutputTable[RecordedValue])),0)</f>
        <v>183.31033189042506</v>
      </c>
      <c r="M111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131.13231185359012</v>
      </c>
      <c r="O111" cm="1">
        <f t="array" ref="O111">MIN(IF((OutputTable[GroupByKey]=OutputTable[[#This Row],[GroupByKey]]),(OutputTable[GroupByKey]=OutputTable[[#This Row],[GroupByKey]])*OutputTable[RecordedValue]))</f>
        <v>16656</v>
      </c>
      <c r="P111" cm="1">
        <f t="array" ref="P111">MAX(IF((OutputTable[GroupByKey]=OutputTable[[#This Row],[GroupByKey]]),(OutputTable[GroupByKey]=OutputTable[[#This Row],[GroupByKey]])*OutputTable[RecordedValue]))</f>
        <v>17189</v>
      </c>
    </row>
    <row r="112" spans="1:16" x14ac:dyDescent="0.25">
      <c r="A112" t="s">
        <v>67</v>
      </c>
      <c r="B112" t="s">
        <v>69</v>
      </c>
      <c r="C112">
        <v>8</v>
      </c>
      <c r="D112" t="s">
        <v>121</v>
      </c>
      <c r="E112" t="s">
        <v>115</v>
      </c>
      <c r="F112" t="s">
        <v>77</v>
      </c>
      <c r="G112">
        <v>16909</v>
      </c>
      <c r="H112">
        <v>0</v>
      </c>
      <c r="I112" s="5" t="str">
        <f>OutputTable[[#This Row],[ProjectName]]&amp;OutputTable[[#This Row],[Name]]&amp;OutputTable[[#This Row],[Type]]&amp;OutputTable[[#This Row],[Source]]</f>
        <v>Unnamed ProjectNewPart.NumberOutNumber OutEntity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10</v>
      </c>
      <c r="K112" s="5" cm="1">
        <f t="array" ref="K112">IFERROR(AVERAGE(IF((OutputTable[GroupByKey]=OutputTable[[#This Row],[GroupByKey]]),(OutputTable[GroupByKey]=OutputTable[[#This Row],[GroupByKey]])*OutputTable[RecordedValue])),0)</f>
        <v>16948.099999999999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184.16022613172714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131.74028956845027</v>
      </c>
      <c r="O112" s="5" cm="1">
        <f t="array" ref="O112">MIN(IF((OutputTable[GroupByKey]=OutputTable[[#This Row],[GroupByKey]]),(OutputTable[GroupByKey]=OutputTable[[#This Row],[GroupByKey]])*OutputTable[RecordedValue]))</f>
        <v>16656</v>
      </c>
      <c r="P112" s="5" cm="1">
        <f t="array" ref="P112">MAX(IF((OutputTable[GroupByKey]=OutputTable[[#This Row],[GroupByKey]]),(OutputTable[GroupByKey]=OutputTable[[#This Row],[GroupByKey]])*OutputTable[RecordedValue]))</f>
        <v>17191</v>
      </c>
    </row>
    <row r="113" spans="1:16" x14ac:dyDescent="0.25">
      <c r="A113" t="s">
        <v>67</v>
      </c>
      <c r="B113" t="s">
        <v>69</v>
      </c>
      <c r="C113">
        <v>8</v>
      </c>
      <c r="D113" t="s">
        <v>122</v>
      </c>
      <c r="E113" t="s">
        <v>113</v>
      </c>
      <c r="F113" t="s">
        <v>77</v>
      </c>
      <c r="G113">
        <v>39215</v>
      </c>
      <c r="H113">
        <v>0</v>
      </c>
      <c r="I113" s="5" t="str">
        <f>OutputTable[[#This Row],[ProjectName]]&amp;OutputTable[[#This Row],[Name]]&amp;OutputTable[[#This Row],[Type]]&amp;OutputTable[[#This Row],[Source]]</f>
        <v>Unnamed ProjectOldPart.NumberInNumber InEntity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10</v>
      </c>
      <c r="K113" s="5" cm="1">
        <f t="array" ref="K113">IFERROR(AVERAGE(IF((OutputTable[GroupByKey]=OutputTable[[#This Row],[GroupByKey]]),(OutputTable[GroupByKey]=OutputTable[[#This Row],[GroupByKey]])*OutputTable[RecordedValue])),0)</f>
        <v>39113.599999999999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260.00051282000709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185.9931624017064</v>
      </c>
      <c r="O113" s="5" cm="1">
        <f t="array" ref="O113">MIN(IF((OutputTable[GroupByKey]=OutputTable[[#This Row],[GroupByKey]]),(OutputTable[GroupByKey]=OutputTable[[#This Row],[GroupByKey]])*OutputTable[RecordedValue]))</f>
        <v>38586</v>
      </c>
      <c r="P113" s="5" cm="1">
        <f t="array" ref="P113">MAX(IF((OutputTable[GroupByKey]=OutputTable[[#This Row],[GroupByKey]]),(OutputTable[GroupByKey]=OutputTable[[#This Row],[GroupByKey]])*OutputTable[RecordedValue]))</f>
        <v>39514</v>
      </c>
    </row>
    <row r="114" spans="1:16" x14ac:dyDescent="0.25">
      <c r="A114" t="s">
        <v>67</v>
      </c>
      <c r="B114" t="s">
        <v>69</v>
      </c>
      <c r="C114">
        <v>8</v>
      </c>
      <c r="D114" t="s">
        <v>123</v>
      </c>
      <c r="E114" t="s">
        <v>115</v>
      </c>
      <c r="F114" t="s">
        <v>77</v>
      </c>
      <c r="G114">
        <v>39220</v>
      </c>
      <c r="H114">
        <v>0</v>
      </c>
      <c r="I114" s="5" t="str">
        <f>OutputTable[[#This Row],[ProjectName]]&amp;OutputTable[[#This Row],[Name]]&amp;OutputTable[[#This Row],[Type]]&amp;OutputTable[[#This Row],[Source]]</f>
        <v>Unnamed ProjectOldPart.NumberOutNumber OutEntity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10</v>
      </c>
      <c r="K114" s="5" cm="1">
        <f t="array" ref="K114">IFERROR(AVERAGE(IF((OutputTable[GroupByKey]=OutputTable[[#This Row],[GroupByKey]]),(OutputTable[GroupByKey]=OutputTable[[#This Row],[GroupByKey]])*OutputTable[RecordedValue])),0)</f>
        <v>39114.6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258.98871704295448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185.26936730515985</v>
      </c>
      <c r="O114" s="5" cm="1">
        <f t="array" ref="O114">MIN(IF((OutputTable[GroupByKey]=OutputTable[[#This Row],[GroupByKey]]),(OutputTable[GroupByKey]=OutputTable[[#This Row],[GroupByKey]])*OutputTable[RecordedValue]))</f>
        <v>38588</v>
      </c>
      <c r="P114" s="5" cm="1">
        <f t="array" ref="P114">MAX(IF((OutputTable[GroupByKey]=OutputTable[[#This Row],[GroupByKey]]),(OutputTable[GroupByKey]=OutputTable[[#This Row],[GroupByKey]])*OutputTable[RecordedValue]))</f>
        <v>39510</v>
      </c>
    </row>
    <row r="115" spans="1:16" x14ac:dyDescent="0.25">
      <c r="A115" t="s">
        <v>67</v>
      </c>
      <c r="B115" t="s">
        <v>69</v>
      </c>
      <c r="C115">
        <v>8</v>
      </c>
      <c r="D115" t="s">
        <v>124</v>
      </c>
      <c r="E115" t="s">
        <v>117</v>
      </c>
      <c r="F115" t="s">
        <v>106</v>
      </c>
      <c r="G115">
        <v>19695</v>
      </c>
      <c r="H115">
        <v>0</v>
      </c>
      <c r="I115" s="5" t="str">
        <f>OutputTable[[#This Row],[ProjectName]]&amp;OutputTable[[#This Row],[Name]]&amp;OutputTable[[#This Row],[Type]]&amp;OutputTable[[#This Row],[Source]]</f>
        <v>Unnamed ProjectPACKER.NumberSeizedTotal Number SeizedResource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10</v>
      </c>
      <c r="K115" s="5" cm="1">
        <f t="array" ref="K115">IFERROR(AVERAGE(IF((OutputTable[GroupByKey]=OutputTable[[#This Row],[GroupByKey]]),(OutputTable[GroupByKey]=OutputTable[[#This Row],[GroupByKey]])*OutputTable[RecordedValue])),0)</f>
        <v>19615.8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165.88670832830459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118.66820241139406</v>
      </c>
      <c r="O115" s="5" cm="1">
        <f t="array" ref="O115">MIN(IF((OutputTable[GroupByKey]=OutputTable[[#This Row],[GroupByKey]]),(OutputTable[GroupByKey]=OutputTable[[#This Row],[GroupByKey]])*OutputTable[RecordedValue]))</f>
        <v>19409</v>
      </c>
      <c r="P115" s="5" cm="1">
        <f t="array" ref="P115">MAX(IF((OutputTable[GroupByKey]=OutputTable[[#This Row],[GroupByKey]]),(OutputTable[GroupByKey]=OutputTable[[#This Row],[GroupByKey]])*OutputTable[RecordedValue]))</f>
        <v>19914</v>
      </c>
    </row>
    <row r="116" spans="1:16" x14ac:dyDescent="0.25">
      <c r="A116" t="s">
        <v>67</v>
      </c>
      <c r="B116" t="s">
        <v>69</v>
      </c>
      <c r="C116">
        <v>8</v>
      </c>
      <c r="D116" t="s">
        <v>125</v>
      </c>
      <c r="E116" t="s">
        <v>119</v>
      </c>
      <c r="F116" t="s">
        <v>106</v>
      </c>
      <c r="G116">
        <v>0.81848735620133495</v>
      </c>
      <c r="H116">
        <v>0</v>
      </c>
      <c r="I116" s="5" t="str">
        <f>OutputTable[[#This Row],[ProjectName]]&amp;OutputTable[[#This Row],[Name]]&amp;OutputTable[[#This Row],[Type]]&amp;OutputTable[[#This Row],[Source]]</f>
        <v>Unnamed ProjectPACKER.ScheduledUtilizationScheduled UtilizationResource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10</v>
      </c>
      <c r="K116" s="5" cm="1">
        <f t="array" ref="K116">IFERROR(AVERAGE(IF((OutputTable[GroupByKey]=OutputTable[[#This Row],[GroupByKey]]),(OutputTable[GroupByKey]=OutputTable[[#This Row],[GroupByKey]])*OutputTable[RecordedValue])),0)</f>
        <v>0.81557194281027567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6.9416851287817331E-3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4.9657823959478754E-3</v>
      </c>
      <c r="O116" s="5" cm="1">
        <f t="array" ref="O116">MIN(IF((OutputTable[GroupByKey]=OutputTable[[#This Row],[GroupByKey]]),(OutputTable[GroupByKey]=OutputTable[[#This Row],[GroupByKey]])*OutputTable[RecordedValue]))</f>
        <v>0.80675605099888203</v>
      </c>
      <c r="P116" s="5" cm="1">
        <f t="array" ref="P116">MAX(IF((OutputTable[GroupByKey]=OutputTable[[#This Row],[GroupByKey]]),(OutputTable[GroupByKey]=OutputTable[[#This Row],[GroupByKey]])*OutputTable[RecordedValue]))</f>
        <v>0.82818429749007605</v>
      </c>
    </row>
    <row r="117" spans="1:16" x14ac:dyDescent="0.25">
      <c r="A117" t="s">
        <v>67</v>
      </c>
      <c r="B117" t="s">
        <v>69</v>
      </c>
      <c r="C117">
        <v>8</v>
      </c>
      <c r="D117" t="s">
        <v>126</v>
      </c>
      <c r="E117" t="s">
        <v>117</v>
      </c>
      <c r="F117" t="s">
        <v>106</v>
      </c>
      <c r="G117">
        <v>13812</v>
      </c>
      <c r="H117">
        <v>0</v>
      </c>
      <c r="I117" s="5" t="str">
        <f>OutputTable[[#This Row],[ProjectName]]&amp;OutputTable[[#This Row],[Name]]&amp;OutputTable[[#This Row],[Type]]&amp;OutputTable[[#This Row],[Source]]</f>
        <v>Unnamed ProjectPAINTER.NumberSeizedTotal Number SeizedResource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10</v>
      </c>
      <c r="K117" s="5" cm="1">
        <f t="array" ref="K117">IFERROR(AVERAGE(IF((OutputTable[GroupByKey]=OutputTable[[#This Row],[GroupByKey]]),(OutputTable[GroupByKey]=OutputTable[[#This Row],[GroupByKey]])*OutputTable[RecordedValue])),0)</f>
        <v>13722.6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113.64682133698241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81.298038485024648</v>
      </c>
      <c r="O117" s="5" cm="1">
        <f t="array" ref="O117">MIN(IF((OutputTable[GroupByKey]=OutputTable[[#This Row],[GroupByKey]]),(OutputTable[GroupByKey]=OutputTable[[#This Row],[GroupByKey]])*OutputTable[RecordedValue]))</f>
        <v>13496</v>
      </c>
      <c r="P117" s="5" cm="1">
        <f t="array" ref="P117">MAX(IF((OutputTable[GroupByKey]=OutputTable[[#This Row],[GroupByKey]]),(OutputTable[GroupByKey]=OutputTable[[#This Row],[GroupByKey]])*OutputTable[RecordedValue]))</f>
        <v>13871</v>
      </c>
    </row>
    <row r="118" spans="1:16" x14ac:dyDescent="0.25">
      <c r="A118" t="s">
        <v>67</v>
      </c>
      <c r="B118" t="s">
        <v>69</v>
      </c>
      <c r="C118">
        <v>8</v>
      </c>
      <c r="D118" t="s">
        <v>127</v>
      </c>
      <c r="E118" t="s">
        <v>119</v>
      </c>
      <c r="F118" t="s">
        <v>106</v>
      </c>
      <c r="G118">
        <v>0.55186795556101498</v>
      </c>
      <c r="H118">
        <v>0</v>
      </c>
      <c r="I118" s="5" t="str">
        <f>OutputTable[[#This Row],[ProjectName]]&amp;OutputTable[[#This Row],[Name]]&amp;OutputTable[[#This Row],[Type]]&amp;OutputTable[[#This Row],[Source]]</f>
        <v>Unnamed ProjectPAINTER.ScheduledUtilizationScheduled UtilizationResource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10</v>
      </c>
      <c r="K118" s="5" cm="1">
        <f t="array" ref="K118">IFERROR(AVERAGE(IF((OutputTable[GroupByKey]=OutputTable[[#This Row],[GroupByKey]]),(OutputTable[GroupByKey]=OutputTable[[#This Row],[GroupByKey]])*OutputTable[RecordedValue])),0)</f>
        <v>0.54938142053560801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4.5196387022068685E-3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3.2331547581159752E-3</v>
      </c>
      <c r="O118" s="5" cm="1">
        <f t="array" ref="O118">MIN(IF((OutputTable[GroupByKey]=OutputTable[[#This Row],[GroupByKey]]),(OutputTable[GroupByKey]=OutputTable[[#This Row],[GroupByKey]])*OutputTable[RecordedValue]))</f>
        <v>0.54030874063430001</v>
      </c>
      <c r="P118" s="5" cm="1">
        <f t="array" ref="P118">MAX(IF((OutputTable[GroupByKey]=OutputTable[[#This Row],[GroupByKey]]),(OutputTable[GroupByKey]=OutputTable[[#This Row],[GroupByKey]])*OutputTable[RecordedValue]))</f>
        <v>0.55566835138728998</v>
      </c>
    </row>
    <row r="119" spans="1:16" x14ac:dyDescent="0.25">
      <c r="A119" t="s">
        <v>67</v>
      </c>
      <c r="B119" t="s">
        <v>69</v>
      </c>
      <c r="C119">
        <v>8</v>
      </c>
      <c r="D119" t="s">
        <v>128</v>
      </c>
      <c r="E119" t="s">
        <v>115</v>
      </c>
      <c r="F119" t="s">
        <v>129</v>
      </c>
      <c r="G119">
        <v>56129</v>
      </c>
      <c r="H119">
        <v>0</v>
      </c>
      <c r="I119" s="5" t="str">
        <f>OutputTable[[#This Row],[ProjectName]]&amp;OutputTable[[#This Row],[Name]]&amp;OutputTable[[#This Row],[Type]]&amp;OutputTable[[#This Row],[Source]]</f>
        <v>Unnamed ProjectSystem.NumberOutNumber OutSystem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10</v>
      </c>
      <c r="K119" s="5" cm="1">
        <f t="array" ref="K119">IFERROR(AVERAGE(IF((OutputTable[GroupByKey]=OutputTable[[#This Row],[GroupByKey]]),(OutputTable[GroupByKey]=OutputTable[[#This Row],[GroupByKey]])*OutputTable[RecordedValue])),0)</f>
        <v>56062.7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281.95036994320668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201.69514427985661</v>
      </c>
      <c r="O119" s="5" cm="1">
        <f t="array" ref="O119">MIN(IF((OutputTable[GroupByKey]=OutputTable[[#This Row],[GroupByKey]]),(OutputTable[GroupByKey]=OutputTable[[#This Row],[GroupByKey]])*OutputTable[RecordedValue]))</f>
        <v>55662</v>
      </c>
      <c r="P119" s="5" cm="1">
        <f t="array" ref="P119">MAX(IF((OutputTable[GroupByKey]=OutputTable[[#This Row],[GroupByKey]]),(OutputTable[GroupByKey]=OutputTable[[#This Row],[GroupByKey]])*OutputTable[RecordedValue]))</f>
        <v>56611</v>
      </c>
    </row>
    <row r="120" spans="1:16" x14ac:dyDescent="0.25">
      <c r="A120" t="s">
        <v>67</v>
      </c>
      <c r="B120" t="s">
        <v>69</v>
      </c>
      <c r="C120">
        <v>8</v>
      </c>
      <c r="D120" t="s">
        <v>130</v>
      </c>
      <c r="E120" t="s">
        <v>117</v>
      </c>
      <c r="F120" t="s">
        <v>106</v>
      </c>
      <c r="G120">
        <v>19695</v>
      </c>
      <c r="H120">
        <v>0</v>
      </c>
      <c r="I120" s="5" t="str">
        <f>OutputTable[[#This Row],[ProjectName]]&amp;OutputTable[[#This Row],[Name]]&amp;OutputTable[[#This Row],[Type]]&amp;OutputTable[[#This Row],[Source]]</f>
        <v>Unnamed ProjectWORKER.NumberSeizedTotal Number SeizedResource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10</v>
      </c>
      <c r="K120" s="5" cm="1">
        <f t="array" ref="K120">IFERROR(AVERAGE(IF((OutputTable[GroupByKey]=OutputTable[[#This Row],[GroupByKey]]),(OutputTable[GroupByKey]=OutputTable[[#This Row],[GroupByKey]])*OutputTable[RecordedValue])),0)</f>
        <v>19616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166.31629839288485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118.97551263082794</v>
      </c>
      <c r="O120" s="5" cm="1">
        <f t="array" ref="O120">MIN(IF((OutputTable[GroupByKey]=OutputTable[[#This Row],[GroupByKey]]),(OutputTable[GroupByKey]=OutputTable[[#This Row],[GroupByKey]])*OutputTable[RecordedValue]))</f>
        <v>19409</v>
      </c>
      <c r="P120" s="5" cm="1">
        <f t="array" ref="P120">MAX(IF((OutputTable[GroupByKey]=OutputTable[[#This Row],[GroupByKey]]),(OutputTable[GroupByKey]=OutputTable[[#This Row],[GroupByKey]])*OutputTable[RecordedValue]))</f>
        <v>19915</v>
      </c>
    </row>
    <row r="121" spans="1:16" x14ac:dyDescent="0.25">
      <c r="A121" t="s">
        <v>67</v>
      </c>
      <c r="B121" t="s">
        <v>69</v>
      </c>
      <c r="C121">
        <v>8</v>
      </c>
      <c r="D121" t="s">
        <v>131</v>
      </c>
      <c r="E121" t="s">
        <v>119</v>
      </c>
      <c r="F121" t="s">
        <v>106</v>
      </c>
      <c r="G121">
        <v>0.82389862608839404</v>
      </c>
      <c r="H121">
        <v>0</v>
      </c>
      <c r="I121" s="5" t="str">
        <f>OutputTable[[#This Row],[ProjectName]]&amp;OutputTable[[#This Row],[Name]]&amp;OutputTable[[#This Row],[Type]]&amp;OutputTable[[#This Row],[Source]]</f>
        <v>Unnamed ProjectWORKER.ScheduledUtilizationScheduled UtilizationResource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10</v>
      </c>
      <c r="K121" s="5" cm="1">
        <f t="array" ref="K121">IFERROR(AVERAGE(IF((OutputTable[GroupByKey]=OutputTable[[#This Row],[GroupByKey]]),(OutputTable[GroupByKey]=OutputTable[[#This Row],[GroupByKey]])*OutputTable[RecordedValue])),0)</f>
        <v>0.82030090075893936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6.9684713894533476E-3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4.9849441325044447E-3</v>
      </c>
      <c r="O121" s="5" cm="1">
        <f t="array" ref="O121">MIN(IF((OutputTable[GroupByKey]=OutputTable[[#This Row],[GroupByKey]]),(OutputTable[GroupByKey]=OutputTable[[#This Row],[GroupByKey]])*OutputTable[RecordedValue]))</f>
        <v>0.81151215762737705</v>
      </c>
      <c r="P121" s="5" cm="1">
        <f t="array" ref="P121">MAX(IF((OutputTable[GroupByKey]=OutputTable[[#This Row],[GroupByKey]]),(OutputTable[GroupByKey]=OutputTable[[#This Row],[GroupByKey]])*OutputTable[RecordedValue]))</f>
        <v>0.832837691284112</v>
      </c>
    </row>
    <row r="122" spans="1:16" x14ac:dyDescent="0.25">
      <c r="A122" t="s">
        <v>67</v>
      </c>
      <c r="B122" t="s">
        <v>69</v>
      </c>
      <c r="C122">
        <v>9</v>
      </c>
      <c r="D122" t="s">
        <v>112</v>
      </c>
      <c r="E122" t="s">
        <v>113</v>
      </c>
      <c r="F122" t="s">
        <v>77</v>
      </c>
      <c r="G122">
        <v>19611</v>
      </c>
      <c r="H122">
        <v>0</v>
      </c>
      <c r="I122" s="5" t="str">
        <f>OutputTable[[#This Row],[ProjectName]]&amp;OutputTable[[#This Row],[Name]]&amp;OutputTable[[#This Row],[Type]]&amp;OutputTable[[#This Row],[Source]]</f>
        <v>Unnamed ProjectEntity 1.NumberInNumber InEntity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10</v>
      </c>
      <c r="K122" s="5" cm="1">
        <f t="array" ref="K122">IFERROR(AVERAGE(IF((OutputTable[GroupByKey]=OutputTable[[#This Row],[GroupByKey]]),(OutputTable[GroupByKey]=OutputTable[[#This Row],[GroupByKey]])*OutputTable[RecordedValue])),0)</f>
        <v>19615.599999999999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165.97134960254101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118.72875113144924</v>
      </c>
      <c r="O122" s="5" cm="1">
        <f t="array" ref="O122">MIN(IF((OutputTable[GroupByKey]=OutputTable[[#This Row],[GroupByKey]]),(OutputTable[GroupByKey]=OutputTable[[#This Row],[GroupByKey]])*OutputTable[RecordedValue]))</f>
        <v>19410</v>
      </c>
      <c r="P122" s="5" cm="1">
        <f t="array" ref="P122">MAX(IF((OutputTable[GroupByKey]=OutputTable[[#This Row],[GroupByKey]]),(OutputTable[GroupByKey]=OutputTable[[#This Row],[GroupByKey]])*OutputTable[RecordedValue]))</f>
        <v>19914</v>
      </c>
    </row>
    <row r="123" spans="1:16" x14ac:dyDescent="0.25">
      <c r="A123" t="s">
        <v>67</v>
      </c>
      <c r="B123" t="s">
        <v>69</v>
      </c>
      <c r="C123">
        <v>9</v>
      </c>
      <c r="D123" t="s">
        <v>114</v>
      </c>
      <c r="E123" t="s">
        <v>115</v>
      </c>
      <c r="F123" t="s">
        <v>77</v>
      </c>
      <c r="G123">
        <v>19611</v>
      </c>
      <c r="H123">
        <v>0</v>
      </c>
      <c r="I123" s="5" t="str">
        <f>OutputTable[[#This Row],[ProjectName]]&amp;OutputTable[[#This Row],[Name]]&amp;OutputTable[[#This Row],[Type]]&amp;OutputTable[[#This Row],[Source]]</f>
        <v>Unnamed ProjectEntity 1.NumberOutNumber OutEntity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10</v>
      </c>
      <c r="K123" s="5" cm="1">
        <f t="array" ref="K123">IFERROR(AVERAGE(IF((OutputTable[GroupByKey]=OutputTable[[#This Row],[GroupByKey]]),(OutputTable[GroupByKey]=OutputTable[[#This Row],[GroupByKey]])*OutputTable[RecordedValue])),0)</f>
        <v>19615.599999999999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165.97134960254101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118.72875113144924</v>
      </c>
      <c r="O123" s="5" cm="1">
        <f t="array" ref="O123">MIN(IF((OutputTable[GroupByKey]=OutputTable[[#This Row],[GroupByKey]]),(OutputTable[GroupByKey]=OutputTable[[#This Row],[GroupByKey]])*OutputTable[RecordedValue]))</f>
        <v>19410</v>
      </c>
      <c r="P123" s="5" cm="1">
        <f t="array" ref="P123">MAX(IF((OutputTable[GroupByKey]=OutputTable[[#This Row],[GroupByKey]]),(OutputTable[GroupByKey]=OutputTable[[#This Row],[GroupByKey]])*OutputTable[RecordedValue]))</f>
        <v>19914</v>
      </c>
    </row>
    <row r="124" spans="1:16" x14ac:dyDescent="0.25">
      <c r="A124" t="s">
        <v>67</v>
      </c>
      <c r="B124" t="s">
        <v>69</v>
      </c>
      <c r="C124">
        <v>9</v>
      </c>
      <c r="D124" t="s">
        <v>116</v>
      </c>
      <c r="E124" t="s">
        <v>117</v>
      </c>
      <c r="F124" t="s">
        <v>106</v>
      </c>
      <c r="G124">
        <v>5843</v>
      </c>
      <c r="H124">
        <v>0</v>
      </c>
      <c r="I124" s="5" t="str">
        <f>OutputTable[[#This Row],[ProjectName]]&amp;OutputTable[[#This Row],[Name]]&amp;OutputTable[[#This Row],[Type]]&amp;OutputTable[[#This Row],[Source]]</f>
        <v>Unnamed ProjectNEWPAINTER.NumberSeizedTotal Number SeizedResource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10</v>
      </c>
      <c r="K124" s="5" cm="1">
        <f t="array" ref="K124">IFERROR(AVERAGE(IF((OutputTable[GroupByKey]=OutputTable[[#This Row],[GroupByKey]]),(OutputTable[GroupByKey]=OutputTable[[#This Row],[GroupByKey]])*OutputTable[RecordedValue])),0)</f>
        <v>5893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92.348374226199681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66.062047257875278</v>
      </c>
      <c r="O124" s="5" cm="1">
        <f t="array" ref="O124">MIN(IF((OutputTable[GroupByKey]=OutputTable[[#This Row],[GroupByKey]]),(OutputTable[GroupByKey]=OutputTable[[#This Row],[GroupByKey]])*OutputTable[RecordedValue]))</f>
        <v>5736</v>
      </c>
      <c r="P124" s="5" cm="1">
        <f t="array" ref="P124">MAX(IF((OutputTable[GroupByKey]=OutputTable[[#This Row],[GroupByKey]]),(OutputTable[GroupByKey]=OutputTable[[#This Row],[GroupByKey]])*OutputTable[RecordedValue]))</f>
        <v>6053</v>
      </c>
    </row>
    <row r="125" spans="1:16" x14ac:dyDescent="0.25">
      <c r="A125" t="s">
        <v>67</v>
      </c>
      <c r="B125" t="s">
        <v>69</v>
      </c>
      <c r="C125">
        <v>9</v>
      </c>
      <c r="D125" t="s">
        <v>118</v>
      </c>
      <c r="E125" t="s">
        <v>119</v>
      </c>
      <c r="F125" t="s">
        <v>106</v>
      </c>
      <c r="G125">
        <v>0.52047864599343696</v>
      </c>
      <c r="H125">
        <v>0</v>
      </c>
      <c r="I125" s="5" t="str">
        <f>OutputTable[[#This Row],[ProjectName]]&amp;OutputTable[[#This Row],[Name]]&amp;OutputTable[[#This Row],[Type]]&amp;OutputTable[[#This Row],[Source]]</f>
        <v>Unnamed ProjectNEWPAINTER.ScheduledUtilizationScheduled UtilizationResource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10</v>
      </c>
      <c r="K125" s="5" cm="1">
        <f t="array" ref="K125">IFERROR(AVERAGE(IF((OutputTable[GroupByKey]=OutputTable[[#This Row],[GroupByKey]]),(OutputTable[GroupByKey]=OutputTable[[#This Row],[GroupByKey]])*OutputTable[RecordedValue])),0)</f>
        <v>0.52518723279433455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8.4087502405714581E-3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6.0152575551752803E-3</v>
      </c>
      <c r="O125" s="5" cm="1">
        <f t="array" ref="O125">MIN(IF((OutputTable[GroupByKey]=OutputTable[[#This Row],[GroupByKey]]),(OutputTable[GroupByKey]=OutputTable[[#This Row],[GroupByKey]])*OutputTable[RecordedValue]))</f>
        <v>0.51150896826018899</v>
      </c>
      <c r="P125" s="5" cm="1">
        <f t="array" ref="P125">MAX(IF((OutputTable[GroupByKey]=OutputTable[[#This Row],[GroupByKey]]),(OutputTable[GroupByKey]=OutputTable[[#This Row],[GroupByKey]])*OutputTable[RecordedValue]))</f>
        <v>0.54003281556404203</v>
      </c>
    </row>
    <row r="126" spans="1:16" x14ac:dyDescent="0.25">
      <c r="A126" t="s">
        <v>67</v>
      </c>
      <c r="B126" t="s">
        <v>69</v>
      </c>
      <c r="C126">
        <v>9</v>
      </c>
      <c r="D126" t="s">
        <v>120</v>
      </c>
      <c r="E126" t="s">
        <v>113</v>
      </c>
      <c r="F126" t="s">
        <v>77</v>
      </c>
      <c r="G126">
        <v>16710</v>
      </c>
      <c r="H126">
        <v>0</v>
      </c>
      <c r="I126" s="5" t="str">
        <f>OutputTable[[#This Row],[ProjectName]]&amp;OutputTable[[#This Row],[Name]]&amp;OutputTable[[#This Row],[Type]]&amp;OutputTable[[#This Row],[Source]]</f>
        <v>Unnamed ProjectNewPart.NumberInNumber InEntity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10</v>
      </c>
      <c r="K126" s="5" cm="1">
        <f t="array" ref="K126">IFERROR(AVERAGE(IF((OutputTable[GroupByKey]=OutputTable[[#This Row],[GroupByKey]]),(OutputTable[GroupByKey]=OutputTable[[#This Row],[GroupByKey]])*OutputTable[RecordedValue])),0)</f>
        <v>16948.3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183.31033189042506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131.13231185359012</v>
      </c>
      <c r="O126" s="5" cm="1">
        <f t="array" ref="O126">MIN(IF((OutputTable[GroupByKey]=OutputTable[[#This Row],[GroupByKey]]),(OutputTable[GroupByKey]=OutputTable[[#This Row],[GroupByKey]])*OutputTable[RecordedValue]))</f>
        <v>16656</v>
      </c>
      <c r="P126" s="5" cm="1">
        <f t="array" ref="P126">MAX(IF((OutputTable[GroupByKey]=OutputTable[[#This Row],[GroupByKey]]),(OutputTable[GroupByKey]=OutputTable[[#This Row],[GroupByKey]])*OutputTable[RecordedValue]))</f>
        <v>17189</v>
      </c>
    </row>
    <row r="127" spans="1:16" x14ac:dyDescent="0.25">
      <c r="A127" t="s">
        <v>67</v>
      </c>
      <c r="B127" t="s">
        <v>69</v>
      </c>
      <c r="C127">
        <v>9</v>
      </c>
      <c r="D127" t="s">
        <v>121</v>
      </c>
      <c r="E127" t="s">
        <v>115</v>
      </c>
      <c r="F127" t="s">
        <v>77</v>
      </c>
      <c r="G127">
        <v>16712</v>
      </c>
      <c r="H127">
        <v>0</v>
      </c>
      <c r="I127" s="5" t="str">
        <f>OutputTable[[#This Row],[ProjectName]]&amp;OutputTable[[#This Row],[Name]]&amp;OutputTable[[#This Row],[Type]]&amp;OutputTable[[#This Row],[Source]]</f>
        <v>Unnamed ProjectNewPart.NumberOutNumber OutEntity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10</v>
      </c>
      <c r="K127" s="5" cm="1">
        <f t="array" ref="K127">IFERROR(AVERAGE(IF((OutputTable[GroupByKey]=OutputTable[[#This Row],[GroupByKey]]),(OutputTable[GroupByKey]=OutputTable[[#This Row],[GroupByKey]])*OutputTable[RecordedValue])),0)</f>
        <v>16948.099999999999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184.16022613172714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131.74028956845027</v>
      </c>
      <c r="O127" s="5" cm="1">
        <f t="array" ref="O127">MIN(IF((OutputTable[GroupByKey]=OutputTable[[#This Row],[GroupByKey]]),(OutputTable[GroupByKey]=OutputTable[[#This Row],[GroupByKey]])*OutputTable[RecordedValue]))</f>
        <v>16656</v>
      </c>
      <c r="P127" s="5" cm="1">
        <f t="array" ref="P127">MAX(IF((OutputTable[GroupByKey]=OutputTable[[#This Row],[GroupByKey]]),(OutputTable[GroupByKey]=OutputTable[[#This Row],[GroupByKey]])*OutputTable[RecordedValue]))</f>
        <v>17191</v>
      </c>
    </row>
    <row r="128" spans="1:16" x14ac:dyDescent="0.25">
      <c r="A128" t="s">
        <v>67</v>
      </c>
      <c r="B128" t="s">
        <v>69</v>
      </c>
      <c r="C128">
        <v>9</v>
      </c>
      <c r="D128" t="s">
        <v>122</v>
      </c>
      <c r="E128" t="s">
        <v>113</v>
      </c>
      <c r="F128" t="s">
        <v>77</v>
      </c>
      <c r="G128">
        <v>39253</v>
      </c>
      <c r="H128">
        <v>0</v>
      </c>
      <c r="I128" s="5" t="str">
        <f>OutputTable[[#This Row],[ProjectName]]&amp;OutputTable[[#This Row],[Name]]&amp;OutputTable[[#This Row],[Type]]&amp;OutputTable[[#This Row],[Source]]</f>
        <v>Unnamed ProjectOldPart.NumberInNumber InEntity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10</v>
      </c>
      <c r="K128" s="5" cm="1">
        <f t="array" ref="K128">IFERROR(AVERAGE(IF((OutputTable[GroupByKey]=OutputTable[[#This Row],[GroupByKey]]),(OutputTable[GroupByKey]=OutputTable[[#This Row],[GroupByKey]])*OutputTable[RecordedValue])),0)</f>
        <v>39113.599999999999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260.00051282000709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185.9931624017064</v>
      </c>
      <c r="O128" s="5" cm="1">
        <f t="array" ref="O128">MIN(IF((OutputTable[GroupByKey]=OutputTable[[#This Row],[GroupByKey]]),(OutputTable[GroupByKey]=OutputTable[[#This Row],[GroupByKey]])*OutputTable[RecordedValue]))</f>
        <v>38586</v>
      </c>
      <c r="P128" s="5" cm="1">
        <f t="array" ref="P128">MAX(IF((OutputTable[GroupByKey]=OutputTable[[#This Row],[GroupByKey]]),(OutputTable[GroupByKey]=OutputTable[[#This Row],[GroupByKey]])*OutputTable[RecordedValue]))</f>
        <v>39514</v>
      </c>
    </row>
    <row r="129" spans="1:16" x14ac:dyDescent="0.25">
      <c r="A129" t="s">
        <v>67</v>
      </c>
      <c r="B129" t="s">
        <v>69</v>
      </c>
      <c r="C129">
        <v>9</v>
      </c>
      <c r="D129" t="s">
        <v>123</v>
      </c>
      <c r="E129" t="s">
        <v>115</v>
      </c>
      <c r="F129" t="s">
        <v>77</v>
      </c>
      <c r="G129">
        <v>39259</v>
      </c>
      <c r="H129">
        <v>0</v>
      </c>
      <c r="I129" s="5" t="str">
        <f>OutputTable[[#This Row],[ProjectName]]&amp;OutputTable[[#This Row],[Name]]&amp;OutputTable[[#This Row],[Type]]&amp;OutputTable[[#This Row],[Source]]</f>
        <v>Unnamed ProjectOldPart.NumberOutNumber OutEntity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10</v>
      </c>
      <c r="K129" s="5" cm="1">
        <f t="array" ref="K129">IFERROR(AVERAGE(IF((OutputTable[GroupByKey]=OutputTable[[#This Row],[GroupByKey]]),(OutputTable[GroupByKey]=OutputTable[[#This Row],[GroupByKey]])*OutputTable[RecordedValue])),0)</f>
        <v>39114.6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258.98871704295448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185.26936730515985</v>
      </c>
      <c r="O129" s="5" cm="1">
        <f t="array" ref="O129">MIN(IF((OutputTable[GroupByKey]=OutputTable[[#This Row],[GroupByKey]]),(OutputTable[GroupByKey]=OutputTable[[#This Row],[GroupByKey]])*OutputTable[RecordedValue]))</f>
        <v>38588</v>
      </c>
      <c r="P129" s="5" cm="1">
        <f t="array" ref="P129">MAX(IF((OutputTable[GroupByKey]=OutputTable[[#This Row],[GroupByKey]]),(OutputTable[GroupByKey]=OutputTable[[#This Row],[GroupByKey]])*OutputTable[RecordedValue]))</f>
        <v>39510</v>
      </c>
    </row>
    <row r="130" spans="1:16" x14ac:dyDescent="0.25">
      <c r="A130" t="s">
        <v>67</v>
      </c>
      <c r="B130" t="s">
        <v>69</v>
      </c>
      <c r="C130">
        <v>9</v>
      </c>
      <c r="D130" t="s">
        <v>124</v>
      </c>
      <c r="E130" t="s">
        <v>117</v>
      </c>
      <c r="F130" t="s">
        <v>106</v>
      </c>
      <c r="G130">
        <v>19619</v>
      </c>
      <c r="H130">
        <v>0</v>
      </c>
      <c r="I130" s="5" t="str">
        <f>OutputTable[[#This Row],[ProjectName]]&amp;OutputTable[[#This Row],[Name]]&amp;OutputTable[[#This Row],[Type]]&amp;OutputTable[[#This Row],[Source]]</f>
        <v>Unnamed ProjectPACKER.NumberSeizedTotal Number SeizedResource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10</v>
      </c>
      <c r="K130" s="5" cm="1">
        <f t="array" ref="K130">IFERROR(AVERAGE(IF((OutputTable[GroupByKey]=OutputTable[[#This Row],[GroupByKey]]),(OutputTable[GroupByKey]=OutputTable[[#This Row],[GroupByKey]])*OutputTable[RecordedValue])),0)</f>
        <v>19615.8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165.88670832830459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118.66820241139406</v>
      </c>
      <c r="O130" s="5" cm="1">
        <f t="array" ref="O130">MIN(IF((OutputTable[GroupByKey]=OutputTable[[#This Row],[GroupByKey]]),(OutputTable[GroupByKey]=OutputTable[[#This Row],[GroupByKey]])*OutputTable[RecordedValue]))</f>
        <v>19409</v>
      </c>
      <c r="P130" s="5" cm="1">
        <f t="array" ref="P130">MAX(IF((OutputTable[GroupByKey]=OutputTable[[#This Row],[GroupByKey]]),(OutputTable[GroupByKey]=OutputTable[[#This Row],[GroupByKey]])*OutputTable[RecordedValue]))</f>
        <v>19914</v>
      </c>
    </row>
    <row r="131" spans="1:16" x14ac:dyDescent="0.25">
      <c r="A131" t="s">
        <v>67</v>
      </c>
      <c r="B131" t="s">
        <v>69</v>
      </c>
      <c r="C131">
        <v>9</v>
      </c>
      <c r="D131" t="s">
        <v>125</v>
      </c>
      <c r="E131" t="s">
        <v>119</v>
      </c>
      <c r="F131" t="s">
        <v>106</v>
      </c>
      <c r="G131">
        <v>0.815755455608563</v>
      </c>
      <c r="H131">
        <v>0</v>
      </c>
      <c r="I131" s="5" t="str">
        <f>OutputTable[[#This Row],[ProjectName]]&amp;OutputTable[[#This Row],[Name]]&amp;OutputTable[[#This Row],[Type]]&amp;OutputTable[[#This Row],[Source]]</f>
        <v>Unnamed ProjectPACKER.ScheduledUtilizationScheduled UtilizationResource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10</v>
      </c>
      <c r="K131" s="5" cm="1">
        <f t="array" ref="K131">IFERROR(AVERAGE(IF((OutputTable[GroupByKey]=OutputTable[[#This Row],[GroupByKey]]),(OutputTable[GroupByKey]=OutputTable[[#This Row],[GroupByKey]])*OutputTable[RecordedValue])),0)</f>
        <v>0.81557194281027567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6.9416851287817331E-3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4.9657823959478754E-3</v>
      </c>
      <c r="O131" s="5" cm="1">
        <f t="array" ref="O131">MIN(IF((OutputTable[GroupByKey]=OutputTable[[#This Row],[GroupByKey]]),(OutputTable[GroupByKey]=OutputTable[[#This Row],[GroupByKey]])*OutputTable[RecordedValue]))</f>
        <v>0.80675605099888203</v>
      </c>
      <c r="P131" s="5" cm="1">
        <f t="array" ref="P131">MAX(IF((OutputTable[GroupByKey]=OutputTable[[#This Row],[GroupByKey]]),(OutputTable[GroupByKey]=OutputTable[[#This Row],[GroupByKey]])*OutputTable[RecordedValue]))</f>
        <v>0.82818429749007605</v>
      </c>
    </row>
    <row r="132" spans="1:16" x14ac:dyDescent="0.25">
      <c r="A132" t="s">
        <v>67</v>
      </c>
      <c r="B132" t="s">
        <v>69</v>
      </c>
      <c r="C132">
        <v>9</v>
      </c>
      <c r="D132" t="s">
        <v>126</v>
      </c>
      <c r="E132" t="s">
        <v>117</v>
      </c>
      <c r="F132" t="s">
        <v>106</v>
      </c>
      <c r="G132">
        <v>13774</v>
      </c>
      <c r="H132">
        <v>0</v>
      </c>
      <c r="I132" s="5" t="str">
        <f>OutputTable[[#This Row],[ProjectName]]&amp;OutputTable[[#This Row],[Name]]&amp;OutputTable[[#This Row],[Type]]&amp;OutputTable[[#This Row],[Source]]</f>
        <v>Unnamed ProjectPAINTER.NumberSeizedTotal Number SeizedResource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10</v>
      </c>
      <c r="K132" s="5" cm="1">
        <f t="array" ref="K132">IFERROR(AVERAGE(IF((OutputTable[GroupByKey]=OutputTable[[#This Row],[GroupByKey]]),(OutputTable[GroupByKey]=OutputTable[[#This Row],[GroupByKey]])*OutputTable[RecordedValue])),0)</f>
        <v>13722.6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113.64682133698241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81.298038485024648</v>
      </c>
      <c r="O132" s="5" cm="1">
        <f t="array" ref="O132">MIN(IF((OutputTable[GroupByKey]=OutputTable[[#This Row],[GroupByKey]]),(OutputTable[GroupByKey]=OutputTable[[#This Row],[GroupByKey]])*OutputTable[RecordedValue]))</f>
        <v>13496</v>
      </c>
      <c r="P132" s="5" cm="1">
        <f t="array" ref="P132">MAX(IF((OutputTable[GroupByKey]=OutputTable[[#This Row],[GroupByKey]]),(OutputTable[GroupByKey]=OutputTable[[#This Row],[GroupByKey]])*OutputTable[RecordedValue]))</f>
        <v>13871</v>
      </c>
    </row>
    <row r="133" spans="1:16" x14ac:dyDescent="0.25">
      <c r="A133" t="s">
        <v>67</v>
      </c>
      <c r="B133" t="s">
        <v>69</v>
      </c>
      <c r="C133">
        <v>9</v>
      </c>
      <c r="D133" t="s">
        <v>127</v>
      </c>
      <c r="E133" t="s">
        <v>119</v>
      </c>
      <c r="F133" t="s">
        <v>106</v>
      </c>
      <c r="G133">
        <v>0.55170450646758595</v>
      </c>
      <c r="H133">
        <v>0</v>
      </c>
      <c r="I133" s="5" t="str">
        <f>OutputTable[[#This Row],[ProjectName]]&amp;OutputTable[[#This Row],[Name]]&amp;OutputTable[[#This Row],[Type]]&amp;OutputTable[[#This Row],[Source]]</f>
        <v>Unnamed ProjectPAINTER.ScheduledUtilizationScheduled UtilizationResource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10</v>
      </c>
      <c r="K133" s="5" cm="1">
        <f t="array" ref="K133">IFERROR(AVERAGE(IF((OutputTable[GroupByKey]=OutputTable[[#This Row],[GroupByKey]]),(OutputTable[GroupByKey]=OutputTable[[#This Row],[GroupByKey]])*OutputTable[RecordedValue])),0)</f>
        <v>0.54938142053560801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4.5196387022068685E-3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3.2331547581159752E-3</v>
      </c>
      <c r="O133" s="5" cm="1">
        <f t="array" ref="O133">MIN(IF((OutputTable[GroupByKey]=OutputTable[[#This Row],[GroupByKey]]),(OutputTable[GroupByKey]=OutputTable[[#This Row],[GroupByKey]])*OutputTable[RecordedValue]))</f>
        <v>0.54030874063430001</v>
      </c>
      <c r="P133" s="5" cm="1">
        <f t="array" ref="P133">MAX(IF((OutputTable[GroupByKey]=OutputTable[[#This Row],[GroupByKey]]),(OutputTable[GroupByKey]=OutputTable[[#This Row],[GroupByKey]])*OutputTable[RecordedValue]))</f>
        <v>0.55566835138728998</v>
      </c>
    </row>
    <row r="134" spans="1:16" x14ac:dyDescent="0.25">
      <c r="A134" t="s">
        <v>67</v>
      </c>
      <c r="B134" t="s">
        <v>69</v>
      </c>
      <c r="C134">
        <v>9</v>
      </c>
      <c r="D134" t="s">
        <v>128</v>
      </c>
      <c r="E134" t="s">
        <v>115</v>
      </c>
      <c r="F134" t="s">
        <v>129</v>
      </c>
      <c r="G134">
        <v>55971</v>
      </c>
      <c r="H134">
        <v>0</v>
      </c>
      <c r="I134" s="5" t="str">
        <f>OutputTable[[#This Row],[ProjectName]]&amp;OutputTable[[#This Row],[Name]]&amp;OutputTable[[#This Row],[Type]]&amp;OutputTable[[#This Row],[Source]]</f>
        <v>Unnamed ProjectSystem.NumberOutNumber OutSystem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10</v>
      </c>
      <c r="K134" s="5" cm="1">
        <f t="array" ref="K134">IFERROR(AVERAGE(IF((OutputTable[GroupByKey]=OutputTable[[#This Row],[GroupByKey]]),(OutputTable[GroupByKey]=OutputTable[[#This Row],[GroupByKey]])*OutputTable[RecordedValue])),0)</f>
        <v>56062.7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281.95036994320668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201.69514427985661</v>
      </c>
      <c r="O134" s="5" cm="1">
        <f t="array" ref="O134">MIN(IF((OutputTable[GroupByKey]=OutputTable[[#This Row],[GroupByKey]]),(OutputTable[GroupByKey]=OutputTable[[#This Row],[GroupByKey]])*OutputTable[RecordedValue]))</f>
        <v>55662</v>
      </c>
      <c r="P134" s="5" cm="1">
        <f t="array" ref="P134">MAX(IF((OutputTable[GroupByKey]=OutputTable[[#This Row],[GroupByKey]]),(OutputTable[GroupByKey]=OutputTable[[#This Row],[GroupByKey]])*OutputTable[RecordedValue]))</f>
        <v>56611</v>
      </c>
    </row>
    <row r="135" spans="1:16" x14ac:dyDescent="0.25">
      <c r="A135" t="s">
        <v>67</v>
      </c>
      <c r="B135" t="s">
        <v>69</v>
      </c>
      <c r="C135">
        <v>9</v>
      </c>
      <c r="D135" t="s">
        <v>130</v>
      </c>
      <c r="E135" t="s">
        <v>117</v>
      </c>
      <c r="F135" t="s">
        <v>106</v>
      </c>
      <c r="G135">
        <v>19616</v>
      </c>
      <c r="H135">
        <v>0</v>
      </c>
      <c r="I135" s="5" t="str">
        <f>OutputTable[[#This Row],[ProjectName]]&amp;OutputTable[[#This Row],[Name]]&amp;OutputTable[[#This Row],[Type]]&amp;OutputTable[[#This Row],[Source]]</f>
        <v>Unnamed ProjectWORKER.NumberSeizedTotal Number SeizedResource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10</v>
      </c>
      <c r="K135" s="5" cm="1">
        <f t="array" ref="K135">IFERROR(AVERAGE(IF((OutputTable[GroupByKey]=OutputTable[[#This Row],[GroupByKey]]),(OutputTable[GroupByKey]=OutputTable[[#This Row],[GroupByKey]])*OutputTable[RecordedValue])),0)</f>
        <v>19616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166.31629839288485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118.97551263082794</v>
      </c>
      <c r="O135" s="5" cm="1">
        <f t="array" ref="O135">MIN(IF((OutputTable[GroupByKey]=OutputTable[[#This Row],[GroupByKey]]),(OutputTable[GroupByKey]=OutputTable[[#This Row],[GroupByKey]])*OutputTable[RecordedValue]))</f>
        <v>19409</v>
      </c>
      <c r="P135" s="5" cm="1">
        <f t="array" ref="P135">MAX(IF((OutputTable[GroupByKey]=OutputTable[[#This Row],[GroupByKey]]),(OutputTable[GroupByKey]=OutputTable[[#This Row],[GroupByKey]])*OutputTable[RecordedValue]))</f>
        <v>19915</v>
      </c>
    </row>
    <row r="136" spans="1:16" x14ac:dyDescent="0.25">
      <c r="A136" t="s">
        <v>67</v>
      </c>
      <c r="B136" t="s">
        <v>69</v>
      </c>
      <c r="C136">
        <v>9</v>
      </c>
      <c r="D136" t="s">
        <v>131</v>
      </c>
      <c r="E136" t="s">
        <v>119</v>
      </c>
      <c r="F136" t="s">
        <v>106</v>
      </c>
      <c r="G136">
        <v>0.82044403441360703</v>
      </c>
      <c r="H136">
        <v>0</v>
      </c>
      <c r="I136" s="5" t="str">
        <f>OutputTable[[#This Row],[ProjectName]]&amp;OutputTable[[#This Row],[Name]]&amp;OutputTable[[#This Row],[Type]]&amp;OutputTable[[#This Row],[Source]]</f>
        <v>Unnamed ProjectWORKER.ScheduledUtilizationScheduled UtilizationResource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10</v>
      </c>
      <c r="K136" s="5" cm="1">
        <f t="array" ref="K136">IFERROR(AVERAGE(IF((OutputTable[GroupByKey]=OutputTable[[#This Row],[GroupByKey]]),(OutputTable[GroupByKey]=OutputTable[[#This Row],[GroupByKey]])*OutputTable[RecordedValue])),0)</f>
        <v>0.82030090075893936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6.9684713894533476E-3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4.9849441325044447E-3</v>
      </c>
      <c r="O136" s="5" cm="1">
        <f t="array" ref="O136">MIN(IF((OutputTable[GroupByKey]=OutputTable[[#This Row],[GroupByKey]]),(OutputTable[GroupByKey]=OutputTable[[#This Row],[GroupByKey]])*OutputTable[RecordedValue]))</f>
        <v>0.81151215762737705</v>
      </c>
      <c r="P136" s="5" cm="1">
        <f t="array" ref="P136">MAX(IF((OutputTable[GroupByKey]=OutputTable[[#This Row],[GroupByKey]]),(OutputTable[GroupByKey]=OutputTable[[#This Row],[GroupByKey]])*OutputTable[RecordedValue]))</f>
        <v>0.832837691284112</v>
      </c>
    </row>
    <row r="137" spans="1:16" x14ac:dyDescent="0.25">
      <c r="A137" t="s">
        <v>67</v>
      </c>
      <c r="B137" t="s">
        <v>69</v>
      </c>
      <c r="C137">
        <v>10</v>
      </c>
      <c r="D137" t="s">
        <v>112</v>
      </c>
      <c r="E137" t="s">
        <v>113</v>
      </c>
      <c r="F137" t="s">
        <v>77</v>
      </c>
      <c r="G137">
        <v>19534</v>
      </c>
      <c r="H137">
        <v>0</v>
      </c>
      <c r="I137" s="5" t="str">
        <f>OutputTable[[#This Row],[ProjectName]]&amp;OutputTable[[#This Row],[Name]]&amp;OutputTable[[#This Row],[Type]]&amp;OutputTable[[#This Row],[Source]]</f>
        <v>Unnamed ProjectEntity 1.NumberInNumber InEntity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10</v>
      </c>
      <c r="K137" s="5" cm="1">
        <f t="array" ref="K137">IFERROR(AVERAGE(IF((OutputTable[GroupByKey]=OutputTable[[#This Row],[GroupByKey]]),(OutputTable[GroupByKey]=OutputTable[[#This Row],[GroupByKey]])*OutputTable[RecordedValue])),0)</f>
        <v>19615.599999999999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165.97134960254101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118.72875113144924</v>
      </c>
      <c r="O137" s="5" cm="1">
        <f t="array" ref="O137">MIN(IF((OutputTable[GroupByKey]=OutputTable[[#This Row],[GroupByKey]]),(OutputTable[GroupByKey]=OutputTable[[#This Row],[GroupByKey]])*OutputTable[RecordedValue]))</f>
        <v>19410</v>
      </c>
      <c r="P137" s="5" cm="1">
        <f t="array" ref="P137">MAX(IF((OutputTable[GroupByKey]=OutputTable[[#This Row],[GroupByKey]]),(OutputTable[GroupByKey]=OutputTable[[#This Row],[GroupByKey]])*OutputTable[RecordedValue]))</f>
        <v>19914</v>
      </c>
    </row>
    <row r="138" spans="1:16" x14ac:dyDescent="0.25">
      <c r="A138" t="s">
        <v>67</v>
      </c>
      <c r="B138" t="s">
        <v>69</v>
      </c>
      <c r="C138">
        <v>10</v>
      </c>
      <c r="D138" t="s">
        <v>114</v>
      </c>
      <c r="E138" t="s">
        <v>115</v>
      </c>
      <c r="F138" t="s">
        <v>77</v>
      </c>
      <c r="G138">
        <v>19534</v>
      </c>
      <c r="H138">
        <v>0</v>
      </c>
      <c r="I138" s="5" t="str">
        <f>OutputTable[[#This Row],[ProjectName]]&amp;OutputTable[[#This Row],[Name]]&amp;OutputTable[[#This Row],[Type]]&amp;OutputTable[[#This Row],[Source]]</f>
        <v>Unnamed ProjectEntity 1.NumberOutNumber OutEntity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10</v>
      </c>
      <c r="K138" s="5" cm="1">
        <f t="array" ref="K138">IFERROR(AVERAGE(IF((OutputTable[GroupByKey]=OutputTable[[#This Row],[GroupByKey]]),(OutputTable[GroupByKey]=OutputTable[[#This Row],[GroupByKey]])*OutputTable[RecordedValue])),0)</f>
        <v>19615.599999999999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165.97134960254101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118.72875113144924</v>
      </c>
      <c r="O138" s="5" cm="1">
        <f t="array" ref="O138">MIN(IF((OutputTable[GroupByKey]=OutputTable[[#This Row],[GroupByKey]]),(OutputTable[GroupByKey]=OutputTable[[#This Row],[GroupByKey]])*OutputTable[RecordedValue]))</f>
        <v>19410</v>
      </c>
      <c r="P138" s="5" cm="1">
        <f t="array" ref="P138">MAX(IF((OutputTable[GroupByKey]=OutputTable[[#This Row],[GroupByKey]]),(OutputTable[GroupByKey]=OutputTable[[#This Row],[GroupByKey]])*OutputTable[RecordedValue]))</f>
        <v>19914</v>
      </c>
    </row>
    <row r="139" spans="1:16" x14ac:dyDescent="0.25">
      <c r="A139" t="s">
        <v>67</v>
      </c>
      <c r="B139" t="s">
        <v>69</v>
      </c>
      <c r="C139">
        <v>10</v>
      </c>
      <c r="D139" t="s">
        <v>116</v>
      </c>
      <c r="E139" t="s">
        <v>117</v>
      </c>
      <c r="F139" t="s">
        <v>106</v>
      </c>
      <c r="G139">
        <v>5826</v>
      </c>
      <c r="H139">
        <v>0</v>
      </c>
      <c r="I139" s="5" t="str">
        <f>OutputTable[[#This Row],[ProjectName]]&amp;OutputTable[[#This Row],[Name]]&amp;OutputTable[[#This Row],[Type]]&amp;OutputTable[[#This Row],[Source]]</f>
        <v>Unnamed ProjectNEWPAINTER.NumberSeizedTotal Number SeizedResource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10</v>
      </c>
      <c r="K139" s="5" cm="1">
        <f t="array" ref="K139">IFERROR(AVERAGE(IF((OutputTable[GroupByKey]=OutputTable[[#This Row],[GroupByKey]]),(OutputTable[GroupByKey]=OutputTable[[#This Row],[GroupByKey]])*OutputTable[RecordedValue])),0)</f>
        <v>5893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92.348374226199681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66.062047257875278</v>
      </c>
      <c r="O139" s="5" cm="1">
        <f t="array" ref="O139">MIN(IF((OutputTable[GroupByKey]=OutputTable[[#This Row],[GroupByKey]]),(OutputTable[GroupByKey]=OutputTable[[#This Row],[GroupByKey]])*OutputTable[RecordedValue]))</f>
        <v>5736</v>
      </c>
      <c r="P139" s="5" cm="1">
        <f t="array" ref="P139">MAX(IF((OutputTable[GroupByKey]=OutputTable[[#This Row],[GroupByKey]]),(OutputTable[GroupByKey]=OutputTable[[#This Row],[GroupByKey]])*OutputTable[RecordedValue]))</f>
        <v>6053</v>
      </c>
    </row>
    <row r="140" spans="1:16" x14ac:dyDescent="0.25">
      <c r="A140" t="s">
        <v>67</v>
      </c>
      <c r="B140" t="s">
        <v>69</v>
      </c>
      <c r="C140">
        <v>10</v>
      </c>
      <c r="D140" t="s">
        <v>118</v>
      </c>
      <c r="E140" t="s">
        <v>119</v>
      </c>
      <c r="F140" t="s">
        <v>106</v>
      </c>
      <c r="G140">
        <v>0.518227936737782</v>
      </c>
      <c r="H140">
        <v>0</v>
      </c>
      <c r="I140" s="5" t="str">
        <f>OutputTable[[#This Row],[ProjectName]]&amp;OutputTable[[#This Row],[Name]]&amp;OutputTable[[#This Row],[Type]]&amp;OutputTable[[#This Row],[Source]]</f>
        <v>Unnamed ProjectNEWPAINTER.ScheduledUtilizationScheduled UtilizationResource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10</v>
      </c>
      <c r="K140" s="5" cm="1">
        <f t="array" ref="K140">IFERROR(AVERAGE(IF((OutputTable[GroupByKey]=OutputTable[[#This Row],[GroupByKey]]),(OutputTable[GroupByKey]=OutputTable[[#This Row],[GroupByKey]])*OutputTable[RecordedValue])),0)</f>
        <v>0.52518723279433455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8.4087502405714581E-3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6.0152575551752803E-3</v>
      </c>
      <c r="O140" s="5" cm="1">
        <f t="array" ref="O140">MIN(IF((OutputTable[GroupByKey]=OutputTable[[#This Row],[GroupByKey]]),(OutputTable[GroupByKey]=OutputTable[[#This Row],[GroupByKey]])*OutputTable[RecordedValue]))</f>
        <v>0.51150896826018899</v>
      </c>
      <c r="P140" s="5" cm="1">
        <f t="array" ref="P140">MAX(IF((OutputTable[GroupByKey]=OutputTable[[#This Row],[GroupByKey]]),(OutputTable[GroupByKey]=OutputTable[[#This Row],[GroupByKey]])*OutputTable[RecordedValue]))</f>
        <v>0.54003281556404203</v>
      </c>
    </row>
    <row r="141" spans="1:16" x14ac:dyDescent="0.25">
      <c r="A141" t="s">
        <v>67</v>
      </c>
      <c r="B141" t="s">
        <v>69</v>
      </c>
      <c r="C141">
        <v>10</v>
      </c>
      <c r="D141" t="s">
        <v>120</v>
      </c>
      <c r="E141" t="s">
        <v>113</v>
      </c>
      <c r="F141" t="s">
        <v>77</v>
      </c>
      <c r="G141">
        <v>16796</v>
      </c>
      <c r="H141">
        <v>0</v>
      </c>
      <c r="I141" s="5" t="str">
        <f>OutputTable[[#This Row],[ProjectName]]&amp;OutputTable[[#This Row],[Name]]&amp;OutputTable[[#This Row],[Type]]&amp;OutputTable[[#This Row],[Source]]</f>
        <v>Unnamed ProjectNewPart.NumberInNumber InEntity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10</v>
      </c>
      <c r="K141" s="5" cm="1">
        <f t="array" ref="K141">IFERROR(AVERAGE(IF((OutputTable[GroupByKey]=OutputTable[[#This Row],[GroupByKey]]),(OutputTable[GroupByKey]=OutputTable[[#This Row],[GroupByKey]])*OutputTable[RecordedValue])),0)</f>
        <v>16948.3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183.31033189042506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131.13231185359012</v>
      </c>
      <c r="O141" s="5" cm="1">
        <f t="array" ref="O141">MIN(IF((OutputTable[GroupByKey]=OutputTable[[#This Row],[GroupByKey]]),(OutputTable[GroupByKey]=OutputTable[[#This Row],[GroupByKey]])*OutputTable[RecordedValue]))</f>
        <v>16656</v>
      </c>
      <c r="P141" s="5" cm="1">
        <f t="array" ref="P141">MAX(IF((OutputTable[GroupByKey]=OutputTable[[#This Row],[GroupByKey]]),(OutputTable[GroupByKey]=OutputTable[[#This Row],[GroupByKey]])*OutputTable[RecordedValue]))</f>
        <v>17189</v>
      </c>
    </row>
    <row r="142" spans="1:16" x14ac:dyDescent="0.25">
      <c r="A142" t="s">
        <v>67</v>
      </c>
      <c r="B142" t="s">
        <v>69</v>
      </c>
      <c r="C142">
        <v>10</v>
      </c>
      <c r="D142" t="s">
        <v>121</v>
      </c>
      <c r="E142" t="s">
        <v>115</v>
      </c>
      <c r="F142" t="s">
        <v>77</v>
      </c>
      <c r="G142">
        <v>16789</v>
      </c>
      <c r="H142">
        <v>0</v>
      </c>
      <c r="I142" s="5" t="str">
        <f>OutputTable[[#This Row],[ProjectName]]&amp;OutputTable[[#This Row],[Name]]&amp;OutputTable[[#This Row],[Type]]&amp;OutputTable[[#This Row],[Source]]</f>
        <v>Unnamed ProjectNewPart.NumberOutNumber OutEntity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10</v>
      </c>
      <c r="K142" s="5" cm="1">
        <f t="array" ref="K142">IFERROR(AVERAGE(IF((OutputTable[GroupByKey]=OutputTable[[#This Row],[GroupByKey]]),(OutputTable[GroupByKey]=OutputTable[[#This Row],[GroupByKey]])*OutputTable[RecordedValue])),0)</f>
        <v>16948.099999999999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184.16022613172714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131.74028956845027</v>
      </c>
      <c r="O142" s="5" cm="1">
        <f t="array" ref="O142">MIN(IF((OutputTable[GroupByKey]=OutputTable[[#This Row],[GroupByKey]]),(OutputTable[GroupByKey]=OutputTable[[#This Row],[GroupByKey]])*OutputTable[RecordedValue]))</f>
        <v>16656</v>
      </c>
      <c r="P142" s="5" cm="1">
        <f t="array" ref="P142">MAX(IF((OutputTable[GroupByKey]=OutputTable[[#This Row],[GroupByKey]]),(OutputTable[GroupByKey]=OutputTable[[#This Row],[GroupByKey]])*OutputTable[RecordedValue]))</f>
        <v>17191</v>
      </c>
    </row>
    <row r="143" spans="1:16" x14ac:dyDescent="0.25">
      <c r="A143" t="s">
        <v>67</v>
      </c>
      <c r="B143" t="s">
        <v>69</v>
      </c>
      <c r="C143">
        <v>10</v>
      </c>
      <c r="D143" t="s">
        <v>122</v>
      </c>
      <c r="E143" t="s">
        <v>113</v>
      </c>
      <c r="F143" t="s">
        <v>77</v>
      </c>
      <c r="G143">
        <v>39229</v>
      </c>
      <c r="H143">
        <v>0</v>
      </c>
      <c r="I143" s="5" t="str">
        <f>OutputTable[[#This Row],[ProjectName]]&amp;OutputTable[[#This Row],[Name]]&amp;OutputTable[[#This Row],[Type]]&amp;OutputTable[[#This Row],[Source]]</f>
        <v>Unnamed ProjectOldPart.NumberInNumber InEntity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10</v>
      </c>
      <c r="K143" s="5" cm="1">
        <f t="array" ref="K143">IFERROR(AVERAGE(IF((OutputTable[GroupByKey]=OutputTable[[#This Row],[GroupByKey]]),(OutputTable[GroupByKey]=OutputTable[[#This Row],[GroupByKey]])*OutputTable[RecordedValue])),0)</f>
        <v>39113.599999999999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260.00051282000709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185.9931624017064</v>
      </c>
      <c r="O143" s="5" cm="1">
        <f t="array" ref="O143">MIN(IF((OutputTable[GroupByKey]=OutputTable[[#This Row],[GroupByKey]]),(OutputTable[GroupByKey]=OutputTable[[#This Row],[GroupByKey]])*OutputTable[RecordedValue]))</f>
        <v>38586</v>
      </c>
      <c r="P143" s="5" cm="1">
        <f t="array" ref="P143">MAX(IF((OutputTable[GroupByKey]=OutputTable[[#This Row],[GroupByKey]]),(OutputTable[GroupByKey]=OutputTable[[#This Row],[GroupByKey]])*OutputTable[RecordedValue]))</f>
        <v>39514</v>
      </c>
    </row>
    <row r="144" spans="1:16" x14ac:dyDescent="0.25">
      <c r="A144" t="s">
        <v>67</v>
      </c>
      <c r="B144" t="s">
        <v>69</v>
      </c>
      <c r="C144">
        <v>10</v>
      </c>
      <c r="D144" t="s">
        <v>123</v>
      </c>
      <c r="E144" t="s">
        <v>115</v>
      </c>
      <c r="F144" t="s">
        <v>77</v>
      </c>
      <c r="G144">
        <v>39231</v>
      </c>
      <c r="H144">
        <v>0</v>
      </c>
      <c r="I144" s="5" t="str">
        <f>OutputTable[[#This Row],[ProjectName]]&amp;OutputTable[[#This Row],[Name]]&amp;OutputTable[[#This Row],[Type]]&amp;OutputTable[[#This Row],[Source]]</f>
        <v>Unnamed ProjectOldPart.NumberOutNumber OutEntity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10</v>
      </c>
      <c r="K144" s="5" cm="1">
        <f t="array" ref="K144">IFERROR(AVERAGE(IF((OutputTable[GroupByKey]=OutputTable[[#This Row],[GroupByKey]]),(OutputTable[GroupByKey]=OutputTable[[#This Row],[GroupByKey]])*OutputTable[RecordedValue])),0)</f>
        <v>39114.6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258.98871704295448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185.26936730515985</v>
      </c>
      <c r="O144" s="5" cm="1">
        <f t="array" ref="O144">MIN(IF((OutputTable[GroupByKey]=OutputTable[[#This Row],[GroupByKey]]),(OutputTable[GroupByKey]=OutputTable[[#This Row],[GroupByKey]])*OutputTable[RecordedValue]))</f>
        <v>38588</v>
      </c>
      <c r="P144" s="5" cm="1">
        <f t="array" ref="P144">MAX(IF((OutputTable[GroupByKey]=OutputTable[[#This Row],[GroupByKey]]),(OutputTable[GroupByKey]=OutputTable[[#This Row],[GroupByKey]])*OutputTable[RecordedValue]))</f>
        <v>39510</v>
      </c>
    </row>
    <row r="145" spans="1:16" x14ac:dyDescent="0.25">
      <c r="A145" t="s">
        <v>67</v>
      </c>
      <c r="B145" t="s">
        <v>69</v>
      </c>
      <c r="C145">
        <v>10</v>
      </c>
      <c r="D145" t="s">
        <v>124</v>
      </c>
      <c r="E145" t="s">
        <v>117</v>
      </c>
      <c r="F145" t="s">
        <v>106</v>
      </c>
      <c r="G145">
        <v>19528</v>
      </c>
      <c r="H145">
        <v>0</v>
      </c>
      <c r="I145" s="5" t="str">
        <f>OutputTable[[#This Row],[ProjectName]]&amp;OutputTable[[#This Row],[Name]]&amp;OutputTable[[#This Row],[Type]]&amp;OutputTable[[#This Row],[Source]]</f>
        <v>Unnamed ProjectPACKER.NumberSeizedTotal Number SeizedResource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10</v>
      </c>
      <c r="K145" s="5" cm="1">
        <f t="array" ref="K145">IFERROR(AVERAGE(IF((OutputTable[GroupByKey]=OutputTable[[#This Row],[GroupByKey]]),(OutputTable[GroupByKey]=OutputTable[[#This Row],[GroupByKey]])*OutputTable[RecordedValue])),0)</f>
        <v>19615.8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165.88670832830459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118.66820241139406</v>
      </c>
      <c r="O145" s="5" cm="1">
        <f t="array" ref="O145">MIN(IF((OutputTable[GroupByKey]=OutputTable[[#This Row],[GroupByKey]]),(OutputTable[GroupByKey]=OutputTable[[#This Row],[GroupByKey]])*OutputTable[RecordedValue]))</f>
        <v>19409</v>
      </c>
      <c r="P145" s="5" cm="1">
        <f t="array" ref="P145">MAX(IF((OutputTable[GroupByKey]=OutputTable[[#This Row],[GroupByKey]]),(OutputTable[GroupByKey]=OutputTable[[#This Row],[GroupByKey]])*OutputTable[RecordedValue]))</f>
        <v>19914</v>
      </c>
    </row>
    <row r="146" spans="1:16" x14ac:dyDescent="0.25">
      <c r="A146" t="s">
        <v>67</v>
      </c>
      <c r="B146" t="s">
        <v>69</v>
      </c>
      <c r="C146">
        <v>10</v>
      </c>
      <c r="D146" t="s">
        <v>125</v>
      </c>
      <c r="E146" t="s">
        <v>119</v>
      </c>
      <c r="F146" t="s">
        <v>106</v>
      </c>
      <c r="G146">
        <v>0.81208338471127695</v>
      </c>
      <c r="H146">
        <v>0</v>
      </c>
      <c r="I146" s="5" t="str">
        <f>OutputTable[[#This Row],[ProjectName]]&amp;OutputTable[[#This Row],[Name]]&amp;OutputTable[[#This Row],[Type]]&amp;OutputTable[[#This Row],[Source]]</f>
        <v>Unnamed ProjectPACKER.ScheduledUtilizationScheduled UtilizationResource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10</v>
      </c>
      <c r="K146" s="5" cm="1">
        <f t="array" ref="K146">IFERROR(AVERAGE(IF((OutputTable[GroupByKey]=OutputTable[[#This Row],[GroupByKey]]),(OutputTable[GroupByKey]=OutputTable[[#This Row],[GroupByKey]])*OutputTable[RecordedValue])),0)</f>
        <v>0.81557194281027567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6.9416851287817331E-3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4.9657823959478754E-3</v>
      </c>
      <c r="O146" s="5" cm="1">
        <f t="array" ref="O146">MIN(IF((OutputTable[GroupByKey]=OutputTable[[#This Row],[GroupByKey]]),(OutputTable[GroupByKey]=OutputTable[[#This Row],[GroupByKey]])*OutputTable[RecordedValue]))</f>
        <v>0.80675605099888203</v>
      </c>
      <c r="P146" s="5" cm="1">
        <f t="array" ref="P146">MAX(IF((OutputTable[GroupByKey]=OutputTable[[#This Row],[GroupByKey]]),(OutputTable[GroupByKey]=OutputTable[[#This Row],[GroupByKey]])*OutputTable[RecordedValue]))</f>
        <v>0.82818429749007605</v>
      </c>
    </row>
    <row r="147" spans="1:16" x14ac:dyDescent="0.25">
      <c r="A147" t="s">
        <v>67</v>
      </c>
      <c r="B147" t="s">
        <v>69</v>
      </c>
      <c r="C147">
        <v>10</v>
      </c>
      <c r="D147" t="s">
        <v>126</v>
      </c>
      <c r="E147" t="s">
        <v>117</v>
      </c>
      <c r="F147" t="s">
        <v>106</v>
      </c>
      <c r="G147">
        <v>13703</v>
      </c>
      <c r="H147">
        <v>0</v>
      </c>
      <c r="I147" s="5" t="str">
        <f>OutputTable[[#This Row],[ProjectName]]&amp;OutputTable[[#This Row],[Name]]&amp;OutputTable[[#This Row],[Type]]&amp;OutputTable[[#This Row],[Source]]</f>
        <v>Unnamed ProjectPAINTER.NumberSeizedTotal Number SeizedResource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10</v>
      </c>
      <c r="K147" s="5" cm="1">
        <f t="array" ref="K147">IFERROR(AVERAGE(IF((OutputTable[GroupByKey]=OutputTable[[#This Row],[GroupByKey]]),(OutputTable[GroupByKey]=OutputTable[[#This Row],[GroupByKey]])*OutputTable[RecordedValue])),0)</f>
        <v>13722.6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113.64682133698241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81.298038485024648</v>
      </c>
      <c r="O147" s="5" cm="1">
        <f t="array" ref="O147">MIN(IF((OutputTable[GroupByKey]=OutputTable[[#This Row],[GroupByKey]]),(OutputTable[GroupByKey]=OutputTable[[#This Row],[GroupByKey]])*OutputTable[RecordedValue]))</f>
        <v>13496</v>
      </c>
      <c r="P147" s="5" cm="1">
        <f t="array" ref="P147">MAX(IF((OutputTable[GroupByKey]=OutputTable[[#This Row],[GroupByKey]]),(OutputTable[GroupByKey]=OutputTable[[#This Row],[GroupByKey]])*OutputTable[RecordedValue]))</f>
        <v>13871</v>
      </c>
    </row>
    <row r="148" spans="1:16" x14ac:dyDescent="0.25">
      <c r="A148" t="s">
        <v>67</v>
      </c>
      <c r="B148" t="s">
        <v>69</v>
      </c>
      <c r="C148">
        <v>10</v>
      </c>
      <c r="D148" t="s">
        <v>127</v>
      </c>
      <c r="E148" t="s">
        <v>119</v>
      </c>
      <c r="F148" t="s">
        <v>106</v>
      </c>
      <c r="G148">
        <v>0.548775927036105</v>
      </c>
      <c r="H148">
        <v>0</v>
      </c>
      <c r="I148" s="5" t="str">
        <f>OutputTable[[#This Row],[ProjectName]]&amp;OutputTable[[#This Row],[Name]]&amp;OutputTable[[#This Row],[Type]]&amp;OutputTable[[#This Row],[Source]]</f>
        <v>Unnamed ProjectPAINTER.ScheduledUtilizationScheduled UtilizationResource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10</v>
      </c>
      <c r="K148" s="5" cm="1">
        <f t="array" ref="K148">IFERROR(AVERAGE(IF((OutputTable[GroupByKey]=OutputTable[[#This Row],[GroupByKey]]),(OutputTable[GroupByKey]=OutputTable[[#This Row],[GroupByKey]])*OutputTable[RecordedValue])),0)</f>
        <v>0.54938142053560801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4.5196387022068685E-3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3.2331547581159752E-3</v>
      </c>
      <c r="O148" s="5" cm="1">
        <f t="array" ref="O148">MIN(IF((OutputTable[GroupByKey]=OutputTable[[#This Row],[GroupByKey]]),(OutputTable[GroupByKey]=OutputTable[[#This Row],[GroupByKey]])*OutputTable[RecordedValue]))</f>
        <v>0.54030874063430001</v>
      </c>
      <c r="P148" s="5" cm="1">
        <f t="array" ref="P148">MAX(IF((OutputTable[GroupByKey]=OutputTable[[#This Row],[GroupByKey]]),(OutputTable[GroupByKey]=OutputTable[[#This Row],[GroupByKey]])*OutputTable[RecordedValue]))</f>
        <v>0.55566835138728998</v>
      </c>
    </row>
    <row r="149" spans="1:16" x14ac:dyDescent="0.25">
      <c r="A149" t="s">
        <v>67</v>
      </c>
      <c r="B149" t="s">
        <v>69</v>
      </c>
      <c r="C149">
        <v>10</v>
      </c>
      <c r="D149" t="s">
        <v>128</v>
      </c>
      <c r="E149" t="s">
        <v>115</v>
      </c>
      <c r="F149" t="s">
        <v>129</v>
      </c>
      <c r="G149">
        <v>56020</v>
      </c>
      <c r="H149">
        <v>0</v>
      </c>
      <c r="I149" s="5" t="str">
        <f>OutputTable[[#This Row],[ProjectName]]&amp;OutputTable[[#This Row],[Name]]&amp;OutputTable[[#This Row],[Type]]&amp;OutputTable[[#This Row],[Source]]</f>
        <v>Unnamed ProjectSystem.NumberOutNumber OutSystem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10</v>
      </c>
      <c r="K149" s="5" cm="1">
        <f t="array" ref="K149">IFERROR(AVERAGE(IF((OutputTable[GroupByKey]=OutputTable[[#This Row],[GroupByKey]]),(OutputTable[GroupByKey]=OutputTable[[#This Row],[GroupByKey]])*OutputTable[RecordedValue])),0)</f>
        <v>56062.7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281.95036994320668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201.69514427985661</v>
      </c>
      <c r="O149" s="5" cm="1">
        <f t="array" ref="O149">MIN(IF((OutputTable[GroupByKey]=OutputTable[[#This Row],[GroupByKey]]),(OutputTable[GroupByKey]=OutputTable[[#This Row],[GroupByKey]])*OutputTable[RecordedValue]))</f>
        <v>55662</v>
      </c>
      <c r="P149" s="5" cm="1">
        <f t="array" ref="P149">MAX(IF((OutputTable[GroupByKey]=OutputTable[[#This Row],[GroupByKey]]),(OutputTable[GroupByKey]=OutputTable[[#This Row],[GroupByKey]])*OutputTable[RecordedValue]))</f>
        <v>56611</v>
      </c>
    </row>
    <row r="150" spans="1:16" x14ac:dyDescent="0.25">
      <c r="A150" t="s">
        <v>67</v>
      </c>
      <c r="B150" t="s">
        <v>69</v>
      </c>
      <c r="C150">
        <v>10</v>
      </c>
      <c r="D150" t="s">
        <v>130</v>
      </c>
      <c r="E150" t="s">
        <v>117</v>
      </c>
      <c r="F150" t="s">
        <v>106</v>
      </c>
      <c r="G150">
        <v>19533</v>
      </c>
      <c r="H150">
        <v>0</v>
      </c>
      <c r="I150" s="5" t="str">
        <f>OutputTable[[#This Row],[ProjectName]]&amp;OutputTable[[#This Row],[Name]]&amp;OutputTable[[#This Row],[Type]]&amp;OutputTable[[#This Row],[Source]]</f>
        <v>Unnamed ProjectWORKER.NumberSeizedTotal Number SeizedResource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10</v>
      </c>
      <c r="K150" s="5" cm="1">
        <f t="array" ref="K150">IFERROR(AVERAGE(IF((OutputTable[GroupByKey]=OutputTable[[#This Row],[GroupByKey]]),(OutputTable[GroupByKey]=OutputTable[[#This Row],[GroupByKey]])*OutputTable[RecordedValue])),0)</f>
        <v>19616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166.31629839288485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118.97551263082794</v>
      </c>
      <c r="O150" s="5" cm="1">
        <f t="array" ref="O150">MIN(IF((OutputTable[GroupByKey]=OutputTable[[#This Row],[GroupByKey]]),(OutputTable[GroupByKey]=OutputTable[[#This Row],[GroupByKey]])*OutputTable[RecordedValue]))</f>
        <v>19409</v>
      </c>
      <c r="P150" s="5" cm="1">
        <f t="array" ref="P150">MAX(IF((OutputTable[GroupByKey]=OutputTable[[#This Row],[GroupByKey]]),(OutputTable[GroupByKey]=OutputTable[[#This Row],[GroupByKey]])*OutputTable[RecordedValue]))</f>
        <v>19915</v>
      </c>
    </row>
    <row r="151" spans="1:16" x14ac:dyDescent="0.25">
      <c r="A151" t="s">
        <v>67</v>
      </c>
      <c r="B151" t="s">
        <v>69</v>
      </c>
      <c r="C151">
        <v>10</v>
      </c>
      <c r="D151" t="s">
        <v>131</v>
      </c>
      <c r="E151" t="s">
        <v>119</v>
      </c>
      <c r="F151" t="s">
        <v>106</v>
      </c>
      <c r="G151">
        <v>0.81664794847728694</v>
      </c>
      <c r="H151">
        <v>0</v>
      </c>
      <c r="I151" s="5" t="str">
        <f>OutputTable[[#This Row],[ProjectName]]&amp;OutputTable[[#This Row],[Name]]&amp;OutputTable[[#This Row],[Type]]&amp;OutputTable[[#This Row],[Source]]</f>
        <v>Unnamed ProjectWORKER.ScheduledUtilizationScheduled UtilizationResource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10</v>
      </c>
      <c r="K151" s="5" cm="1">
        <f t="array" ref="K151">IFERROR(AVERAGE(IF((OutputTable[GroupByKey]=OutputTable[[#This Row],[GroupByKey]]),(OutputTable[GroupByKey]=OutputTable[[#This Row],[GroupByKey]])*OutputTable[RecordedValue])),0)</f>
        <v>0.82030090075893936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6.9684713894533476E-3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4.9849441325044447E-3</v>
      </c>
      <c r="O151" s="5" cm="1">
        <f t="array" ref="O151">MIN(IF((OutputTable[GroupByKey]=OutputTable[[#This Row],[GroupByKey]]),(OutputTable[GroupByKey]=OutputTable[[#This Row],[GroupByKey]])*OutputTable[RecordedValue]))</f>
        <v>0.81151215762737705</v>
      </c>
      <c r="P151" s="5" cm="1">
        <f t="array" ref="P151">MAX(IF((OutputTable[GroupByKey]=OutputTable[[#This Row],[GroupByKey]]),(OutputTable[GroupByKey]=OutputTable[[#This Row],[GroupByKey]])*OutputTable[RecordedValue]))</f>
        <v>0.832837691284112</v>
      </c>
    </row>
  </sheetData>
  <phoneticPr fontId="2" type="noConversion"/>
  <conditionalFormatting sqref="I2:P151">
    <cfRule type="expression" dxfId="10" priority="2">
      <formula>MOD(ROW(),2)=0</formula>
    </cfRule>
  </conditionalFormatting>
  <conditionalFormatting sqref="N2:N151">
    <cfRule type="expression" dxfId="9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31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4.28515625" bestFit="1" customWidth="1"/>
    <col min="12" max="12" width="30" bestFit="1" customWidth="1"/>
    <col min="13" max="13" width="31.140625" bestFit="1" customWidth="1"/>
    <col min="14" max="14" width="17.28515625" bestFit="1" customWidth="1"/>
    <col min="15" max="15" width="29" bestFit="1" customWidth="1"/>
    <col min="16" max="16" width="30.140625" bestFit="1" customWidth="1"/>
    <col min="17" max="17" width="29.28515625" bestFit="1" customWidth="1"/>
    <col min="18" max="18" width="28.28515625" bestFit="1" customWidth="1"/>
    <col min="19" max="19" width="26.28515625" bestFit="1" customWidth="1"/>
    <col min="20" max="20" width="29.85546875" bestFit="1" customWidth="1"/>
    <col min="21" max="21" width="31.85546875" bestFit="1" customWidth="1"/>
    <col min="22" max="22" width="32.140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K1:P2 K17:P17 Q45:V45 K31:V31">
    <cfRule type="expression" dxfId="8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79c742c4-e61c-4fa5-be89-a3cb566a80d1}" enabled="0" method="" siteId="{79c742c4-e61c-4fa5-be89-a3cb566a80d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Manuel Rossetti</cp:lastModifiedBy>
  <cp:lastPrinted>2022-03-22T10:33:10Z</cp:lastPrinted>
  <dcterms:created xsi:type="dcterms:W3CDTF">2020-06-29T21:30:31Z</dcterms:created>
  <dcterms:modified xsi:type="dcterms:W3CDTF">2026-08-31T15:13:43Z</dcterms:modified>
</cp:coreProperties>
</file>
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ark-my.sharepoint.com/personal/rossetti_uark_edu/Documents/MyDocuments/Teaching/Courses/Simulation Courses/Agent Based Simulation/AGV Data/"/>
    </mc:Choice>
  </mc:AlternateContent>
  <xr:revisionPtr revIDLastSave="1" documentId="8_{F5015F95-E683-44CB-BA7D-FBDD96D7EADB}" xr6:coauthVersionLast="47" xr6:coauthVersionMax="47" xr10:uidLastSave="{A67B168F-1389-4201-862A-454DC39D3369}"/>
  <bookViews>
    <workbookView xWindow="3510" yWindow="3510" windowWidth="21600" windowHeight="1129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ContinuousTimeStatsByRep!$A$1:$L$491</definedName>
    <definedName name="ExternalData_1" localSheetId="4" hidden="1">CounterStatsByRep!$A$1:$G$2</definedName>
    <definedName name="ExternalData_1" localSheetId="2" hidden="1">DiscreteTimeStatsByRep!$A$1:$K$171</definedName>
    <definedName name="ExternalData_1" localSheetId="6" hidden="1">FrequencyStatsByRep!$A$1:$J$2</definedName>
    <definedName name="ExternalData_1" localSheetId="5" hidden="1">OutputStatsByRep!$A$1:$H$271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L179" i="20" s="1" a="1"/>
  <c r="L179" i="20" s="1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O182" i="20" s="1" a="1"/>
  <c r="O182" i="20" s="1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O260" i="20" s="1" a="1"/>
  <c r="O260" i="20" s="1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P13" i="20" s="1" a="1"/>
  <c r="P13" i="20" s="1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/>
  <c r="J32" i="20" a="1"/>
  <c r="J32" i="20" s="1"/>
  <c r="J33" i="20" a="1"/>
  <c r="J33" i="20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/>
  <c r="J80" i="20" a="1"/>
  <c r="J80" i="20" s="1"/>
  <c r="J81" i="20" a="1"/>
  <c r="J81" i="20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/>
  <c r="J184" i="20" a="1"/>
  <c r="J184" i="20" s="1"/>
  <c r="J185" i="20" a="1"/>
  <c r="J185" i="20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/>
  <c r="M27" i="20" a="1"/>
  <c r="M27" i="20" s="1"/>
  <c r="M28" i="20" a="1"/>
  <c r="M28" i="20" s="1"/>
  <c r="M29" i="20" a="1"/>
  <c r="M29" i="20" s="1"/>
  <c r="M30" i="20" a="1"/>
  <c r="M30" i="20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/>
  <c r="M83" i="20" a="1"/>
  <c r="M83" i="20" s="1"/>
  <c r="M84" i="20" a="1"/>
  <c r="M84" i="20" s="1"/>
  <c r="M85" i="20" a="1"/>
  <c r="M85" i="20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/>
  <c r="M150" i="20" a="1"/>
  <c r="M150" i="20" s="1"/>
  <c r="M151" i="20" a="1"/>
  <c r="M151" i="20" s="1"/>
  <c r="M152" i="20" a="1"/>
  <c r="M152" i="20" s="1"/>
  <c r="M153" i="20" a="1"/>
  <c r="M153" i="20" s="1"/>
  <c r="M154" i="20" a="1"/>
  <c r="M154" i="20"/>
  <c r="M155" i="20" a="1"/>
  <c r="M155" i="20" s="1"/>
  <c r="M156" i="20" a="1"/>
  <c r="M156" i="20" s="1"/>
  <c r="M157" i="20" a="1"/>
  <c r="M157" i="20" s="1"/>
  <c r="M158" i="20" a="1"/>
  <c r="M158" i="20" s="1"/>
  <c r="M159" i="20" a="1"/>
  <c r="M159" i="20" s="1"/>
  <c r="M160" i="20" a="1"/>
  <c r="M160" i="20" s="1"/>
  <c r="M161" i="20" a="1"/>
  <c r="M161" i="20" s="1"/>
  <c r="M162" i="20" a="1"/>
  <c r="M162" i="20" s="1"/>
  <c r="M163" i="20" a="1"/>
  <c r="M163" i="20" s="1"/>
  <c r="M164" i="20" a="1"/>
  <c r="M164" i="20" s="1"/>
  <c r="M165" i="20" a="1"/>
  <c r="M165" i="20" s="1"/>
  <c r="M166" i="20" a="1"/>
  <c r="M166" i="20" s="1"/>
  <c r="M167" i="20" a="1"/>
  <c r="M167" i="20"/>
  <c r="M168" i="20" a="1"/>
  <c r="M168" i="20" s="1"/>
  <c r="M169" i="20" a="1"/>
  <c r="M169" i="20" s="1"/>
  <c r="M170" i="20" a="1"/>
  <c r="M170" i="20"/>
  <c r="M171" i="20" a="1"/>
  <c r="M171" i="20" s="1"/>
  <c r="M172" i="20" a="1"/>
  <c r="M172" i="20" s="1"/>
  <c r="M173" i="20" a="1"/>
  <c r="M173" i="20" s="1"/>
  <c r="M174" i="20" a="1"/>
  <c r="M174" i="20" s="1"/>
  <c r="M175" i="20" a="1"/>
  <c r="M175" i="20" s="1"/>
  <c r="M176" i="20" a="1"/>
  <c r="M176" i="20"/>
  <c r="M177" i="20" a="1"/>
  <c r="M177" i="20" s="1"/>
  <c r="M178" i="20" a="1"/>
  <c r="M178" i="20" s="1"/>
  <c r="M179" i="20" a="1"/>
  <c r="M179" i="20" s="1"/>
  <c r="M180" i="20" a="1"/>
  <c r="M180" i="20" s="1"/>
  <c r="M181" i="20" a="1"/>
  <c r="M181" i="20" s="1"/>
  <c r="M182" i="20" a="1"/>
  <c r="M182" i="20" s="1"/>
  <c r="M183" i="20" a="1"/>
  <c r="M183" i="20" s="1"/>
  <c r="M184" i="20" a="1"/>
  <c r="M184" i="20" s="1"/>
  <c r="M185" i="20" a="1"/>
  <c r="M185" i="20" s="1"/>
  <c r="M186" i="20" a="1"/>
  <c r="M186" i="20" s="1"/>
  <c r="M187" i="20" a="1"/>
  <c r="M187" i="20" s="1"/>
  <c r="M188" i="20" a="1"/>
  <c r="M188" i="20" s="1"/>
  <c r="M189" i="20" a="1"/>
  <c r="M189" i="20" s="1"/>
  <c r="M190" i="20" a="1"/>
  <c r="M190" i="20" s="1"/>
  <c r="M191" i="20" a="1"/>
  <c r="M191" i="20" s="1"/>
  <c r="M192" i="20" a="1"/>
  <c r="M192" i="20" s="1"/>
  <c r="M193" i="20" a="1"/>
  <c r="M193" i="20" s="1"/>
  <c r="M194" i="20" a="1"/>
  <c r="M194" i="20"/>
  <c r="M195" i="20" a="1"/>
  <c r="M195" i="20" s="1"/>
  <c r="M196" i="20" a="1"/>
  <c r="M196" i="20" s="1"/>
  <c r="M197" i="20" a="1"/>
  <c r="M197" i="20" s="1"/>
  <c r="M198" i="20" a="1"/>
  <c r="M198" i="20" s="1"/>
  <c r="M199" i="20" a="1"/>
  <c r="M199" i="20" s="1"/>
  <c r="M200" i="20" a="1"/>
  <c r="M200" i="20" s="1"/>
  <c r="M201" i="20" a="1"/>
  <c r="M201" i="20" s="1"/>
  <c r="M202" i="20" a="1"/>
  <c r="M202" i="20"/>
  <c r="M203" i="20" a="1"/>
  <c r="M203" i="20" s="1"/>
  <c r="M204" i="20" a="1"/>
  <c r="M204" i="20"/>
  <c r="M205" i="20" a="1"/>
  <c r="M205" i="20" s="1"/>
  <c r="M206" i="20" a="1"/>
  <c r="M206" i="20" s="1"/>
  <c r="M207" i="20" a="1"/>
  <c r="M207" i="20" s="1"/>
  <c r="M208" i="20" a="1"/>
  <c r="M208" i="20" s="1"/>
  <c r="M209" i="20" a="1"/>
  <c r="M209" i="20" s="1"/>
  <c r="M210" i="20" a="1"/>
  <c r="M210" i="20"/>
  <c r="M211" i="20" a="1"/>
  <c r="M211" i="20" s="1"/>
  <c r="M212" i="20" a="1"/>
  <c r="M212" i="20" s="1"/>
  <c r="M213" i="20" a="1"/>
  <c r="M213" i="20" s="1"/>
  <c r="M214" i="20" a="1"/>
  <c r="M214" i="20" s="1"/>
  <c r="M215" i="20" a="1"/>
  <c r="M215" i="20" s="1"/>
  <c r="M216" i="20" a="1"/>
  <c r="M216" i="20" s="1"/>
  <c r="M217" i="20" a="1"/>
  <c r="M217" i="20" s="1"/>
  <c r="M218" i="20" a="1"/>
  <c r="M218" i="20"/>
  <c r="M219" i="20" a="1"/>
  <c r="M219" i="20" s="1"/>
  <c r="M220" i="20" a="1"/>
  <c r="M220" i="20" s="1"/>
  <c r="M221" i="20" a="1"/>
  <c r="M221" i="20" s="1"/>
  <c r="M222" i="20" a="1"/>
  <c r="M222" i="20"/>
  <c r="M223" i="20" a="1"/>
  <c r="M223" i="20" s="1"/>
  <c r="M224" i="20" a="1"/>
  <c r="M224" i="20" s="1"/>
  <c r="M225" i="20" a="1"/>
  <c r="M225" i="20" s="1"/>
  <c r="M226" i="20" a="1"/>
  <c r="M226" i="20" s="1"/>
  <c r="M227" i="20" a="1"/>
  <c r="M227" i="20" s="1"/>
  <c r="M228" i="20" a="1"/>
  <c r="M228" i="20" s="1"/>
  <c r="M229" i="20" a="1"/>
  <c r="M229" i="20" s="1"/>
  <c r="M230" i="20" a="1"/>
  <c r="M230" i="20" s="1"/>
  <c r="M231" i="20" a="1"/>
  <c r="M231" i="20"/>
  <c r="M232" i="20" a="1"/>
  <c r="M232" i="20" s="1"/>
  <c r="M233" i="20" a="1"/>
  <c r="M233" i="20" s="1"/>
  <c r="M234" i="20" a="1"/>
  <c r="M234" i="20" s="1"/>
  <c r="M235" i="20" a="1"/>
  <c r="M235" i="20" s="1"/>
  <c r="M236" i="20" a="1"/>
  <c r="M236" i="20"/>
  <c r="M237" i="20" a="1"/>
  <c r="M237" i="20"/>
  <c r="M238" i="20" a="1"/>
  <c r="M238" i="20" s="1"/>
  <c r="M239" i="20" a="1"/>
  <c r="M239" i="20"/>
  <c r="M240" i="20" a="1"/>
  <c r="M240" i="20" s="1"/>
  <c r="M241" i="20" a="1"/>
  <c r="M241" i="20"/>
  <c r="M242" i="20" a="1"/>
  <c r="M242" i="20" s="1"/>
  <c r="M243" i="20" a="1"/>
  <c r="M243" i="20" s="1"/>
  <c r="M244" i="20" a="1"/>
  <c r="M244" i="20" s="1"/>
  <c r="M245" i="20" a="1"/>
  <c r="M245" i="20" s="1"/>
  <c r="M246" i="20" a="1"/>
  <c r="M246" i="20" s="1"/>
  <c r="M247" i="20" a="1"/>
  <c r="M247" i="20" s="1"/>
  <c r="M248" i="20" a="1"/>
  <c r="M248" i="20"/>
  <c r="M249" i="20" a="1"/>
  <c r="M249" i="20" s="1"/>
  <c r="M250" i="20" a="1"/>
  <c r="M250" i="20" s="1"/>
  <c r="M251" i="20" a="1"/>
  <c r="M251" i="20" s="1"/>
  <c r="M252" i="20" a="1"/>
  <c r="M252" i="20"/>
  <c r="M253" i="20" a="1"/>
  <c r="M253" i="20"/>
  <c r="M254" i="20" a="1"/>
  <c r="M254" i="20" s="1"/>
  <c r="M255" i="20" a="1"/>
  <c r="M255" i="20"/>
  <c r="M256" i="20" a="1"/>
  <c r="M256" i="20"/>
  <c r="M257" i="20" a="1"/>
  <c r="M257" i="20" s="1"/>
  <c r="M258" i="20" a="1"/>
  <c r="M258" i="20"/>
  <c r="M259" i="20" a="1"/>
  <c r="M259" i="20" s="1"/>
  <c r="M260" i="20" a="1"/>
  <c r="M260" i="20" s="1"/>
  <c r="M261" i="20" a="1"/>
  <c r="M261" i="20" s="1"/>
  <c r="M262" i="20" a="1"/>
  <c r="M262" i="20" s="1"/>
  <c r="M263" i="20" a="1"/>
  <c r="M263" i="20" s="1"/>
  <c r="M264" i="20" a="1"/>
  <c r="M264" i="20" s="1"/>
  <c r="M265" i="20" a="1"/>
  <c r="M265" i="20"/>
  <c r="M266" i="20" a="1"/>
  <c r="M266" i="20" s="1"/>
  <c r="M267" i="20" a="1"/>
  <c r="M267" i="20" s="1"/>
  <c r="M268" i="20" a="1"/>
  <c r="M268" i="20"/>
  <c r="M269" i="20" a="1"/>
  <c r="M269" i="20"/>
  <c r="M270" i="20" a="1"/>
  <c r="M270" i="20"/>
  <c r="M271" i="20" a="1"/>
  <c r="M271" i="20" s="1"/>
  <c r="O267" i="20" a="1"/>
  <c r="O267" i="20" s="1"/>
  <c r="O269" i="20" a="1"/>
  <c r="O269" i="20" s="1"/>
  <c r="P8" i="20" a="1"/>
  <c r="P8" i="20" s="1"/>
  <c r="P14" i="20" a="1"/>
  <c r="P14" i="20" s="1"/>
  <c r="P15" i="20" a="1"/>
  <c r="P15" i="20" s="1"/>
  <c r="P16" i="20" a="1"/>
  <c r="P16" i="20" s="1"/>
  <c r="P17" i="20" a="1"/>
  <c r="P17" i="20"/>
  <c r="P18" i="20" a="1"/>
  <c r="P18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/>
  <c r="P114" i="20" a="1"/>
  <c r="P114" i="20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/>
  <c r="P131" i="20" a="1"/>
  <c r="P131" i="20" s="1"/>
  <c r="P132" i="20" a="1"/>
  <c r="P132" i="20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/>
  <c r="P148" i="20" a="1"/>
  <c r="P148" i="20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/>
  <c r="P162" i="20" a="1"/>
  <c r="P162" i="20" s="1"/>
  <c r="P163" i="20" a="1"/>
  <c r="P163" i="20" s="1"/>
  <c r="P164" i="20" a="1"/>
  <c r="P164" i="20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/>
  <c r="P178" i="20" a="1"/>
  <c r="P178" i="20" s="1"/>
  <c r="P179" i="20" a="1"/>
  <c r="P179" i="20" s="1"/>
  <c r="P180" i="20" a="1"/>
  <c r="P180" i="20" s="1"/>
  <c r="P181" i="20" a="1"/>
  <c r="P181" i="20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/>
  <c r="P195" i="20" a="1"/>
  <c r="P195" i="20" s="1"/>
  <c r="P196" i="20" a="1"/>
  <c r="P196" i="20" s="1"/>
  <c r="P197" i="20" a="1"/>
  <c r="P197" i="20" s="1"/>
  <c r="P198" i="20" a="1"/>
  <c r="P198" i="20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/>
  <c r="P226" i="20" a="1"/>
  <c r="P226" i="20"/>
  <c r="P227" i="20" a="1"/>
  <c r="P227" i="20" s="1"/>
  <c r="P228" i="20" a="1"/>
  <c r="P228" i="20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/>
  <c r="P243" i="20" a="1"/>
  <c r="P243" i="20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/>
  <c r="P258" i="20" a="1"/>
  <c r="P258" i="20"/>
  <c r="P259" i="20" a="1"/>
  <c r="P259" i="20"/>
  <c r="P260" i="20" a="1"/>
  <c r="P260" i="20"/>
  <c r="P261" i="20" a="1"/>
  <c r="P261" i="20" s="1"/>
  <c r="P262" i="20" a="1"/>
  <c r="P262" i="20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O33" i="18" s="1" a="1"/>
  <c r="O33" i="18" s="1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O6" i="18" s="1" a="1"/>
  <c r="O6" i="18" s="1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O215" i="18" s="1" a="1"/>
  <c r="O215" i="18" s="1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O408" i="18" s="1" a="1"/>
  <c r="O408" i="18" s="1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P110" i="18" s="1" a="1"/>
  <c r="P110" i="18" s="1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P390" i="18" s="1" a="1"/>
  <c r="P390" i="18" s="1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P407" i="18" s="1" a="1"/>
  <c r="P407" i="18" s="1"/>
  <c r="R407" i="18" s="1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P421" i="18" s="1" a="1"/>
  <c r="P421" i="18" s="1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P366" i="18" s="1" a="1"/>
  <c r="P366" i="18" s="1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P452" i="18" s="1" a="1"/>
  <c r="P452" i="18" s="1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P465" i="18" s="1" a="1"/>
  <c r="P465" i="18" s="1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P477" i="18" s="1" a="1"/>
  <c r="P477" i="18" s="1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P487" i="18" s="1" a="1"/>
  <c r="P487" i="18" s="1"/>
  <c r="R487" i="18" s="1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P422" i="18" s="1" a="1"/>
  <c r="P422" i="18" s="1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P438" i="18" s="1" a="1"/>
  <c r="P438" i="18" s="1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O478" i="18" s="1" a="1"/>
  <c r="O478" i="18" s="1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N2" i="18" a="1"/>
  <c r="N2" i="18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/>
  <c r="N11" i="18" a="1"/>
  <c r="N11" i="18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/>
  <c r="N18" i="18" a="1"/>
  <c r="N18" i="18" s="1"/>
  <c r="N19" i="18" a="1"/>
  <c r="N19" i="18" s="1"/>
  <c r="N20" i="18" a="1"/>
  <c r="N20" i="18" s="1"/>
  <c r="N21" i="18" a="1"/>
  <c r="N21" i="18"/>
  <c r="N22" i="18" a="1"/>
  <c r="N22" i="18" s="1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/>
  <c r="N52" i="18" a="1"/>
  <c r="N52" i="18" s="1"/>
  <c r="N53" i="18" a="1"/>
  <c r="N53" i="18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/>
  <c r="N99" i="18" a="1"/>
  <c r="N99" i="18" s="1"/>
  <c r="N100" i="18" a="1"/>
  <c r="N100" i="18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/>
  <c r="N125" i="18" a="1"/>
  <c r="N125" i="18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/>
  <c r="N186" i="18" a="1"/>
  <c r="N186" i="18" s="1"/>
  <c r="N187" i="18" a="1"/>
  <c r="N187" i="18" s="1"/>
  <c r="N188" i="18" a="1"/>
  <c r="N188" i="18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/>
  <c r="N227" i="18" a="1"/>
  <c r="N227" i="18" s="1"/>
  <c r="N228" i="18" a="1"/>
  <c r="N228" i="18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/>
  <c r="N234" i="18" a="1"/>
  <c r="N234" i="18" s="1"/>
  <c r="N235" i="18" a="1"/>
  <c r="N235" i="18" s="1"/>
  <c r="N236" i="18" a="1"/>
  <c r="N236" i="18" s="1"/>
  <c r="N237" i="18" a="1"/>
  <c r="N237" i="18"/>
  <c r="N238" i="18" a="1"/>
  <c r="N238" i="18" s="1"/>
  <c r="N239" i="18" a="1"/>
  <c r="N239" i="18" s="1"/>
  <c r="N240" i="18" a="1"/>
  <c r="N240" i="18" s="1"/>
  <c r="N241" i="18" a="1"/>
  <c r="N241" i="18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/>
  <c r="N298" i="18" a="1"/>
  <c r="N298" i="18" s="1"/>
  <c r="N299" i="18" a="1"/>
  <c r="N299" i="18" s="1"/>
  <c r="N300" i="18" a="1"/>
  <c r="N300" i="18" s="1"/>
  <c r="N301" i="18" a="1"/>
  <c r="N301" i="18"/>
  <c r="N302" i="18" a="1"/>
  <c r="N302" i="18" s="1"/>
  <c r="N303" i="18" a="1"/>
  <c r="N303" i="18" s="1"/>
  <c r="N304" i="18" a="1"/>
  <c r="N304" i="18" s="1"/>
  <c r="N305" i="18" a="1"/>
  <c r="N305" i="18"/>
  <c r="N306" i="18" a="1"/>
  <c r="N306" i="18" s="1"/>
  <c r="N307" i="18" a="1"/>
  <c r="N307" i="18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/>
  <c r="N314" i="18" a="1"/>
  <c r="N314" i="18" s="1"/>
  <c r="N315" i="18" a="1"/>
  <c r="N315" i="18"/>
  <c r="N316" i="18" a="1"/>
  <c r="N316" i="18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/>
  <c r="N354" i="18" a="1"/>
  <c r="N354" i="18"/>
  <c r="N355" i="18" a="1"/>
  <c r="N355" i="18" s="1"/>
  <c r="N356" i="18" a="1"/>
  <c r="N356" i="18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/>
  <c r="N363" i="18" a="1"/>
  <c r="N363" i="18" s="1"/>
  <c r="N364" i="18" a="1"/>
  <c r="N364" i="18"/>
  <c r="N365" i="18" a="1"/>
  <c r="N365" i="18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 s="1"/>
  <c r="N443" i="18" a="1"/>
  <c r="N443" i="18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 s="1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 s="1"/>
  <c r="N488" i="18" a="1"/>
  <c r="N488" i="18" s="1"/>
  <c r="N489" i="18" a="1"/>
  <c r="N489" i="18"/>
  <c r="N490" i="18" a="1"/>
  <c r="N490" i="18"/>
  <c r="N491" i="18" a="1"/>
  <c r="N491" i="18" s="1"/>
  <c r="O202" i="18" a="1"/>
  <c r="O202" i="18" s="1"/>
  <c r="O396" i="18" a="1"/>
  <c r="O396" i="18" s="1"/>
  <c r="P98" i="18" a="1"/>
  <c r="P98" i="18" s="1"/>
  <c r="P230" i="18" a="1"/>
  <c r="P230" i="18" s="1"/>
  <c r="P297" i="18" a="1"/>
  <c r="P297" i="18" s="1"/>
  <c r="P334" i="18" a="1"/>
  <c r="P334" i="18" s="1"/>
  <c r="P365" i="18" a="1"/>
  <c r="P365" i="18" s="1"/>
  <c r="P387" i="18" a="1"/>
  <c r="P387" i="18" s="1"/>
  <c r="P406" i="18" a="1"/>
  <c r="P406" i="18" s="1"/>
  <c r="P451" i="18" a="1"/>
  <c r="P451" i="18" s="1"/>
  <c r="P464" i="18" a="1"/>
  <c r="P464" i="18" s="1"/>
  <c r="P476" i="18" a="1"/>
  <c r="P47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/>
  <c r="Q14" i="18" a="1"/>
  <c r="Q14" i="18" s="1"/>
  <c r="Q15" i="18" a="1"/>
  <c r="Q15" i="18" s="1"/>
  <c r="Q16" i="18" a="1"/>
  <c r="Q16" i="18" s="1"/>
  <c r="Q17" i="18" a="1"/>
  <c r="Q17" i="18"/>
  <c r="Q18" i="18" a="1"/>
  <c r="Q18" i="18"/>
  <c r="Q19" i="18" a="1"/>
  <c r="Q19" i="18" s="1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/>
  <c r="Q29" i="18" a="1"/>
  <c r="Q29" i="18" s="1"/>
  <c r="Q30" i="18" a="1"/>
  <c r="Q30" i="18" s="1"/>
  <c r="Q31" i="18" a="1"/>
  <c r="Q31" i="18"/>
  <c r="Q32" i="18" a="1"/>
  <c r="Q32" i="18" s="1"/>
  <c r="Q33" i="18" a="1"/>
  <c r="Q33" i="18" s="1"/>
  <c r="Q34" i="18" a="1"/>
  <c r="Q34" i="18"/>
  <c r="Q35" i="18" a="1"/>
  <c r="Q35" i="18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/>
  <c r="Q42" i="18" a="1"/>
  <c r="Q42" i="18" s="1"/>
  <c r="Q43" i="18" a="1"/>
  <c r="Q43" i="18" s="1"/>
  <c r="Q44" i="18" a="1"/>
  <c r="Q44" i="18" s="1"/>
  <c r="Q45" i="18" a="1"/>
  <c r="Q45" i="18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/>
  <c r="Q53" i="18" a="1"/>
  <c r="Q53" i="18" s="1"/>
  <c r="Q54" i="18" a="1"/>
  <c r="Q54" i="18" s="1"/>
  <c r="Q55" i="18" a="1"/>
  <c r="Q55" i="18"/>
  <c r="Q56" i="18" a="1"/>
  <c r="Q56" i="18" s="1"/>
  <c r="Q57" i="18" a="1"/>
  <c r="Q57" i="18" s="1"/>
  <c r="Q58" i="18" a="1"/>
  <c r="Q58" i="18" s="1"/>
  <c r="Q59" i="18" a="1"/>
  <c r="Q59" i="18" s="1"/>
  <c r="Q60" i="18" a="1"/>
  <c r="Q60" i="18"/>
  <c r="Q61" i="18" a="1"/>
  <c r="Q61" i="18" s="1"/>
  <c r="Q62" i="18" a="1"/>
  <c r="Q62" i="18"/>
  <c r="Q63" i="18" a="1"/>
  <c r="Q63" i="18" s="1"/>
  <c r="Q64" i="18" a="1"/>
  <c r="Q64" i="18" s="1"/>
  <c r="Q65" i="18" a="1"/>
  <c r="Q65" i="18" s="1"/>
  <c r="Q66" i="18" a="1"/>
  <c r="Q66" i="18" s="1"/>
  <c r="Q67" i="18" a="1"/>
  <c r="Q67" i="18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/>
  <c r="Q75" i="18" a="1"/>
  <c r="Q75" i="18" s="1"/>
  <c r="Q76" i="18" a="1"/>
  <c r="Q76" i="18" s="1"/>
  <c r="Q77" i="18" a="1"/>
  <c r="Q77" i="18"/>
  <c r="Q78" i="18" a="1"/>
  <c r="Q78" i="18"/>
  <c r="Q79" i="18" a="1"/>
  <c r="Q79" i="18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/>
  <c r="Q92" i="18" a="1"/>
  <c r="Q92" i="18" s="1"/>
  <c r="Q93" i="18" a="1"/>
  <c r="Q93" i="18" s="1"/>
  <c r="Q94" i="18" a="1"/>
  <c r="Q94" i="18"/>
  <c r="Q95" i="18" a="1"/>
  <c r="Q95" i="18" s="1"/>
  <c r="Q96" i="18" a="1"/>
  <c r="Q96" i="18" s="1"/>
  <c r="Q97" i="18" a="1"/>
  <c r="Q97" i="18" s="1"/>
  <c r="Q98" i="18" a="1"/>
  <c r="Q98" i="18" s="1"/>
  <c r="R98" i="18" s="1"/>
  <c r="Q99" i="18" a="1"/>
  <c r="Q99" i="18" s="1"/>
  <c r="Q100" i="18" a="1"/>
  <c r="Q100" i="18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/>
  <c r="Q108" i="18" a="1"/>
  <c r="Q108" i="18" s="1"/>
  <c r="Q109" i="18" a="1"/>
  <c r="Q109" i="18" s="1"/>
  <c r="Q110" i="18" a="1"/>
  <c r="Q110" i="18" s="1"/>
  <c r="Q111" i="18" a="1"/>
  <c r="Q111" i="18"/>
  <c r="Q112" i="18" a="1"/>
  <c r="Q112" i="18" s="1"/>
  <c r="Q113" i="18" a="1"/>
  <c r="Q113" i="18" s="1"/>
  <c r="Q114" i="18" a="1"/>
  <c r="Q114" i="18"/>
  <c r="Q115" i="18" a="1"/>
  <c r="Q115" i="18"/>
  <c r="Q116" i="18" a="1"/>
  <c r="Q116" i="18" s="1"/>
  <c r="Q117" i="18" a="1"/>
  <c r="Q117" i="18"/>
  <c r="Q118" i="18" a="1"/>
  <c r="Q118" i="18" s="1"/>
  <c r="Q119" i="18" a="1"/>
  <c r="Q119" i="18" s="1"/>
  <c r="Q120" i="18" a="1"/>
  <c r="Q120" i="18" s="1"/>
  <c r="Q121" i="18" a="1"/>
  <c r="Q121" i="18"/>
  <c r="Q122" i="18" a="1"/>
  <c r="Q122" i="18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/>
  <c r="Q135" i="18" a="1"/>
  <c r="Q135" i="18"/>
  <c r="Q136" i="18" a="1"/>
  <c r="Q136" i="18" s="1"/>
  <c r="Q137" i="18" a="1"/>
  <c r="Q137" i="18" s="1"/>
  <c r="Q138" i="18" a="1"/>
  <c r="Q138" i="18" s="1"/>
  <c r="Q139" i="18" a="1"/>
  <c r="Q139" i="18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/>
  <c r="Q146" i="18" a="1"/>
  <c r="Q146" i="18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Q152" i="18" a="1"/>
  <c r="Q152" i="18" s="1"/>
  <c r="Q153" i="18" a="1"/>
  <c r="Q153" i="18" s="1"/>
  <c r="Q154" i="18" a="1"/>
  <c r="Q154" i="18"/>
  <c r="Q155" i="18" a="1"/>
  <c r="Q155" i="18" s="1"/>
  <c r="Q156" i="18" a="1"/>
  <c r="Q156" i="18" s="1"/>
  <c r="Q157" i="18" a="1"/>
  <c r="Q157" i="18" s="1"/>
  <c r="Q158" i="18" a="1"/>
  <c r="Q158" i="18"/>
  <c r="Q159" i="18" a="1"/>
  <c r="Q159" i="18" s="1"/>
  <c r="Q160" i="18" a="1"/>
  <c r="Q160" i="18" s="1"/>
  <c r="Q161" i="18" a="1"/>
  <c r="Q161" i="18" s="1"/>
  <c r="Q162" i="18" a="1"/>
  <c r="Q162" i="18"/>
  <c r="Q163" i="18" a="1"/>
  <c r="Q163" i="18" s="1"/>
  <c r="Q164" i="18" a="1"/>
  <c r="Q164" i="18" s="1"/>
  <c r="Q165" i="18" a="1"/>
  <c r="Q165" i="18"/>
  <c r="Q166" i="18" a="1"/>
  <c r="Q166" i="18"/>
  <c r="Q167" i="18" a="1"/>
  <c r="Q167" i="18"/>
  <c r="Q168" i="18" a="1"/>
  <c r="Q168" i="18" s="1"/>
  <c r="Q169" i="18" a="1"/>
  <c r="Q169" i="18" s="1"/>
  <c r="Q170" i="18" a="1"/>
  <c r="Q170" i="18" s="1"/>
  <c r="Q171" i="18" a="1"/>
  <c r="Q171" i="18" s="1"/>
  <c r="Q172" i="18" a="1"/>
  <c r="Q172" i="18" s="1"/>
  <c r="Q173" i="18" a="1"/>
  <c r="Q173" i="18"/>
  <c r="Q174" i="18" a="1"/>
  <c r="Q174" i="18" s="1"/>
  <c r="Q175" i="18" a="1"/>
  <c r="Q175" i="18" s="1"/>
  <c r="Q176" i="18" a="1"/>
  <c r="Q176" i="18" s="1"/>
  <c r="Q177" i="18" a="1"/>
  <c r="Q177" i="18" s="1"/>
  <c r="Q178" i="18" a="1"/>
  <c r="Q178" i="18" s="1"/>
  <c r="Q179" i="18" a="1"/>
  <c r="Q179" i="18"/>
  <c r="Q180" i="18" a="1"/>
  <c r="Q180" i="18" s="1"/>
  <c r="Q181" i="18" a="1"/>
  <c r="Q181" i="18" s="1"/>
  <c r="Q182" i="18" a="1"/>
  <c r="Q182" i="18"/>
  <c r="Q183" i="18" a="1"/>
  <c r="Q183" i="18" s="1"/>
  <c r="Q184" i="18" a="1"/>
  <c r="Q184" i="18" s="1"/>
  <c r="Q185" i="18" a="1"/>
  <c r="Q185" i="18" s="1"/>
  <c r="Q186" i="18" a="1"/>
  <c r="Q186" i="18" s="1"/>
  <c r="Q187" i="18" a="1"/>
  <c r="Q187" i="18" s="1"/>
  <c r="Q188" i="18" a="1"/>
  <c r="Q188" i="18" s="1"/>
  <c r="Q189" i="18" a="1"/>
  <c r="Q189" i="18" s="1"/>
  <c r="Q190" i="18" a="1"/>
  <c r="Q190" i="18"/>
  <c r="Q191" i="18" a="1"/>
  <c r="Q191" i="18" s="1"/>
  <c r="Q192" i="18" a="1"/>
  <c r="Q192" i="18" s="1"/>
  <c r="Q193" i="18" a="1"/>
  <c r="Q193" i="18" s="1"/>
  <c r="Q194" i="18" a="1"/>
  <c r="Q194" i="18" s="1"/>
  <c r="Q195" i="18" a="1"/>
  <c r="Q195" i="18" s="1"/>
  <c r="Q196" i="18" a="1"/>
  <c r="Q196" i="18"/>
  <c r="Q197" i="18" a="1"/>
  <c r="Q197" i="18" s="1"/>
  <c r="Q198" i="18" a="1"/>
  <c r="Q198" i="18" s="1"/>
  <c r="Q199" i="18" a="1"/>
  <c r="Q199" i="18" s="1"/>
  <c r="Q200" i="18" a="1"/>
  <c r="Q200" i="18" s="1"/>
  <c r="Q201" i="18" a="1"/>
  <c r="Q201" i="18" s="1"/>
  <c r="Q202" i="18" a="1"/>
  <c r="Q202" i="18" s="1"/>
  <c r="Q203" i="18" a="1"/>
  <c r="Q203" i="18" s="1"/>
  <c r="Q204" i="18" a="1"/>
  <c r="Q204" i="18" s="1"/>
  <c r="Q205" i="18" a="1"/>
  <c r="Q205" i="18"/>
  <c r="Q206" i="18" a="1"/>
  <c r="Q206" i="18" s="1"/>
  <c r="Q207" i="18" a="1"/>
  <c r="Q207" i="18" s="1"/>
  <c r="Q208" i="18" a="1"/>
  <c r="Q208" i="18" s="1"/>
  <c r="Q209" i="18" a="1"/>
  <c r="Q209" i="18"/>
  <c r="Q210" i="18" a="1"/>
  <c r="Q210" i="18" s="1"/>
  <c r="Q211" i="18" a="1"/>
  <c r="Q211" i="18" s="1"/>
  <c r="Q212" i="18" a="1"/>
  <c r="Q212" i="18" s="1"/>
  <c r="Q213" i="18" a="1"/>
  <c r="Q213" i="18"/>
  <c r="Q214" i="18" a="1"/>
  <c r="Q214" i="18"/>
  <c r="Q215" i="18" a="1"/>
  <c r="Q215" i="18" s="1"/>
  <c r="Q216" i="18" a="1"/>
  <c r="Q216" i="18" s="1"/>
  <c r="Q217" i="18" a="1"/>
  <c r="Q217" i="18" s="1"/>
  <c r="Q218" i="18" a="1"/>
  <c r="Q218" i="18" s="1"/>
  <c r="Q219" i="18" a="1"/>
  <c r="Q219" i="18" s="1"/>
  <c r="Q220" i="18" a="1"/>
  <c r="Q220" i="18"/>
  <c r="Q221" i="18" a="1"/>
  <c r="Q221" i="18" s="1"/>
  <c r="Q222" i="18" a="1"/>
  <c r="Q222" i="18" s="1"/>
  <c r="Q223" i="18" a="1"/>
  <c r="Q223" i="18" s="1"/>
  <c r="Q224" i="18" a="1"/>
  <c r="Q224" i="18" s="1"/>
  <c r="Q225" i="18" a="1"/>
  <c r="Q225" i="18" s="1"/>
  <c r="Q226" i="18" a="1"/>
  <c r="Q226" i="18" s="1"/>
  <c r="Q227" i="18" a="1"/>
  <c r="Q227" i="18" s="1"/>
  <c r="Q228" i="18" a="1"/>
  <c r="Q228" i="18" s="1"/>
  <c r="Q229" i="18" a="1"/>
  <c r="Q229" i="18" s="1"/>
  <c r="Q230" i="18" a="1"/>
  <c r="Q230" i="18" s="1"/>
  <c r="R230" i="18" s="1"/>
  <c r="Q231" i="18" a="1"/>
  <c r="Q231" i="18" s="1"/>
  <c r="Q232" i="18" a="1"/>
  <c r="Q232" i="18" s="1"/>
  <c r="Q233" i="18" a="1"/>
  <c r="Q233" i="18" s="1"/>
  <c r="Q234" i="18" a="1"/>
  <c r="Q234" i="18" s="1"/>
  <c r="Q235" i="18" a="1"/>
  <c r="Q235" i="18"/>
  <c r="Q236" i="18" a="1"/>
  <c r="Q236" i="18" s="1"/>
  <c r="Q237" i="18" a="1"/>
  <c r="Q237" i="18" s="1"/>
  <c r="Q238" i="18" a="1"/>
  <c r="Q238" i="18" s="1"/>
  <c r="Q239" i="18" a="1"/>
  <c r="Q239" i="18" s="1"/>
  <c r="Q240" i="18" a="1"/>
  <c r="Q240" i="18" s="1"/>
  <c r="Q241" i="18" a="1"/>
  <c r="Q241" i="18" s="1"/>
  <c r="Q242" i="18" a="1"/>
  <c r="Q242" i="18" s="1"/>
  <c r="Q243" i="18" a="1"/>
  <c r="Q243" i="18" s="1"/>
  <c r="Q244" i="18" a="1"/>
  <c r="Q244" i="18" s="1"/>
  <c r="Q245" i="18" a="1"/>
  <c r="Q245" i="18" s="1"/>
  <c r="Q246" i="18" a="1"/>
  <c r="Q246" i="18" s="1"/>
  <c r="Q247" i="18" a="1"/>
  <c r="Q247" i="18"/>
  <c r="Q248" i="18" a="1"/>
  <c r="Q248" i="18" s="1"/>
  <c r="Q249" i="18" a="1"/>
  <c r="Q249" i="18" s="1"/>
  <c r="Q250" i="18" a="1"/>
  <c r="Q250" i="18" s="1"/>
  <c r="Q251" i="18" a="1"/>
  <c r="Q251" i="18" s="1"/>
  <c r="Q252" i="18" a="1"/>
  <c r="Q252" i="18" s="1"/>
  <c r="Q253" i="18" a="1"/>
  <c r="Q253" i="18"/>
  <c r="Q254" i="18" a="1"/>
  <c r="Q254" i="18" s="1"/>
  <c r="Q255" i="18" a="1"/>
  <c r="Q255" i="18"/>
  <c r="Q256" i="18" a="1"/>
  <c r="Q256" i="18" s="1"/>
  <c r="Q257" i="18" a="1"/>
  <c r="Q257" i="18" s="1"/>
  <c r="Q258" i="18" a="1"/>
  <c r="Q258" i="18" s="1"/>
  <c r="Q259" i="18" a="1"/>
  <c r="Q259" i="18" s="1"/>
  <c r="Q260" i="18" a="1"/>
  <c r="Q260" i="18" s="1"/>
  <c r="Q261" i="18" a="1"/>
  <c r="Q261" i="18" s="1"/>
  <c r="Q262" i="18" a="1"/>
  <c r="Q262" i="18" s="1"/>
  <c r="Q263" i="18" a="1"/>
  <c r="Q263" i="18" s="1"/>
  <c r="Q264" i="18" a="1"/>
  <c r="Q264" i="18" s="1"/>
  <c r="Q265" i="18" a="1"/>
  <c r="Q265" i="18" s="1"/>
  <c r="Q266" i="18" a="1"/>
  <c r="Q266" i="18"/>
  <c r="Q267" i="18" a="1"/>
  <c r="Q267" i="18" s="1"/>
  <c r="Q268" i="18" a="1"/>
  <c r="Q268" i="18"/>
  <c r="Q269" i="18" a="1"/>
  <c r="Q269" i="18" s="1"/>
  <c r="Q270" i="18" a="1"/>
  <c r="Q270" i="18" s="1"/>
  <c r="Q271" i="18" a="1"/>
  <c r="Q271" i="18" s="1"/>
  <c r="Q272" i="18" a="1"/>
  <c r="Q272" i="18" s="1"/>
  <c r="Q273" i="18" a="1"/>
  <c r="Q273" i="18" s="1"/>
  <c r="Q274" i="18" a="1"/>
  <c r="Q274" i="18" s="1"/>
  <c r="Q275" i="18" a="1"/>
  <c r="Q275" i="18" s="1"/>
  <c r="Q276" i="18" a="1"/>
  <c r="Q276" i="18" s="1"/>
  <c r="Q277" i="18" a="1"/>
  <c r="Q277" i="18" s="1"/>
  <c r="Q278" i="18" a="1"/>
  <c r="Q278" i="18" s="1"/>
  <c r="Q279" i="18" a="1"/>
  <c r="Q279" i="18"/>
  <c r="Q280" i="18" a="1"/>
  <c r="Q280" i="18"/>
  <c r="Q281" i="18" a="1"/>
  <c r="Q281" i="18" s="1"/>
  <c r="Q282" i="18" a="1"/>
  <c r="Q282" i="18" s="1"/>
  <c r="Q283" i="18" a="1"/>
  <c r="Q283" i="18" s="1"/>
  <c r="Q284" i="18" a="1"/>
  <c r="Q284" i="18" s="1"/>
  <c r="Q285" i="18" a="1"/>
  <c r="Q285" i="18" s="1"/>
  <c r="Q286" i="18" a="1"/>
  <c r="Q286" i="18" s="1"/>
  <c r="Q287" i="18" a="1"/>
  <c r="Q287" i="18" s="1"/>
  <c r="Q288" i="18" a="1"/>
  <c r="Q288" i="18" s="1"/>
  <c r="Q289" i="18" a="1"/>
  <c r="Q289" i="18" s="1"/>
  <c r="Q290" i="18" a="1"/>
  <c r="Q290" i="18" s="1"/>
  <c r="Q291" i="18" a="1"/>
  <c r="Q291" i="18" s="1"/>
  <c r="Q292" i="18" a="1"/>
  <c r="Q292" i="18" s="1"/>
  <c r="Q293" i="18" a="1"/>
  <c r="Q293" i="18" s="1"/>
  <c r="Q294" i="18" a="1"/>
  <c r="Q294" i="18" s="1"/>
  <c r="Q295" i="18" a="1"/>
  <c r="Q295" i="18" s="1"/>
  <c r="Q296" i="18" a="1"/>
  <c r="Q296" i="18" s="1"/>
  <c r="Q297" i="18" a="1"/>
  <c r="Q297" i="18" s="1"/>
  <c r="Q298" i="18" a="1"/>
  <c r="Q298" i="18" s="1"/>
  <c r="Q299" i="18" a="1"/>
  <c r="Q299" i="18" s="1"/>
  <c r="Q300" i="18" a="1"/>
  <c r="Q300" i="18"/>
  <c r="Q301" i="18" a="1"/>
  <c r="Q301" i="18" s="1"/>
  <c r="Q302" i="18" a="1"/>
  <c r="Q302" i="18" s="1"/>
  <c r="Q303" i="18" a="1"/>
  <c r="Q303" i="18" s="1"/>
  <c r="Q304" i="18" a="1"/>
  <c r="Q304" i="18" s="1"/>
  <c r="Q305" i="18" a="1"/>
  <c r="Q305" i="18" s="1"/>
  <c r="Q306" i="18" a="1"/>
  <c r="Q306" i="18" s="1"/>
  <c r="Q307" i="18" a="1"/>
  <c r="Q307" i="18"/>
  <c r="Q308" i="18" a="1"/>
  <c r="Q308" i="18" s="1"/>
  <c r="Q309" i="18" a="1"/>
  <c r="Q309" i="18" s="1"/>
  <c r="Q310" i="18" a="1"/>
  <c r="Q310" i="18" s="1"/>
  <c r="Q311" i="18" a="1"/>
  <c r="Q311" i="18" s="1"/>
  <c r="Q312" i="18" a="1"/>
  <c r="Q312" i="18" s="1"/>
  <c r="Q313" i="18" a="1"/>
  <c r="Q313" i="18" s="1"/>
  <c r="Q314" i="18" a="1"/>
  <c r="Q314" i="18" s="1"/>
  <c r="Q315" i="18" a="1"/>
  <c r="Q315" i="18"/>
  <c r="Q316" i="18" a="1"/>
  <c r="Q316" i="18"/>
  <c r="Q317" i="18" a="1"/>
  <c r="Q317" i="18" s="1"/>
  <c r="Q318" i="18" a="1"/>
  <c r="Q318" i="18" s="1"/>
  <c r="Q319" i="18" a="1"/>
  <c r="Q319" i="18" s="1"/>
  <c r="Q320" i="18" a="1"/>
  <c r="Q320" i="18" s="1"/>
  <c r="Q321" i="18" a="1"/>
  <c r="Q321" i="18" s="1"/>
  <c r="Q322" i="18" a="1"/>
  <c r="Q322" i="18" s="1"/>
  <c r="Q323" i="18" a="1"/>
  <c r="Q323" i="18"/>
  <c r="Q324" i="18" a="1"/>
  <c r="Q324" i="18"/>
  <c r="Q325" i="18" a="1"/>
  <c r="Q325" i="18" s="1"/>
  <c r="Q326" i="18" a="1"/>
  <c r="Q326" i="18" s="1"/>
  <c r="Q327" i="18" a="1"/>
  <c r="Q327" i="18"/>
  <c r="Q328" i="18" a="1"/>
  <c r="Q328" i="18" s="1"/>
  <c r="Q329" i="18" a="1"/>
  <c r="Q329" i="18" s="1"/>
  <c r="Q330" i="18" a="1"/>
  <c r="Q330" i="18" s="1"/>
  <c r="Q331" i="18" a="1"/>
  <c r="Q331" i="18" s="1"/>
  <c r="Q332" i="18" a="1"/>
  <c r="Q332" i="18" s="1"/>
  <c r="Q333" i="18" a="1"/>
  <c r="Q333" i="18"/>
  <c r="Q334" i="18" a="1"/>
  <c r="Q334" i="18"/>
  <c r="R334" i="18" s="1"/>
  <c r="Q335" i="18" a="1"/>
  <c r="Q335" i="18"/>
  <c r="Q336" i="18" a="1"/>
  <c r="Q336" i="18"/>
  <c r="Q337" i="18" a="1"/>
  <c r="Q337" i="18" s="1"/>
  <c r="Q338" i="18" a="1"/>
  <c r="Q338" i="18" s="1"/>
  <c r="Q339" i="18" a="1"/>
  <c r="Q339" i="18"/>
  <c r="Q340" i="18" a="1"/>
  <c r="Q340" i="18" s="1"/>
  <c r="Q341" i="18" a="1"/>
  <c r="Q341" i="18"/>
  <c r="Q342" i="18" a="1"/>
  <c r="Q342" i="18" s="1"/>
  <c r="Q343" i="18" a="1"/>
  <c r="Q343" i="18" s="1"/>
  <c r="Q344" i="18" a="1"/>
  <c r="Q344" i="18" s="1"/>
  <c r="Q345" i="18" a="1"/>
  <c r="Q345" i="18" s="1"/>
  <c r="Q346" i="18" a="1"/>
  <c r="Q346" i="18" s="1"/>
  <c r="Q347" i="18" a="1"/>
  <c r="Q347" i="18"/>
  <c r="Q348" i="18" a="1"/>
  <c r="Q348" i="18" s="1"/>
  <c r="Q349" i="18" a="1"/>
  <c r="Q349" i="18" s="1"/>
  <c r="Q350" i="18" a="1"/>
  <c r="Q350" i="18"/>
  <c r="Q351" i="18" a="1"/>
  <c r="Q351" i="18" s="1"/>
  <c r="Q352" i="18" a="1"/>
  <c r="Q352" i="18" s="1"/>
  <c r="Q353" i="18" a="1"/>
  <c r="Q353" i="18" s="1"/>
  <c r="Q354" i="18" a="1"/>
  <c r="Q354" i="18"/>
  <c r="Q355" i="18" a="1"/>
  <c r="Q355" i="18"/>
  <c r="Q356" i="18" a="1"/>
  <c r="Q356" i="18" s="1"/>
  <c r="Q357" i="18" a="1"/>
  <c r="Q357" i="18" s="1"/>
  <c r="Q358" i="18" a="1"/>
  <c r="Q358" i="18" s="1"/>
  <c r="Q359" i="18" a="1"/>
  <c r="Q359" i="18"/>
  <c r="Q360" i="18" a="1"/>
  <c r="Q360" i="18" s="1"/>
  <c r="Q361" i="18" a="1"/>
  <c r="Q361" i="18" s="1"/>
  <c r="Q362" i="18" a="1"/>
  <c r="Q362" i="18" s="1"/>
  <c r="Q363" i="18" a="1"/>
  <c r="Q363" i="18" s="1"/>
  <c r="Q364" i="18" a="1"/>
  <c r="Q364" i="18" s="1"/>
  <c r="Q365" i="18" a="1"/>
  <c r="Q365" i="18" s="1"/>
  <c r="Q366" i="18" a="1"/>
  <c r="Q366" i="18" s="1"/>
  <c r="Q367" i="18" a="1"/>
  <c r="Q367" i="18" s="1"/>
  <c r="Q368" i="18" a="1"/>
  <c r="Q368" i="18" s="1"/>
  <c r="Q369" i="18" a="1"/>
  <c r="Q369" i="18" s="1"/>
  <c r="Q370" i="18" a="1"/>
  <c r="Q370" i="18" s="1"/>
  <c r="Q371" i="18" a="1"/>
  <c r="Q371" i="18"/>
  <c r="Q372" i="18" a="1"/>
  <c r="Q372" i="18" s="1"/>
  <c r="Q373" i="18" a="1"/>
  <c r="Q373" i="18" s="1"/>
  <c r="Q374" i="18" a="1"/>
  <c r="Q374" i="18" s="1"/>
  <c r="Q375" i="18" a="1"/>
  <c r="Q375" i="18" s="1"/>
  <c r="Q376" i="18" a="1"/>
  <c r="Q376" i="18" s="1"/>
  <c r="Q377" i="18" a="1"/>
  <c r="Q377" i="18" s="1"/>
  <c r="Q378" i="18" a="1"/>
  <c r="Q378" i="18"/>
  <c r="Q379" i="18" a="1"/>
  <c r="Q379" i="18"/>
  <c r="Q380" i="18" a="1"/>
  <c r="Q380" i="18" s="1"/>
  <c r="Q381" i="18" a="1"/>
  <c r="Q381" i="18" s="1"/>
  <c r="Q382" i="18" a="1"/>
  <c r="Q382" i="18" s="1"/>
  <c r="Q383" i="18" a="1"/>
  <c r="Q383" i="18" s="1"/>
  <c r="Q384" i="18" a="1"/>
  <c r="Q384" i="18"/>
  <c r="Q385" i="18" a="1"/>
  <c r="Q385" i="18" s="1"/>
  <c r="Q386" i="18" a="1"/>
  <c r="Q386" i="18" s="1"/>
  <c r="Q387" i="18" a="1"/>
  <c r="Q387" i="18" s="1"/>
  <c r="R387" i="18" s="1"/>
  <c r="Q388" i="18" a="1"/>
  <c r="Q388" i="18" s="1"/>
  <c r="Q389" i="18" a="1"/>
  <c r="Q389" i="18" s="1"/>
  <c r="Q390" i="18" a="1"/>
  <c r="Q390" i="18" s="1"/>
  <c r="Q391" i="18" a="1"/>
  <c r="Q391" i="18" s="1"/>
  <c r="Q392" i="18" a="1"/>
  <c r="Q392" i="18" s="1"/>
  <c r="Q393" i="18" a="1"/>
  <c r="Q393" i="18" s="1"/>
  <c r="Q394" i="18" a="1"/>
  <c r="Q394" i="18" s="1"/>
  <c r="Q395" i="18" a="1"/>
  <c r="Q395" i="18"/>
  <c r="Q396" i="18" a="1"/>
  <c r="Q396" i="18"/>
  <c r="Q397" i="18" a="1"/>
  <c r="Q397" i="18"/>
  <c r="Q398" i="18" a="1"/>
  <c r="Q398" i="18"/>
  <c r="Q399" i="18" a="1"/>
  <c r="Q399" i="18" s="1"/>
  <c r="Q400" i="18" a="1"/>
  <c r="Q400" i="18" s="1"/>
  <c r="Q401" i="18" a="1"/>
  <c r="Q401" i="18" s="1"/>
  <c r="Q402" i="18" a="1"/>
  <c r="Q402" i="18" s="1"/>
  <c r="Q403" i="18" a="1"/>
  <c r="Q403" i="18"/>
  <c r="Q404" i="18" a="1"/>
  <c r="Q404" i="18" s="1"/>
  <c r="Q405" i="18" a="1"/>
  <c r="Q405" i="18"/>
  <c r="Q406" i="18" a="1"/>
  <c r="Q406" i="18"/>
  <c r="Q407" i="18" a="1"/>
  <c r="Q407" i="18" s="1"/>
  <c r="Q408" i="18" a="1"/>
  <c r="Q408" i="18" s="1"/>
  <c r="Q409" i="18" a="1"/>
  <c r="Q409" i="18" s="1"/>
  <c r="Q410" i="18" a="1"/>
  <c r="Q410" i="18"/>
  <c r="Q411" i="18" a="1"/>
  <c r="Q411" i="18" s="1"/>
  <c r="Q412" i="18" a="1"/>
  <c r="Q412" i="18" s="1"/>
  <c r="Q413" i="18" a="1"/>
  <c r="Q413" i="18" s="1"/>
  <c r="Q414" i="18" a="1"/>
  <c r="Q414" i="18" s="1"/>
  <c r="Q415" i="18" a="1"/>
  <c r="Q415" i="18" s="1"/>
  <c r="Q416" i="18" a="1"/>
  <c r="Q416" i="18" s="1"/>
  <c r="Q417" i="18" a="1"/>
  <c r="Q417" i="18" s="1"/>
  <c r="Q418" i="18" a="1"/>
  <c r="Q418" i="18" s="1"/>
  <c r="Q419" i="18" a="1"/>
  <c r="Q419" i="18" s="1"/>
  <c r="Q420" i="18" a="1"/>
  <c r="Q420" i="18" s="1"/>
  <c r="Q421" i="18" a="1"/>
  <c r="Q421" i="18" s="1"/>
  <c r="Q422" i="18" a="1"/>
  <c r="Q422" i="18" s="1"/>
  <c r="Q423" i="18" a="1"/>
  <c r="Q423" i="18" s="1"/>
  <c r="Q424" i="18" a="1"/>
  <c r="Q424" i="18" s="1"/>
  <c r="Q425" i="18" a="1"/>
  <c r="Q425" i="18" s="1"/>
  <c r="Q426" i="18" a="1"/>
  <c r="Q426" i="18" s="1"/>
  <c r="Q427" i="18" a="1"/>
  <c r="Q427" i="18"/>
  <c r="Q428" i="18" a="1"/>
  <c r="Q428" i="18"/>
  <c r="Q429" i="18" a="1"/>
  <c r="Q429" i="18" s="1"/>
  <c r="Q430" i="18" a="1"/>
  <c r="Q430" i="18" s="1"/>
  <c r="Q431" i="18" a="1"/>
  <c r="Q431" i="18" s="1"/>
  <c r="Q432" i="18" a="1"/>
  <c r="Q432" i="18" s="1"/>
  <c r="Q433" i="18" a="1"/>
  <c r="Q433" i="18" s="1"/>
  <c r="Q434" i="18" a="1"/>
  <c r="Q434" i="18" s="1"/>
  <c r="Q435" i="18" a="1"/>
  <c r="Q435" i="18"/>
  <c r="Q436" i="18" a="1"/>
  <c r="Q436" i="18" s="1"/>
  <c r="Q437" i="18" a="1"/>
  <c r="Q437" i="18" s="1"/>
  <c r="Q438" i="18" a="1"/>
  <c r="Q438" i="18" s="1"/>
  <c r="Q439" i="18" a="1"/>
  <c r="Q439" i="18" s="1"/>
  <c r="Q440" i="18" a="1"/>
  <c r="Q440" i="18"/>
  <c r="Q441" i="18" a="1"/>
  <c r="Q441" i="18" s="1"/>
  <c r="Q442" i="18" a="1"/>
  <c r="Q442" i="18" s="1"/>
  <c r="Q443" i="18" a="1"/>
  <c r="Q443" i="18" s="1"/>
  <c r="Q444" i="18" a="1"/>
  <c r="Q444" i="18" s="1"/>
  <c r="Q445" i="18" a="1"/>
  <c r="Q445" i="18" s="1"/>
  <c r="Q446" i="18" a="1"/>
  <c r="Q446" i="18"/>
  <c r="Q447" i="18" a="1"/>
  <c r="Q447" i="18" s="1"/>
  <c r="Q448" i="18" a="1"/>
  <c r="Q448" i="18" s="1"/>
  <c r="Q449" i="18" a="1"/>
  <c r="Q449" i="18" s="1"/>
  <c r="Q450" i="18" a="1"/>
  <c r="Q450" i="18"/>
  <c r="Q451" i="18" a="1"/>
  <c r="Q451" i="18"/>
  <c r="Q452" i="18" a="1"/>
  <c r="Q452" i="18"/>
  <c r="R452" i="18" s="1"/>
  <c r="U452" i="18" s="1"/>
  <c r="Q453" i="18" a="1"/>
  <c r="Q453" i="18"/>
  <c r="Q454" i="18" a="1"/>
  <c r="Q454" i="18" s="1"/>
  <c r="Q455" i="18" a="1"/>
  <c r="Q455" i="18" s="1"/>
  <c r="Q456" i="18" a="1"/>
  <c r="Q456" i="18" s="1"/>
  <c r="Q457" i="18" a="1"/>
  <c r="Q457" i="18" s="1"/>
  <c r="Q458" i="18" a="1"/>
  <c r="Q458" i="18" s="1"/>
  <c r="Q459" i="18" a="1"/>
  <c r="Q459" i="18" s="1"/>
  <c r="Q460" i="18" a="1"/>
  <c r="Q460" i="18" s="1"/>
  <c r="Q461" i="18" a="1"/>
  <c r="Q461" i="18" s="1"/>
  <c r="Q462" i="18" a="1"/>
  <c r="Q462" i="18" s="1"/>
  <c r="Q463" i="18" a="1"/>
  <c r="Q463" i="18" s="1"/>
  <c r="Q464" i="18" a="1"/>
  <c r="Q464" i="18" s="1"/>
  <c r="Q465" i="18" a="1"/>
  <c r="Q465" i="18" s="1"/>
  <c r="Q466" i="18" a="1"/>
  <c r="Q466" i="18" s="1"/>
  <c r="Q467" i="18" a="1"/>
  <c r="Q467" i="18"/>
  <c r="Q468" i="18" a="1"/>
  <c r="Q468" i="18" s="1"/>
  <c r="Q469" i="18" a="1"/>
  <c r="Q469" i="18" s="1"/>
  <c r="Q470" i="18" a="1"/>
  <c r="Q470" i="18" s="1"/>
  <c r="Q471" i="18" a="1"/>
  <c r="Q471" i="18" s="1"/>
  <c r="Q472" i="18" a="1"/>
  <c r="Q472" i="18"/>
  <c r="Q473" i="18" a="1"/>
  <c r="Q473" i="18" s="1"/>
  <c r="Q474" i="18" a="1"/>
  <c r="Q474" i="18" s="1"/>
  <c r="Q475" i="18" a="1"/>
  <c r="Q475" i="18" s="1"/>
  <c r="Q476" i="18" a="1"/>
  <c r="Q476" i="18" s="1"/>
  <c r="Q477" i="18" a="1"/>
  <c r="Q477" i="18"/>
  <c r="Q478" i="18" a="1"/>
  <c r="Q478" i="18" s="1"/>
  <c r="Q479" i="18" a="1"/>
  <c r="Q479" i="18" s="1"/>
  <c r="Q480" i="18" a="1"/>
  <c r="Q480" i="18" s="1"/>
  <c r="Q481" i="18" a="1"/>
  <c r="Q481" i="18" s="1"/>
  <c r="Q482" i="18" a="1"/>
  <c r="Q482" i="18" s="1"/>
  <c r="Q483" i="18" a="1"/>
  <c r="Q483" i="18"/>
  <c r="Q484" i="18" a="1"/>
  <c r="Q484" i="18" s="1"/>
  <c r="Q485" i="18" a="1"/>
  <c r="Q485" i="18" s="1"/>
  <c r="Q486" i="18" a="1"/>
  <c r="Q486" i="18"/>
  <c r="Q487" i="18" a="1"/>
  <c r="Q487" i="18" s="1"/>
  <c r="Q488" i="18" a="1"/>
  <c r="Q488" i="18" s="1"/>
  <c r="Q489" i="18" a="1"/>
  <c r="Q489" i="18" s="1"/>
  <c r="Q490" i="18" a="1"/>
  <c r="Q490" i="18" s="1"/>
  <c r="Q491" i="18" a="1"/>
  <c r="Q491" i="18" s="1"/>
  <c r="R451" i="18"/>
  <c r="S2" i="18" a="1"/>
  <c r="S2" i="18" s="1"/>
  <c r="S4" i="18" a="1"/>
  <c r="S4" i="18"/>
  <c r="S5" i="18" a="1"/>
  <c r="S5" i="18" s="1"/>
  <c r="S7" i="18" a="1"/>
  <c r="S7" i="18" s="1"/>
  <c r="S11" i="18" a="1"/>
  <c r="S11" i="18" s="1"/>
  <c r="S13" i="18" a="1"/>
  <c r="S13" i="18" s="1"/>
  <c r="S15" i="18" a="1"/>
  <c r="S15" i="18" s="1"/>
  <c r="S16" i="18" a="1"/>
  <c r="S16" i="18" s="1"/>
  <c r="S17" i="18" a="1"/>
  <c r="S17" i="18" s="1"/>
  <c r="S18" i="18" a="1"/>
  <c r="S18" i="18" s="1"/>
  <c r="S20" i="18" a="1"/>
  <c r="S20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2" i="18" a="1"/>
  <c r="S32" i="18" s="1"/>
  <c r="S34" i="18" a="1"/>
  <c r="S34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6" i="18" a="1"/>
  <c r="S46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60" i="18" a="1"/>
  <c r="S60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2" i="18" a="1"/>
  <c r="S72" i="18" s="1"/>
  <c r="S73" i="18" a="1"/>
  <c r="S73" i="18"/>
  <c r="S74" i="18" a="1"/>
  <c r="S74" i="18" s="1"/>
  <c r="S75" i="18" a="1"/>
  <c r="S75" i="18" s="1"/>
  <c r="S76" i="18" a="1"/>
  <c r="S76" i="18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/>
  <c r="S104" i="18" a="1"/>
  <c r="S104" i="18" s="1"/>
  <c r="S105" i="18" a="1"/>
  <c r="S105" i="18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/>
  <c r="S424" i="18" a="1"/>
  <c r="S424" i="18" s="1"/>
  <c r="S425" i="18" a="1"/>
  <c r="S425" i="18"/>
  <c r="S426" i="18" a="1"/>
  <c r="S426" i="18" s="1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/>
  <c r="S458" i="18" a="1"/>
  <c r="S458" i="18" s="1"/>
  <c r="S459" i="18" a="1"/>
  <c r="S459" i="18" s="1"/>
  <c r="S460" i="18" a="1"/>
  <c r="S460" i="18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 s="1"/>
  <c r="S467" i="18" a="1"/>
  <c r="S467" i="18" s="1"/>
  <c r="S468" i="18" a="1"/>
  <c r="S468" i="18" s="1"/>
  <c r="S469" i="18" a="1"/>
  <c r="S469" i="18" s="1"/>
  <c r="S470" i="18" a="1"/>
  <c r="S470" i="18" s="1"/>
  <c r="S471" i="18" a="1"/>
  <c r="S471" i="18" s="1"/>
  <c r="S472" i="18" a="1"/>
  <c r="S472" i="18" s="1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 s="1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 s="1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/>
  <c r="T11" i="18" a="1"/>
  <c r="T11" i="18" s="1"/>
  <c r="T12" i="18" a="1"/>
  <c r="T12" i="18" s="1"/>
  <c r="T13" i="18" a="1"/>
  <c r="T13" i="18" s="1"/>
  <c r="T14" i="18" a="1"/>
  <c r="T14" i="18" s="1"/>
  <c r="T15" i="18" a="1"/>
  <c r="T15" i="18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/>
  <c r="T172" i="18" a="1"/>
  <c r="T172" i="18"/>
  <c r="T173" i="18" a="1"/>
  <c r="T173" i="18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/>
  <c r="T197" i="18" a="1"/>
  <c r="T197" i="18"/>
  <c r="T198" i="18" a="1"/>
  <c r="T198" i="18" s="1"/>
  <c r="T199" i="18" a="1"/>
  <c r="T199" i="18" s="1"/>
  <c r="T200" i="18" a="1"/>
  <c r="T200" i="18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/>
  <c r="T208" i="18" a="1"/>
  <c r="T208" i="18" s="1"/>
  <c r="T209" i="18" a="1"/>
  <c r="T209" i="18"/>
  <c r="T210" i="18" a="1"/>
  <c r="T210" i="18" s="1"/>
  <c r="T211" i="18" a="1"/>
  <c r="T211" i="18" s="1"/>
  <c r="T212" i="18" a="1"/>
  <c r="T212" i="18" s="1"/>
  <c r="T213" i="18" a="1"/>
  <c r="T213" i="18"/>
  <c r="T214" i="18" a="1"/>
  <c r="T214" i="18" s="1"/>
  <c r="T215" i="18" a="1"/>
  <c r="T215" i="18" s="1"/>
  <c r="T216" i="18" a="1"/>
  <c r="T216" i="18"/>
  <c r="T217" i="18" a="1"/>
  <c r="T217" i="18" s="1"/>
  <c r="T218" i="18" a="1"/>
  <c r="T218" i="18" s="1"/>
  <c r="T219" i="18" a="1"/>
  <c r="T219" i="18" s="1"/>
  <c r="T220" i="18" a="1"/>
  <c r="T220" i="18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/>
  <c r="T238" i="18" a="1"/>
  <c r="T238" i="18" s="1"/>
  <c r="T239" i="18" a="1"/>
  <c r="T239" i="18" s="1"/>
  <c r="T240" i="18" a="1"/>
  <c r="T240" i="18" s="1"/>
  <c r="T241" i="18" a="1"/>
  <c r="T241" i="18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/>
  <c r="T249" i="18" a="1"/>
  <c r="T249" i="18"/>
  <c r="T250" i="18" a="1"/>
  <c r="T250" i="18" s="1"/>
  <c r="T251" i="18" a="1"/>
  <c r="T251" i="18" s="1"/>
  <c r="T252" i="18" a="1"/>
  <c r="T252" i="18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 s="1"/>
  <c r="T489" i="18" a="1"/>
  <c r="T489" i="18" s="1"/>
  <c r="T490" i="18" a="1"/>
  <c r="T490" i="18" s="1"/>
  <c r="T491" i="18" a="1"/>
  <c r="T491" i="18" s="1"/>
  <c r="U98" i="18"/>
  <c r="U230" i="18"/>
  <c r="U334" i="18"/>
  <c r="U387" i="18"/>
  <c r="U407" i="18"/>
  <c r="U451" i="18"/>
  <c r="U487" i="18"/>
  <c r="L2" i="17"/>
  <c r="L12" i="17"/>
  <c r="L13" i="17"/>
  <c r="L14" i="17"/>
  <c r="L15" i="17"/>
  <c r="L16" i="17"/>
  <c r="L17" i="17"/>
  <c r="L72" i="17"/>
  <c r="L82" i="17"/>
  <c r="L122" i="17"/>
  <c r="L92" i="17"/>
  <c r="L102" i="17"/>
  <c r="L112" i="17"/>
  <c r="L132" i="17"/>
  <c r="L142" i="17"/>
  <c r="L152" i="17"/>
  <c r="L162" i="17"/>
  <c r="L3" i="17"/>
  <c r="L18" i="17"/>
  <c r="L19" i="17"/>
  <c r="L20" i="17"/>
  <c r="L21" i="17"/>
  <c r="L22" i="17"/>
  <c r="L23" i="17"/>
  <c r="L73" i="17"/>
  <c r="L83" i="17"/>
  <c r="L123" i="17"/>
  <c r="L93" i="17"/>
  <c r="L103" i="17"/>
  <c r="L113" i="17"/>
  <c r="L133" i="17"/>
  <c r="L143" i="17"/>
  <c r="L153" i="17"/>
  <c r="L163" i="17"/>
  <c r="L4" i="17"/>
  <c r="L24" i="17"/>
  <c r="L25" i="17"/>
  <c r="L26" i="17"/>
  <c r="L27" i="17"/>
  <c r="L28" i="17"/>
  <c r="L29" i="17"/>
  <c r="L74" i="17"/>
  <c r="L84" i="17"/>
  <c r="L124" i="17"/>
  <c r="L94" i="17"/>
  <c r="L104" i="17"/>
  <c r="L114" i="17"/>
  <c r="L134" i="17"/>
  <c r="L144" i="17"/>
  <c r="L154" i="17"/>
  <c r="L164" i="17"/>
  <c r="L5" i="17"/>
  <c r="L30" i="17"/>
  <c r="L31" i="17"/>
  <c r="L32" i="17"/>
  <c r="L33" i="17"/>
  <c r="L34" i="17"/>
  <c r="L35" i="17"/>
  <c r="L75" i="17"/>
  <c r="L85" i="17"/>
  <c r="L125" i="17"/>
  <c r="L95" i="17"/>
  <c r="L105" i="17"/>
  <c r="L115" i="17"/>
  <c r="L135" i="17"/>
  <c r="R135" i="17" s="1" a="1"/>
  <c r="R135" i="17" s="1"/>
  <c r="L145" i="17"/>
  <c r="L155" i="17"/>
  <c r="L165" i="17"/>
  <c r="L6" i="17"/>
  <c r="L36" i="17"/>
  <c r="L37" i="17"/>
  <c r="L38" i="17"/>
  <c r="L39" i="17"/>
  <c r="L40" i="17"/>
  <c r="L41" i="17"/>
  <c r="L76" i="17"/>
  <c r="L86" i="17"/>
  <c r="L126" i="17"/>
  <c r="L96" i="17"/>
  <c r="L106" i="17"/>
  <c r="L116" i="17"/>
  <c r="L136" i="17"/>
  <c r="L146" i="17"/>
  <c r="L156" i="17"/>
  <c r="L166" i="17"/>
  <c r="L7" i="17"/>
  <c r="L42" i="17"/>
  <c r="L43" i="17"/>
  <c r="L44" i="17"/>
  <c r="L45" i="17"/>
  <c r="O45" i="17" s="1" a="1"/>
  <c r="O45" i="17" s="1"/>
  <c r="L46" i="17"/>
  <c r="L47" i="17"/>
  <c r="R136" i="17" s="1" a="1"/>
  <c r="R136" i="17" s="1"/>
  <c r="L77" i="17"/>
  <c r="R77" i="17" s="1" a="1"/>
  <c r="R77" i="17" s="1"/>
  <c r="L87" i="17"/>
  <c r="L127" i="17"/>
  <c r="L97" i="17"/>
  <c r="L107" i="17"/>
  <c r="R107" i="17" s="1" a="1"/>
  <c r="R107" i="17" s="1"/>
  <c r="L117" i="17"/>
  <c r="L137" i="17"/>
  <c r="L147" i="17"/>
  <c r="L157" i="17"/>
  <c r="L167" i="17"/>
  <c r="L8" i="17"/>
  <c r="L48" i="17"/>
  <c r="L49" i="17"/>
  <c r="L50" i="17"/>
  <c r="L51" i="17"/>
  <c r="L52" i="17"/>
  <c r="R122" i="17" s="1" a="1"/>
  <c r="R122" i="17" s="1"/>
  <c r="L53" i="17"/>
  <c r="L78" i="17"/>
  <c r="L88" i="17"/>
  <c r="L128" i="17"/>
  <c r="L98" i="17"/>
  <c r="O98" i="17" s="1" a="1"/>
  <c r="O98" i="17" s="1"/>
  <c r="L108" i="17"/>
  <c r="L118" i="17"/>
  <c r="L138" i="17"/>
  <c r="L148" i="17"/>
  <c r="L158" i="17"/>
  <c r="L168" i="17"/>
  <c r="L9" i="17"/>
  <c r="L54" i="17"/>
  <c r="L55" i="17"/>
  <c r="L56" i="17"/>
  <c r="L57" i="17"/>
  <c r="L58" i="17"/>
  <c r="S35" i="17" s="1" a="1"/>
  <c r="S35" i="17" s="1"/>
  <c r="L59" i="17"/>
  <c r="L79" i="17"/>
  <c r="L89" i="17"/>
  <c r="L129" i="17"/>
  <c r="O129" i="17" s="1" a="1"/>
  <c r="O129" i="17" s="1"/>
  <c r="L99" i="17"/>
  <c r="L109" i="17"/>
  <c r="L119" i="17"/>
  <c r="L139" i="17"/>
  <c r="L149" i="17"/>
  <c r="L159" i="17"/>
  <c r="L169" i="17"/>
  <c r="L10" i="17"/>
  <c r="L60" i="17"/>
  <c r="L61" i="17"/>
  <c r="L62" i="17"/>
  <c r="O62" i="17" s="1" a="1"/>
  <c r="O62" i="17" s="1"/>
  <c r="L63" i="17"/>
  <c r="R59" i="17" s="1" a="1"/>
  <c r="R59" i="17" s="1"/>
  <c r="L64" i="17"/>
  <c r="L65" i="17"/>
  <c r="L80" i="17"/>
  <c r="L90" i="17"/>
  <c r="O90" i="17" s="1" a="1"/>
  <c r="O90" i="17" s="1"/>
  <c r="L130" i="17"/>
  <c r="L100" i="17"/>
  <c r="L110" i="17"/>
  <c r="L120" i="17"/>
  <c r="L140" i="17"/>
  <c r="T140" i="17" s="1" a="1"/>
  <c r="T140" i="17" s="1"/>
  <c r="L150" i="17"/>
  <c r="L160" i="17"/>
  <c r="L170" i="17"/>
  <c r="L11" i="17"/>
  <c r="O139" i="17" s="1" a="1"/>
  <c r="O139" i="17" s="1"/>
  <c r="L66" i="17"/>
  <c r="L67" i="17"/>
  <c r="L68" i="17"/>
  <c r="T25" i="17" s="1" a="1"/>
  <c r="T25" i="17" s="1"/>
  <c r="L69" i="17"/>
  <c r="L70" i="17"/>
  <c r="L71" i="17"/>
  <c r="L81" i="17"/>
  <c r="R131" i="17" s="1" a="1"/>
  <c r="R131" i="17" s="1"/>
  <c r="L91" i="17"/>
  <c r="L131" i="17"/>
  <c r="L101" i="17"/>
  <c r="L111" i="17"/>
  <c r="L121" i="17"/>
  <c r="O157" i="17" s="1" a="1"/>
  <c r="O157" i="17" s="1"/>
  <c r="L141" i="17"/>
  <c r="L151" i="17"/>
  <c r="L161" i="17"/>
  <c r="L171" i="17"/>
  <c r="M2" i="17" a="1"/>
  <c r="M2" i="17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72" i="17" a="1"/>
  <c r="M72" i="17" s="1"/>
  <c r="Y72" i="17" s="1"/>
  <c r="M82" i="17" a="1"/>
  <c r="M82" i="17"/>
  <c r="M122" i="17" a="1"/>
  <c r="M122" i="17"/>
  <c r="M92" i="17" a="1"/>
  <c r="M92" i="17"/>
  <c r="M102" i="17" a="1"/>
  <c r="M102" i="17" s="1"/>
  <c r="M112" i="17" a="1"/>
  <c r="M112" i="17" s="1"/>
  <c r="M132" i="17" a="1"/>
  <c r="M132" i="17" s="1"/>
  <c r="M142" i="17" a="1"/>
  <c r="M142" i="17" s="1"/>
  <c r="M152" i="17" a="1"/>
  <c r="M152" i="17" s="1"/>
  <c r="M162" i="17" a="1"/>
  <c r="M162" i="17"/>
  <c r="M3" i="17" a="1"/>
  <c r="M3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Y22" i="17" s="1"/>
  <c r="M23" i="17" a="1"/>
  <c r="M23" i="17" s="1"/>
  <c r="M73" i="17" a="1"/>
  <c r="M73" i="17" s="1"/>
  <c r="M83" i="17" a="1"/>
  <c r="M83" i="17" s="1"/>
  <c r="M123" i="17" a="1"/>
  <c r="M123" i="17" s="1"/>
  <c r="M93" i="17" a="1"/>
  <c r="M93" i="17" s="1"/>
  <c r="M103" i="17" a="1"/>
  <c r="M103" i="17" s="1"/>
  <c r="M113" i="17" a="1"/>
  <c r="M113" i="17" s="1"/>
  <c r="M133" i="17" a="1"/>
  <c r="M133" i="17" s="1"/>
  <c r="M143" i="17" a="1"/>
  <c r="M143" i="17" s="1"/>
  <c r="M153" i="17" a="1"/>
  <c r="M153" i="17" s="1"/>
  <c r="M163" i="17" a="1"/>
  <c r="M163" i="17"/>
  <c r="M4" i="17" a="1"/>
  <c r="M4" i="17" s="1"/>
  <c r="M24" i="17" a="1"/>
  <c r="M24" i="17" s="1"/>
  <c r="M25" i="17" a="1"/>
  <c r="M25" i="17" s="1"/>
  <c r="M26" i="17" a="1"/>
  <c r="M26" i="17" s="1"/>
  <c r="M27" i="17" a="1"/>
  <c r="M27" i="17"/>
  <c r="M28" i="17" a="1"/>
  <c r="M28" i="17" s="1"/>
  <c r="M29" i="17" a="1"/>
  <c r="M29" i="17" s="1"/>
  <c r="M74" i="17" a="1"/>
  <c r="M74" i="17" s="1"/>
  <c r="M84" i="17" a="1"/>
  <c r="M84" i="17" s="1"/>
  <c r="M124" i="17" a="1"/>
  <c r="M124" i="17" s="1"/>
  <c r="M94" i="17" a="1"/>
  <c r="M94" i="17" s="1"/>
  <c r="M104" i="17" a="1"/>
  <c r="M104" i="17" s="1"/>
  <c r="M114" i="17" a="1"/>
  <c r="M114" i="17" s="1"/>
  <c r="M134" i="17" a="1"/>
  <c r="M134" i="17" s="1"/>
  <c r="M144" i="17" a="1"/>
  <c r="M144" i="17" s="1"/>
  <c r="M154" i="17" a="1"/>
  <c r="M154" i="17" s="1"/>
  <c r="M164" i="17" a="1"/>
  <c r="M164" i="17" s="1"/>
  <c r="M5" i="17" a="1"/>
  <c r="M5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75" i="17" a="1"/>
  <c r="M75" i="17" s="1"/>
  <c r="M85" i="17" a="1"/>
  <c r="M85" i="17" s="1"/>
  <c r="M125" i="17" a="1"/>
  <c r="M125" i="17" s="1"/>
  <c r="M95" i="17" a="1"/>
  <c r="M95" i="17" s="1"/>
  <c r="M105" i="17" a="1"/>
  <c r="M105" i="17" s="1"/>
  <c r="M115" i="17" a="1"/>
  <c r="M115" i="17" s="1"/>
  <c r="M135" i="17" a="1"/>
  <c r="M135" i="17" s="1"/>
  <c r="M145" i="17" a="1"/>
  <c r="M145" i="17" s="1"/>
  <c r="M155" i="17" a="1"/>
  <c r="M155" i="17" s="1"/>
  <c r="M165" i="17" a="1"/>
  <c r="M165" i="17" s="1"/>
  <c r="M6" i="17" a="1"/>
  <c r="M6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76" i="17" a="1"/>
  <c r="M76" i="17" s="1"/>
  <c r="M86" i="17" a="1"/>
  <c r="M86" i="17" s="1"/>
  <c r="M126" i="17" a="1"/>
  <c r="M126" i="17" s="1"/>
  <c r="M96" i="17" a="1"/>
  <c r="M96" i="17" s="1"/>
  <c r="M106" i="17" a="1"/>
  <c r="M106" i="17" s="1"/>
  <c r="M116" i="17" a="1"/>
  <c r="M116" i="17" s="1"/>
  <c r="M136" i="17" a="1"/>
  <c r="M136" i="17" s="1"/>
  <c r="M146" i="17" a="1"/>
  <c r="M146" i="17" s="1"/>
  <c r="M156" i="17" a="1"/>
  <c r="M156" i="17" s="1"/>
  <c r="M166" i="17" a="1"/>
  <c r="M166" i="17" s="1"/>
  <c r="M7" i="17" a="1"/>
  <c r="M7" i="17" s="1"/>
  <c r="M42" i="17" a="1"/>
  <c r="M42" i="17" s="1"/>
  <c r="M43" i="17" a="1"/>
  <c r="M43" i="17"/>
  <c r="M44" i="17" a="1"/>
  <c r="M44" i="17" s="1"/>
  <c r="M45" i="17" a="1"/>
  <c r="M45" i="17" s="1"/>
  <c r="M46" i="17" a="1"/>
  <c r="M46" i="17" s="1"/>
  <c r="M47" i="17" a="1"/>
  <c r="M47" i="17" s="1"/>
  <c r="M77" i="17" a="1"/>
  <c r="M77" i="17"/>
  <c r="M87" i="17" a="1"/>
  <c r="M87" i="17" s="1"/>
  <c r="M127" i="17" a="1"/>
  <c r="M127" i="17" s="1"/>
  <c r="M97" i="17" a="1"/>
  <c r="M97" i="17" s="1"/>
  <c r="M107" i="17" a="1"/>
  <c r="M107" i="17" s="1"/>
  <c r="M117" i="17" a="1"/>
  <c r="M117" i="17" s="1"/>
  <c r="M137" i="17" a="1"/>
  <c r="M137" i="17" s="1"/>
  <c r="M147" i="17" a="1"/>
  <c r="M147" i="17" s="1"/>
  <c r="M157" i="17" a="1"/>
  <c r="M157" i="17" s="1"/>
  <c r="M167" i="17" a="1"/>
  <c r="M167" i="17"/>
  <c r="M8" i="17" a="1"/>
  <c r="M8" i="17"/>
  <c r="M48" i="17" a="1"/>
  <c r="M48" i="17" s="1"/>
  <c r="M49" i="17" a="1"/>
  <c r="M49" i="17" s="1"/>
  <c r="M50" i="17" a="1"/>
  <c r="M50" i="17" s="1"/>
  <c r="M51" i="17" a="1"/>
  <c r="M51" i="17" s="1"/>
  <c r="M52" i="17" a="1"/>
  <c r="M52" i="17" s="1"/>
  <c r="M53" i="17" a="1"/>
  <c r="M53" i="17" s="1"/>
  <c r="M78" i="17" a="1"/>
  <c r="M78" i="17" s="1"/>
  <c r="M88" i="17" a="1"/>
  <c r="M88" i="17" s="1"/>
  <c r="M128" i="17" a="1"/>
  <c r="M128" i="17" s="1"/>
  <c r="M98" i="17" a="1"/>
  <c r="M98" i="17" s="1"/>
  <c r="M108" i="17" a="1"/>
  <c r="M108" i="17" s="1"/>
  <c r="M118" i="17" a="1"/>
  <c r="M118" i="17" s="1"/>
  <c r="M138" i="17" a="1"/>
  <c r="M138" i="17" s="1"/>
  <c r="M148" i="17" a="1"/>
  <c r="M148" i="17" s="1"/>
  <c r="M158" i="17" a="1"/>
  <c r="M158" i="17" s="1"/>
  <c r="M168" i="17" a="1"/>
  <c r="M168" i="17"/>
  <c r="M9" i="17" a="1"/>
  <c r="M9" i="17" s="1"/>
  <c r="M54" i="17" a="1"/>
  <c r="M54" i="17" s="1"/>
  <c r="M55" i="17" a="1"/>
  <c r="M55" i="17" s="1"/>
  <c r="M56" i="17" a="1"/>
  <c r="M56" i="17" s="1"/>
  <c r="M57" i="17" a="1"/>
  <c r="M57" i="17" s="1"/>
  <c r="M58" i="17" a="1"/>
  <c r="M58" i="17" s="1"/>
  <c r="M59" i="17" a="1"/>
  <c r="M59" i="17" s="1"/>
  <c r="M79" i="17" a="1"/>
  <c r="M79" i="17" s="1"/>
  <c r="M89" i="17" a="1"/>
  <c r="M89" i="17" s="1"/>
  <c r="M129" i="17" a="1"/>
  <c r="M129" i="17" s="1"/>
  <c r="M99" i="17" a="1"/>
  <c r="M99" i="17" s="1"/>
  <c r="M109" i="17" a="1"/>
  <c r="M109" i="17" s="1"/>
  <c r="M119" i="17" a="1"/>
  <c r="M119" i="17" s="1"/>
  <c r="M139" i="17" a="1"/>
  <c r="M139" i="17" s="1"/>
  <c r="M149" i="17" a="1"/>
  <c r="M149" i="17" s="1"/>
  <c r="M159" i="17" a="1"/>
  <c r="M159" i="17" s="1"/>
  <c r="M169" i="17" a="1"/>
  <c r="M169" i="17"/>
  <c r="M10" i="17" a="1"/>
  <c r="M10" i="17" s="1"/>
  <c r="M60" i="17" a="1"/>
  <c r="M60" i="17" s="1"/>
  <c r="M61" i="17" a="1"/>
  <c r="M61" i="17" s="1"/>
  <c r="M62" i="17" a="1"/>
  <c r="M62" i="17" s="1"/>
  <c r="M63" i="17" a="1"/>
  <c r="M63" i="17" s="1"/>
  <c r="M64" i="17" a="1"/>
  <c r="M64" i="17" s="1"/>
  <c r="M65" i="17" a="1"/>
  <c r="M65" i="17" s="1"/>
  <c r="M80" i="17" a="1"/>
  <c r="M80" i="17" s="1"/>
  <c r="M90" i="17" a="1"/>
  <c r="M90" i="17" s="1"/>
  <c r="M130" i="17" a="1"/>
  <c r="M130" i="17" s="1"/>
  <c r="M100" i="17" a="1"/>
  <c r="M100" i="17" s="1"/>
  <c r="M110" i="17" a="1"/>
  <c r="M110" i="17" s="1"/>
  <c r="M120" i="17" a="1"/>
  <c r="M120" i="17" s="1"/>
  <c r="M140" i="17" a="1"/>
  <c r="M140" i="17" s="1"/>
  <c r="M150" i="17" a="1"/>
  <c r="M150" i="17" s="1"/>
  <c r="M160" i="17" a="1"/>
  <c r="M160" i="17" s="1"/>
  <c r="M170" i="17" a="1"/>
  <c r="M170" i="17"/>
  <c r="M11" i="17" a="1"/>
  <c r="M11" i="17" s="1"/>
  <c r="M66" i="17" a="1"/>
  <c r="M66" i="17" s="1"/>
  <c r="M67" i="17" a="1"/>
  <c r="M67" i="17" s="1"/>
  <c r="M68" i="17" a="1"/>
  <c r="M68" i="17" s="1"/>
  <c r="M69" i="17" a="1"/>
  <c r="M69" i="17" s="1"/>
  <c r="M70" i="17" a="1"/>
  <c r="M70" i="17" s="1"/>
  <c r="M71" i="17" a="1"/>
  <c r="M71" i="17" s="1"/>
  <c r="M81" i="17" a="1"/>
  <c r="M81" i="17" s="1"/>
  <c r="M91" i="17" a="1"/>
  <c r="M91" i="17" s="1"/>
  <c r="M131" i="17" a="1"/>
  <c r="M131" i="17" s="1"/>
  <c r="M101" i="17" a="1"/>
  <c r="M101" i="17" s="1"/>
  <c r="M111" i="17" a="1"/>
  <c r="M111" i="17" s="1"/>
  <c r="M121" i="17" a="1"/>
  <c r="M121" i="17" s="1"/>
  <c r="M141" i="17" a="1"/>
  <c r="M141" i="17" s="1"/>
  <c r="M151" i="17" a="1"/>
  <c r="M151" i="17" s="1"/>
  <c r="M161" i="17" a="1"/>
  <c r="M161" i="17" s="1"/>
  <c r="M171" i="17" a="1"/>
  <c r="M171" i="17" s="1"/>
  <c r="O133" i="17" a="1"/>
  <c r="O133" i="17" s="1"/>
  <c r="O54" i="17" a="1"/>
  <c r="O54" i="17" s="1"/>
  <c r="O131" i="17" a="1"/>
  <c r="O131" i="17" s="1"/>
  <c r="P2" i="17" a="1"/>
  <c r="P2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72" i="17" a="1"/>
  <c r="P72" i="17" s="1"/>
  <c r="P82" i="17" a="1"/>
  <c r="P82" i="17" s="1"/>
  <c r="P122" i="17" a="1"/>
  <c r="P122" i="17"/>
  <c r="P92" i="17" a="1"/>
  <c r="P92" i="17" s="1"/>
  <c r="P102" i="17" a="1"/>
  <c r="P102" i="17" s="1"/>
  <c r="P112" i="17" a="1"/>
  <c r="P112" i="17" s="1"/>
  <c r="P132" i="17" a="1"/>
  <c r="P132" i="17" s="1"/>
  <c r="P142" i="17" a="1"/>
  <c r="P142" i="17" s="1"/>
  <c r="P152" i="17" a="1"/>
  <c r="P152" i="17" s="1"/>
  <c r="P162" i="17" a="1"/>
  <c r="P162" i="17" s="1"/>
  <c r="P3" i="17" a="1"/>
  <c r="P3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73" i="17" a="1"/>
  <c r="P73" i="17" s="1"/>
  <c r="P83" i="17" a="1"/>
  <c r="P83" i="17" s="1"/>
  <c r="P123" i="17" a="1"/>
  <c r="P123" i="17" s="1"/>
  <c r="P93" i="17" a="1"/>
  <c r="P93" i="17"/>
  <c r="P103" i="17" a="1"/>
  <c r="P103" i="17" s="1"/>
  <c r="P113" i="17" a="1"/>
  <c r="P113" i="17" s="1"/>
  <c r="P133" i="17" a="1"/>
  <c r="P133" i="17" s="1"/>
  <c r="P143" i="17" a="1"/>
  <c r="P143" i="17" s="1"/>
  <c r="P153" i="17" a="1"/>
  <c r="P153" i="17" s="1"/>
  <c r="P163" i="17" a="1"/>
  <c r="P163" i="17" s="1"/>
  <c r="P4" i="17" a="1"/>
  <c r="P4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74" i="17" a="1"/>
  <c r="P74" i="17" s="1"/>
  <c r="P84" i="17" a="1"/>
  <c r="P84" i="17" s="1"/>
  <c r="P124" i="17" a="1"/>
  <c r="P124" i="17"/>
  <c r="P94" i="17" a="1"/>
  <c r="P94" i="17" s="1"/>
  <c r="P104" i="17" a="1"/>
  <c r="P104" i="17" s="1"/>
  <c r="P114" i="17" a="1"/>
  <c r="P114" i="17" s="1"/>
  <c r="P134" i="17" a="1"/>
  <c r="P134" i="17" s="1"/>
  <c r="P144" i="17" a="1"/>
  <c r="P144" i="17" s="1"/>
  <c r="P154" i="17" a="1"/>
  <c r="P154" i="17" s="1"/>
  <c r="P164" i="17" a="1"/>
  <c r="P164" i="17" s="1"/>
  <c r="P5" i="17" a="1"/>
  <c r="P5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/>
  <c r="P35" i="17" a="1"/>
  <c r="P35" i="17" s="1"/>
  <c r="P75" i="17" a="1"/>
  <c r="P75" i="17" s="1"/>
  <c r="P85" i="17" a="1"/>
  <c r="P85" i="17" s="1"/>
  <c r="P125" i="17" a="1"/>
  <c r="P125" i="17"/>
  <c r="P95" i="17" a="1"/>
  <c r="P95" i="17" s="1"/>
  <c r="P105" i="17" a="1"/>
  <c r="P105" i="17" s="1"/>
  <c r="P115" i="17" a="1"/>
  <c r="P115" i="17" s="1"/>
  <c r="P135" i="17" a="1"/>
  <c r="P135" i="17" s="1"/>
  <c r="P145" i="17" a="1"/>
  <c r="P145" i="17" s="1"/>
  <c r="P155" i="17" a="1"/>
  <c r="P155" i="17" s="1"/>
  <c r="P165" i="17" a="1"/>
  <c r="P165" i="17" s="1"/>
  <c r="P6" i="17" a="1"/>
  <c r="P6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76" i="17" a="1"/>
  <c r="P76" i="17" s="1"/>
  <c r="P86" i="17" a="1"/>
  <c r="P86" i="17" s="1"/>
  <c r="P126" i="17" a="1"/>
  <c r="P126" i="17" s="1"/>
  <c r="P96" i="17" a="1"/>
  <c r="P96" i="17" s="1"/>
  <c r="P106" i="17" a="1"/>
  <c r="P106" i="17" s="1"/>
  <c r="P116" i="17" a="1"/>
  <c r="P116" i="17" s="1"/>
  <c r="P136" i="17" a="1"/>
  <c r="P136" i="17" s="1"/>
  <c r="P146" i="17" a="1"/>
  <c r="P146" i="17" s="1"/>
  <c r="P156" i="17" a="1"/>
  <c r="P156" i="17" s="1"/>
  <c r="P166" i="17" a="1"/>
  <c r="P166" i="17" s="1"/>
  <c r="P7" i="17" a="1"/>
  <c r="P7" i="17" s="1"/>
  <c r="P42" i="17" a="1"/>
  <c r="P42" i="17"/>
  <c r="P43" i="17" a="1"/>
  <c r="P43" i="17" s="1"/>
  <c r="P44" i="17" a="1"/>
  <c r="P44" i="17"/>
  <c r="P45" i="17" a="1"/>
  <c r="P45" i="17" s="1"/>
  <c r="P46" i="17" a="1"/>
  <c r="P46" i="17" s="1"/>
  <c r="P47" i="17" a="1"/>
  <c r="P47" i="17" s="1"/>
  <c r="P77" i="17" a="1"/>
  <c r="P77" i="17" s="1"/>
  <c r="P87" i="17" a="1"/>
  <c r="P87" i="17" s="1"/>
  <c r="P127" i="17" a="1"/>
  <c r="P127" i="17" s="1"/>
  <c r="P97" i="17" a="1"/>
  <c r="P97" i="17" s="1"/>
  <c r="P107" i="17" a="1"/>
  <c r="P107" i="17" s="1"/>
  <c r="P117" i="17" a="1"/>
  <c r="P117" i="17" s="1"/>
  <c r="P137" i="17" a="1"/>
  <c r="P137" i="17" s="1"/>
  <c r="P147" i="17" a="1"/>
  <c r="P147" i="17" s="1"/>
  <c r="P157" i="17" a="1"/>
  <c r="P157" i="17" s="1"/>
  <c r="P167" i="17" a="1"/>
  <c r="P167" i="17" s="1"/>
  <c r="P8" i="17" a="1"/>
  <c r="P8" i="17" s="1"/>
  <c r="P48" i="17" a="1"/>
  <c r="P48" i="17" s="1"/>
  <c r="P49" i="17" a="1"/>
  <c r="P49" i="17" s="1"/>
  <c r="P50" i="17" a="1"/>
  <c r="P50" i="17" s="1"/>
  <c r="P51" i="17" a="1"/>
  <c r="P51" i="17" s="1"/>
  <c r="P52" i="17" a="1"/>
  <c r="P52" i="17"/>
  <c r="P53" i="17" a="1"/>
  <c r="P53" i="17" s="1"/>
  <c r="P78" i="17" a="1"/>
  <c r="P78" i="17" s="1"/>
  <c r="P88" i="17" a="1"/>
  <c r="P88" i="17" s="1"/>
  <c r="P128" i="17" a="1"/>
  <c r="P128" i="17" s="1"/>
  <c r="P98" i="17" a="1"/>
  <c r="P98" i="17" s="1"/>
  <c r="P108" i="17" a="1"/>
  <c r="P108" i="17" s="1"/>
  <c r="P118" i="17" a="1"/>
  <c r="P118" i="17" s="1"/>
  <c r="P138" i="17" a="1"/>
  <c r="P138" i="17" s="1"/>
  <c r="P148" i="17" a="1"/>
  <c r="P148" i="17" s="1"/>
  <c r="P158" i="17" a="1"/>
  <c r="P158" i="17" s="1"/>
  <c r="P168" i="17" a="1"/>
  <c r="P168" i="17" s="1"/>
  <c r="P9" i="17" a="1"/>
  <c r="P9" i="17" s="1"/>
  <c r="P54" i="17" a="1"/>
  <c r="P54" i="17" s="1"/>
  <c r="P55" i="17" a="1"/>
  <c r="P55" i="17" s="1"/>
  <c r="P56" i="17" a="1"/>
  <c r="P56" i="17" s="1"/>
  <c r="P57" i="17" a="1"/>
  <c r="P57" i="17" s="1"/>
  <c r="P58" i="17" a="1"/>
  <c r="P58" i="17" s="1"/>
  <c r="P59" i="17" a="1"/>
  <c r="P59" i="17" s="1"/>
  <c r="P79" i="17" a="1"/>
  <c r="P79" i="17"/>
  <c r="P89" i="17" a="1"/>
  <c r="P89" i="17" s="1"/>
  <c r="P129" i="17" a="1"/>
  <c r="P129" i="17" s="1"/>
  <c r="P99" i="17" a="1"/>
  <c r="P99" i="17"/>
  <c r="P109" i="17" a="1"/>
  <c r="P109" i="17" s="1"/>
  <c r="P119" i="17" a="1"/>
  <c r="P119" i="17" s="1"/>
  <c r="P139" i="17" a="1"/>
  <c r="P139" i="17" s="1"/>
  <c r="P149" i="17" a="1"/>
  <c r="P149" i="17" s="1"/>
  <c r="P159" i="17" a="1"/>
  <c r="P159" i="17" s="1"/>
  <c r="P169" i="17" a="1"/>
  <c r="P169" i="17" s="1"/>
  <c r="P10" i="17" a="1"/>
  <c r="P10" i="17" s="1"/>
  <c r="P60" i="17" a="1"/>
  <c r="P60" i="17" s="1"/>
  <c r="P61" i="17" a="1"/>
  <c r="P61" i="17" s="1"/>
  <c r="P62" i="17" a="1"/>
  <c r="P62" i="17" s="1"/>
  <c r="P63" i="17" a="1"/>
  <c r="P63" i="17" s="1"/>
  <c r="P64" i="17" a="1"/>
  <c r="P64" i="17" s="1"/>
  <c r="P65" i="17" a="1"/>
  <c r="P65" i="17" s="1"/>
  <c r="P80" i="17" a="1"/>
  <c r="P80" i="17" s="1"/>
  <c r="P90" i="17" a="1"/>
  <c r="P90" i="17" s="1"/>
  <c r="P130" i="17" a="1"/>
  <c r="P130" i="17" s="1"/>
  <c r="P100" i="17" a="1"/>
  <c r="P100" i="17" s="1"/>
  <c r="P110" i="17" a="1"/>
  <c r="P110" i="17" s="1"/>
  <c r="P120" i="17" a="1"/>
  <c r="P120" i="17" s="1"/>
  <c r="P140" i="17" a="1"/>
  <c r="P140" i="17" s="1"/>
  <c r="P150" i="17" a="1"/>
  <c r="P150" i="17" s="1"/>
  <c r="P160" i="17" a="1"/>
  <c r="P160" i="17" s="1"/>
  <c r="P170" i="17" a="1"/>
  <c r="P170" i="17"/>
  <c r="P11" i="17" a="1"/>
  <c r="P11" i="17" s="1"/>
  <c r="P66" i="17" a="1"/>
  <c r="P66" i="17" s="1"/>
  <c r="P67" i="17" a="1"/>
  <c r="P67" i="17" s="1"/>
  <c r="P68" i="17" a="1"/>
  <c r="P68" i="17" s="1"/>
  <c r="P69" i="17" a="1"/>
  <c r="P69" i="17" s="1"/>
  <c r="P70" i="17" a="1"/>
  <c r="P70" i="17" s="1"/>
  <c r="P71" i="17" a="1"/>
  <c r="P71" i="17" s="1"/>
  <c r="P81" i="17" a="1"/>
  <c r="P81" i="17" s="1"/>
  <c r="P91" i="17" a="1"/>
  <c r="P91" i="17" s="1"/>
  <c r="P131" i="17" a="1"/>
  <c r="P131" i="17" s="1"/>
  <c r="P101" i="17" a="1"/>
  <c r="P101" i="17"/>
  <c r="P111" i="17" a="1"/>
  <c r="P111" i="17" s="1"/>
  <c r="P121" i="17" a="1"/>
  <c r="P121" i="17" s="1"/>
  <c r="P141" i="17" a="1"/>
  <c r="P141" i="17" s="1"/>
  <c r="P151" i="17" a="1"/>
  <c r="P151" i="17" s="1"/>
  <c r="P161" i="17" a="1"/>
  <c r="P161" i="17" s="1"/>
  <c r="P171" i="17" a="1"/>
  <c r="P171" i="17" s="1"/>
  <c r="R13" i="17" a="1"/>
  <c r="R13" i="17" s="1"/>
  <c r="R21" i="17" a="1"/>
  <c r="R21" i="17" s="1"/>
  <c r="R104" i="17" a="1"/>
  <c r="R104" i="17" s="1"/>
  <c r="R85" i="17" a="1"/>
  <c r="R85" i="17" s="1"/>
  <c r="R116" i="17" a="1"/>
  <c r="R116" i="17" s="1"/>
  <c r="R45" i="17" a="1"/>
  <c r="R45" i="17" s="1"/>
  <c r="R157" i="17" a="1"/>
  <c r="R157" i="17" s="1"/>
  <c r="R58" i="17" a="1"/>
  <c r="R58" i="17" s="1"/>
  <c r="R10" i="17" a="1"/>
  <c r="R10" i="17" s="1"/>
  <c r="R120" i="17" a="1"/>
  <c r="R120" i="17" s="1"/>
  <c r="R71" i="17" a="1"/>
  <c r="R71" i="17" s="1"/>
  <c r="R151" i="17" a="1"/>
  <c r="R151" i="17" s="1"/>
  <c r="R171" i="17" a="1"/>
  <c r="R171" i="17" s="1"/>
  <c r="S112" i="17" a="1"/>
  <c r="S112" i="17" s="1"/>
  <c r="S22" i="17" a="1"/>
  <c r="S22" i="17" s="1"/>
  <c r="S133" i="17" a="1"/>
  <c r="S133" i="17" s="1"/>
  <c r="S163" i="17" a="1"/>
  <c r="S163" i="17" s="1"/>
  <c r="S34" i="17" a="1"/>
  <c r="S34" i="17" s="1"/>
  <c r="S95" i="17" a="1"/>
  <c r="S95" i="17" s="1"/>
  <c r="S37" i="17" a="1"/>
  <c r="S37" i="17" s="1"/>
  <c r="S38" i="17" a="1"/>
  <c r="S38" i="17" s="1"/>
  <c r="S46" i="17" a="1"/>
  <c r="S46" i="17" s="1"/>
  <c r="S157" i="17" a="1"/>
  <c r="S157" i="17" s="1"/>
  <c r="S108" i="17" a="1"/>
  <c r="S108" i="17" s="1"/>
  <c r="S138" i="17" a="1"/>
  <c r="S138" i="17" s="1"/>
  <c r="S79" i="17" a="1"/>
  <c r="S79" i="17" s="1"/>
  <c r="S89" i="17" a="1"/>
  <c r="S89" i="17" s="1"/>
  <c r="S63" i="17" a="1"/>
  <c r="S63" i="17" s="1"/>
  <c r="S160" i="17" a="1"/>
  <c r="S160" i="17" s="1"/>
  <c r="S170" i="17" a="1"/>
  <c r="S170" i="17" s="1"/>
  <c r="S131" i="17" a="1"/>
  <c r="S131" i="17" s="1"/>
  <c r="S101" i="17" a="1"/>
  <c r="S101" i="17" s="1"/>
  <c r="S161" i="17" a="1"/>
  <c r="S161" i="17" s="1"/>
  <c r="T17" i="17" a="1"/>
  <c r="T17" i="17" s="1"/>
  <c r="T82" i="17" a="1"/>
  <c r="T82" i="17" s="1"/>
  <c r="T20" i="17" a="1"/>
  <c r="T20" i="17" s="1"/>
  <c r="T21" i="17" a="1"/>
  <c r="T21" i="17" s="1"/>
  <c r="T103" i="17" a="1"/>
  <c r="T103" i="17" s="1"/>
  <c r="T143" i="17" a="1"/>
  <c r="T143" i="17" s="1"/>
  <c r="T153" i="17" a="1"/>
  <c r="T153" i="17" s="1"/>
  <c r="T27" i="17" a="1"/>
  <c r="T27" i="17" s="1"/>
  <c r="T28" i="17" a="1"/>
  <c r="T28" i="17" s="1"/>
  <c r="T134" i="17" a="1"/>
  <c r="T134" i="17" s="1"/>
  <c r="T144" i="17" a="1"/>
  <c r="T144" i="17" s="1"/>
  <c r="T5" i="17" a="1"/>
  <c r="T5" i="17" s="1"/>
  <c r="T30" i="17" a="1"/>
  <c r="T30" i="17" s="1"/>
  <c r="T95" i="17" a="1"/>
  <c r="T95" i="17"/>
  <c r="T145" i="17" a="1"/>
  <c r="T145" i="17" s="1"/>
  <c r="T155" i="17" a="1"/>
  <c r="T155" i="17" s="1"/>
  <c r="T39" i="17" a="1"/>
  <c r="T39" i="17" s="1"/>
  <c r="T40" i="17" a="1"/>
  <c r="T40" i="17" s="1"/>
  <c r="T106" i="17" a="1"/>
  <c r="T106" i="17" s="1"/>
  <c r="T116" i="17" a="1"/>
  <c r="T116" i="17" s="1"/>
  <c r="T7" i="17" a="1"/>
  <c r="T7" i="17" s="1"/>
  <c r="T42" i="17" a="1"/>
  <c r="T42" i="17" s="1"/>
  <c r="T45" i="17" a="1"/>
  <c r="T45" i="17" s="1"/>
  <c r="T127" i="17" a="1"/>
  <c r="T127" i="17" s="1"/>
  <c r="T97" i="17" a="1"/>
  <c r="T97" i="17" s="1"/>
  <c r="T147" i="17" a="1"/>
  <c r="T147" i="17" s="1"/>
  <c r="T167" i="17" a="1"/>
  <c r="T167" i="17" s="1"/>
  <c r="T8" i="17" a="1"/>
  <c r="T8" i="17" s="1"/>
  <c r="T78" i="17" a="1"/>
  <c r="T78" i="17" s="1"/>
  <c r="T88" i="17" a="1"/>
  <c r="T88" i="17" s="1"/>
  <c r="T118" i="17" a="1"/>
  <c r="T118" i="17" s="1"/>
  <c r="T138" i="17" a="1"/>
  <c r="T138" i="17" s="1"/>
  <c r="T9" i="17" a="1"/>
  <c r="T9" i="17" s="1"/>
  <c r="T54" i="17" a="1"/>
  <c r="T54" i="17" s="1"/>
  <c r="T79" i="17" a="1"/>
  <c r="T79" i="17" s="1"/>
  <c r="T99" i="17" a="1"/>
  <c r="T99" i="17" s="1"/>
  <c r="T109" i="17" a="1"/>
  <c r="T109" i="17" s="1"/>
  <c r="T149" i="17" a="1"/>
  <c r="T149" i="17" s="1"/>
  <c r="T159" i="17" a="1"/>
  <c r="T159" i="17" s="1"/>
  <c r="T63" i="17" a="1"/>
  <c r="T63" i="17" s="1"/>
  <c r="T64" i="17" a="1"/>
  <c r="T64" i="17" s="1"/>
  <c r="T90" i="17" a="1"/>
  <c r="T90" i="17" s="1"/>
  <c r="T130" i="17" a="1"/>
  <c r="T130" i="17" s="1"/>
  <c r="T110" i="17" a="1"/>
  <c r="T110" i="17" s="1"/>
  <c r="T160" i="17" a="1"/>
  <c r="T160" i="17" s="1"/>
  <c r="T11" i="17" a="1"/>
  <c r="T11" i="17" s="1"/>
  <c r="T69" i="17" a="1"/>
  <c r="T69" i="17" s="1"/>
  <c r="T70" i="17" a="1"/>
  <c r="T70" i="17" s="1"/>
  <c r="T91" i="17" a="1"/>
  <c r="T91" i="17" s="1"/>
  <c r="T121" i="17" a="1"/>
  <c r="T121" i="17" s="1"/>
  <c r="T151" i="17" a="1"/>
  <c r="T151" i="17" s="1"/>
  <c r="U12" i="17" a="1"/>
  <c r="U12" i="17" s="1"/>
  <c r="U15" i="17" a="1"/>
  <c r="U15" i="17" s="1"/>
  <c r="U82" i="17" a="1"/>
  <c r="U82" i="17" s="1"/>
  <c r="U92" i="17" a="1"/>
  <c r="U92" i="17" s="1"/>
  <c r="U102" i="17" a="1"/>
  <c r="U102" i="17" s="1"/>
  <c r="U152" i="17" a="1"/>
  <c r="U152" i="17" s="1"/>
  <c r="U162" i="17" a="1"/>
  <c r="U162" i="17" s="1"/>
  <c r="U18" i="17" a="1"/>
  <c r="U18" i="17" s="1"/>
  <c r="U19" i="17" a="1"/>
  <c r="U19" i="17" s="1"/>
  <c r="U22" i="17" a="1"/>
  <c r="U22" i="17" s="1"/>
  <c r="U73" i="17" a="1"/>
  <c r="U73" i="17" s="1"/>
  <c r="U83" i="17" a="1"/>
  <c r="U83" i="17" s="1"/>
  <c r="U103" i="17" a="1"/>
  <c r="U103" i="17" s="1"/>
  <c r="U113" i="17" a="1"/>
  <c r="U113" i="17" s="1"/>
  <c r="U153" i="17" a="1"/>
  <c r="U153" i="17" s="1"/>
  <c r="U163" i="17" a="1"/>
  <c r="U163" i="17" s="1"/>
  <c r="U24" i="17" a="1"/>
  <c r="U24" i="17" s="1"/>
  <c r="U25" i="17" a="1"/>
  <c r="U25" i="17" s="1"/>
  <c r="U27" i="17" a="1"/>
  <c r="U27" i="17" s="1"/>
  <c r="U29" i="17" a="1"/>
  <c r="U29" i="17" s="1"/>
  <c r="U74" i="17" a="1"/>
  <c r="U74" i="17" s="1"/>
  <c r="U94" i="17" a="1"/>
  <c r="U94" i="17" s="1"/>
  <c r="U104" i="17" a="1"/>
  <c r="U104" i="17" s="1"/>
  <c r="U134" i="17" a="1"/>
  <c r="U134" i="17" s="1"/>
  <c r="U144" i="17" a="1"/>
  <c r="U144" i="17" s="1"/>
  <c r="U164" i="17" a="1"/>
  <c r="U164" i="17" s="1"/>
  <c r="U5" i="17" a="1"/>
  <c r="U5" i="17" s="1"/>
  <c r="U31" i="17" a="1"/>
  <c r="U31" i="17" s="1"/>
  <c r="U32" i="17" a="1"/>
  <c r="U32" i="17"/>
  <c r="U35" i="17" a="1"/>
  <c r="U35" i="17" s="1"/>
  <c r="U125" i="17" a="1"/>
  <c r="U125" i="17"/>
  <c r="U105" i="17" a="1"/>
  <c r="U105" i="17" s="1"/>
  <c r="U115" i="17" a="1"/>
  <c r="U115" i="17" s="1"/>
  <c r="U145" i="17" a="1"/>
  <c r="U145" i="17" s="1"/>
  <c r="U165" i="17" a="1"/>
  <c r="U165" i="17" s="1"/>
  <c r="U6" i="17" a="1"/>
  <c r="U6" i="17" s="1"/>
  <c r="U36" i="17" a="1"/>
  <c r="U36" i="17" s="1"/>
  <c r="U37" i="17" a="1"/>
  <c r="U37" i="17" s="1"/>
  <c r="U38" i="17" a="1"/>
  <c r="U38" i="17" s="1"/>
  <c r="U39" i="17" a="1"/>
  <c r="U39" i="17" s="1"/>
  <c r="U40" i="17" a="1"/>
  <c r="U40" i="17" s="1"/>
  <c r="U41" i="17" a="1"/>
  <c r="U41" i="17" s="1"/>
  <c r="U76" i="17" a="1"/>
  <c r="U76" i="17" s="1"/>
  <c r="U86" i="17" a="1"/>
  <c r="U86" i="17" s="1"/>
  <c r="U126" i="17" a="1"/>
  <c r="U126" i="17" s="1"/>
  <c r="U106" i="17" a="1"/>
  <c r="U106" i="17" s="1"/>
  <c r="U116" i="17" a="1"/>
  <c r="U116" i="17" s="1"/>
  <c r="U136" i="17" a="1"/>
  <c r="U136" i="17" s="1"/>
  <c r="U156" i="17" a="1"/>
  <c r="U156" i="17" s="1"/>
  <c r="U166" i="17" a="1"/>
  <c r="U166" i="17" s="1"/>
  <c r="U7" i="17" a="1"/>
  <c r="U7" i="17" s="1"/>
  <c r="U42" i="17" a="1"/>
  <c r="U42" i="17" s="1"/>
  <c r="U43" i="17" a="1"/>
  <c r="U43" i="17" s="1"/>
  <c r="U44" i="17" a="1"/>
  <c r="U44" i="17" s="1"/>
  <c r="U45" i="17" a="1"/>
  <c r="U45" i="17" s="1"/>
  <c r="U46" i="17" a="1"/>
  <c r="U46" i="17" s="1"/>
  <c r="U47" i="17" a="1"/>
  <c r="U47" i="17" s="1"/>
  <c r="U77" i="17" a="1"/>
  <c r="U77" i="17" s="1"/>
  <c r="U127" i="17" a="1"/>
  <c r="U127" i="17" s="1"/>
  <c r="U97" i="17" a="1"/>
  <c r="U97" i="17" s="1"/>
  <c r="U107" i="17" a="1"/>
  <c r="U107" i="17" s="1"/>
  <c r="U117" i="17" a="1"/>
  <c r="U117" i="17" s="1"/>
  <c r="U137" i="17" a="1"/>
  <c r="U137" i="17" s="1"/>
  <c r="U147" i="17" a="1"/>
  <c r="U147" i="17" s="1"/>
  <c r="U157" i="17" a="1"/>
  <c r="U157" i="17" s="1"/>
  <c r="U167" i="17" a="1"/>
  <c r="U167" i="17" s="1"/>
  <c r="U8" i="17" a="1"/>
  <c r="U8" i="17" s="1"/>
  <c r="U48" i="17" a="1"/>
  <c r="U48" i="17" s="1"/>
  <c r="U49" i="17" a="1"/>
  <c r="U49" i="17" s="1"/>
  <c r="U50" i="17" a="1"/>
  <c r="U50" i="17"/>
  <c r="U52" i="17" a="1"/>
  <c r="U52" i="17" s="1"/>
  <c r="U53" i="17" a="1"/>
  <c r="U53" i="17" s="1"/>
  <c r="U88" i="17" a="1"/>
  <c r="U88" i="17" s="1"/>
  <c r="U128" i="17" a="1"/>
  <c r="U128" i="17" s="1"/>
  <c r="U98" i="17" a="1"/>
  <c r="U98" i="17" s="1"/>
  <c r="U108" i="17" a="1"/>
  <c r="U108" i="17" s="1"/>
  <c r="U118" i="17" a="1"/>
  <c r="U118" i="17" s="1"/>
  <c r="U138" i="17" a="1"/>
  <c r="U138" i="17" s="1"/>
  <c r="U148" i="17" a="1"/>
  <c r="U148" i="17" s="1"/>
  <c r="U158" i="17" a="1"/>
  <c r="U158" i="17"/>
  <c r="U168" i="17" a="1"/>
  <c r="U168" i="17" s="1"/>
  <c r="U9" i="17" a="1"/>
  <c r="U9" i="17" s="1"/>
  <c r="U55" i="17" a="1"/>
  <c r="U55" i="17" s="1"/>
  <c r="U56" i="17" a="1"/>
  <c r="U56" i="17" s="1"/>
  <c r="U57" i="17" a="1"/>
  <c r="U57" i="17" s="1"/>
  <c r="U58" i="17" a="1"/>
  <c r="U58" i="17" s="1"/>
  <c r="U59" i="17" a="1"/>
  <c r="U59" i="17" s="1"/>
  <c r="U79" i="17" a="1"/>
  <c r="U79" i="17" s="1"/>
  <c r="U89" i="17" a="1"/>
  <c r="U89" i="17" s="1"/>
  <c r="U129" i="17" a="1"/>
  <c r="U129" i="17" s="1"/>
  <c r="U99" i="17" a="1"/>
  <c r="U99" i="17" s="1"/>
  <c r="U109" i="17" a="1"/>
  <c r="U109" i="17" s="1"/>
  <c r="U119" i="17" a="1"/>
  <c r="U119" i="17" s="1"/>
  <c r="U139" i="17" a="1"/>
  <c r="U139" i="17" s="1"/>
  <c r="U149" i="17" a="1"/>
  <c r="U149" i="17"/>
  <c r="U169" i="17" a="1"/>
  <c r="U169" i="17" s="1"/>
  <c r="U10" i="17" a="1"/>
  <c r="U10" i="17" s="1"/>
  <c r="U60" i="17" a="1"/>
  <c r="U60" i="17" s="1"/>
  <c r="U61" i="17" a="1"/>
  <c r="U61" i="17" s="1"/>
  <c r="U62" i="17" a="1"/>
  <c r="U62" i="17" s="1"/>
  <c r="U63" i="17" a="1"/>
  <c r="U63" i="17" s="1"/>
  <c r="U64" i="17" a="1"/>
  <c r="U64" i="17"/>
  <c r="U65" i="17" a="1"/>
  <c r="U65" i="17" s="1"/>
  <c r="U80" i="17" a="1"/>
  <c r="U80" i="17" s="1"/>
  <c r="U90" i="17" a="1"/>
  <c r="U90" i="17" s="1"/>
  <c r="U130" i="17" a="1"/>
  <c r="U130" i="17" s="1"/>
  <c r="U100" i="17" a="1"/>
  <c r="U100" i="17" s="1"/>
  <c r="U110" i="17" a="1"/>
  <c r="U110" i="17" s="1"/>
  <c r="U120" i="17" a="1"/>
  <c r="U120" i="17"/>
  <c r="U140" i="17" a="1"/>
  <c r="U140" i="17" s="1"/>
  <c r="U150" i="17" a="1"/>
  <c r="U150" i="17"/>
  <c r="U160" i="17" a="1"/>
  <c r="U160" i="17" s="1"/>
  <c r="U170" i="17" a="1"/>
  <c r="U170" i="17" s="1"/>
  <c r="U11" i="17" a="1"/>
  <c r="U11" i="17" s="1"/>
  <c r="U66" i="17" a="1"/>
  <c r="U66" i="17" s="1"/>
  <c r="U67" i="17" a="1"/>
  <c r="U67" i="17" s="1"/>
  <c r="U68" i="17" a="1"/>
  <c r="U68" i="17"/>
  <c r="U69" i="17" a="1"/>
  <c r="U69" i="17" s="1"/>
  <c r="U70" i="17" a="1"/>
  <c r="U70" i="17" s="1"/>
  <c r="U71" i="17" a="1"/>
  <c r="U71" i="17" s="1"/>
  <c r="U81" i="17" a="1"/>
  <c r="U81" i="17"/>
  <c r="U91" i="17" a="1"/>
  <c r="U91" i="17" s="1"/>
  <c r="U131" i="17" a="1"/>
  <c r="U131" i="17"/>
  <c r="U101" i="17" a="1"/>
  <c r="U101" i="17" s="1"/>
  <c r="U111" i="17" a="1"/>
  <c r="U111" i="17" s="1"/>
  <c r="U121" i="17" a="1"/>
  <c r="U121" i="17" s="1"/>
  <c r="U141" i="17" a="1"/>
  <c r="U141" i="17" s="1"/>
  <c r="U151" i="17" a="1"/>
  <c r="U151" i="17" s="1"/>
  <c r="U161" i="17" a="1"/>
  <c r="U161" i="17" s="1"/>
  <c r="U171" i="17" a="1"/>
  <c r="U171" i="17" s="1"/>
  <c r="V2" i="17" a="1"/>
  <c r="V2" i="17" s="1"/>
  <c r="V12" i="17" a="1"/>
  <c r="V12" i="17" s="1"/>
  <c r="V13" i="17" a="1"/>
  <c r="V13" i="17" s="1"/>
  <c r="V14" i="17" a="1"/>
  <c r="V14" i="17" s="1"/>
  <c r="V15" i="17" a="1"/>
  <c r="V15" i="17"/>
  <c r="V16" i="17" a="1"/>
  <c r="V16" i="17" s="1"/>
  <c r="V17" i="17" a="1"/>
  <c r="V17" i="17" s="1"/>
  <c r="V72" i="17" a="1"/>
  <c r="V72" i="17" s="1"/>
  <c r="V82" i="17" a="1"/>
  <c r="V82" i="17" s="1"/>
  <c r="V122" i="17" a="1"/>
  <c r="V122" i="17" s="1"/>
  <c r="V92" i="17" a="1"/>
  <c r="V92" i="17" s="1"/>
  <c r="V102" i="17" a="1"/>
  <c r="V102" i="17" s="1"/>
  <c r="V112" i="17" a="1"/>
  <c r="V112" i="17" s="1"/>
  <c r="V132" i="17" a="1"/>
  <c r="V132" i="17" s="1"/>
  <c r="V142" i="17" a="1"/>
  <c r="V142" i="17" s="1"/>
  <c r="V152" i="17" a="1"/>
  <c r="V152" i="17" s="1"/>
  <c r="V162" i="17" a="1"/>
  <c r="V162" i="17" s="1"/>
  <c r="V3" i="17" a="1"/>
  <c r="V3" i="17" s="1"/>
  <c r="V18" i="17" a="1"/>
  <c r="V18" i="17" s="1"/>
  <c r="V19" i="17" a="1"/>
  <c r="V19" i="17" s="1"/>
  <c r="V20" i="17" a="1"/>
  <c r="V20" i="17" s="1"/>
  <c r="V21" i="17" a="1"/>
  <c r="V21" i="17" s="1"/>
  <c r="V22" i="17" a="1"/>
  <c r="V22" i="17" s="1"/>
  <c r="V23" i="17" a="1"/>
  <c r="V23" i="17" s="1"/>
  <c r="V73" i="17" a="1"/>
  <c r="V73" i="17" s="1"/>
  <c r="V83" i="17" a="1"/>
  <c r="V83" i="17" s="1"/>
  <c r="V123" i="17" a="1"/>
  <c r="V123" i="17" s="1"/>
  <c r="V93" i="17" a="1"/>
  <c r="V93" i="17" s="1"/>
  <c r="V103" i="17" a="1"/>
  <c r="V103" i="17" s="1"/>
  <c r="V113" i="17" a="1"/>
  <c r="V113" i="17" s="1"/>
  <c r="V133" i="17" a="1"/>
  <c r="V133" i="17" s="1"/>
  <c r="V143" i="17" a="1"/>
  <c r="V143" i="17" s="1"/>
  <c r="V153" i="17" a="1"/>
  <c r="V153" i="17" s="1"/>
  <c r="V163" i="17" a="1"/>
  <c r="V163" i="17" s="1"/>
  <c r="V4" i="17" a="1"/>
  <c r="V4" i="17" s="1"/>
  <c r="V24" i="17" a="1"/>
  <c r="V24" i="17" s="1"/>
  <c r="V25" i="17" a="1"/>
  <c r="V25" i="17" s="1"/>
  <c r="V26" i="17" a="1"/>
  <c r="V26" i="17" s="1"/>
  <c r="V27" i="17" a="1"/>
  <c r="V27" i="17"/>
  <c r="V28" i="17" a="1"/>
  <c r="V28" i="17" s="1"/>
  <c r="V29" i="17" a="1"/>
  <c r="V29" i="17" s="1"/>
  <c r="V74" i="17" a="1"/>
  <c r="V74" i="17" s="1"/>
  <c r="V84" i="17" a="1"/>
  <c r="V84" i="17" s="1"/>
  <c r="V124" i="17" a="1"/>
  <c r="V124" i="17" s="1"/>
  <c r="V94" i="17" a="1"/>
  <c r="V94" i="17" s="1"/>
  <c r="V104" i="17" a="1"/>
  <c r="V104" i="17"/>
  <c r="V114" i="17" a="1"/>
  <c r="V114" i="17" s="1"/>
  <c r="V134" i="17" a="1"/>
  <c r="V134" i="17" s="1"/>
  <c r="V144" i="17" a="1"/>
  <c r="V144" i="17" s="1"/>
  <c r="V154" i="17" a="1"/>
  <c r="V154" i="17" s="1"/>
  <c r="V164" i="17" a="1"/>
  <c r="V164" i="17" s="1"/>
  <c r="V5" i="17" a="1"/>
  <c r="V5" i="17" s="1"/>
  <c r="V30" i="17" a="1"/>
  <c r="V30" i="17"/>
  <c r="V31" i="17" a="1"/>
  <c r="V31" i="17" s="1"/>
  <c r="V32" i="17" a="1"/>
  <c r="V32" i="17" s="1"/>
  <c r="V33" i="17" a="1"/>
  <c r="V33" i="17" s="1"/>
  <c r="V34" i="17" a="1"/>
  <c r="V34" i="17" s="1"/>
  <c r="V35" i="17" a="1"/>
  <c r="V35" i="17" s="1"/>
  <c r="V75" i="17" a="1"/>
  <c r="V75" i="17" s="1"/>
  <c r="V85" i="17" a="1"/>
  <c r="V85" i="17" s="1"/>
  <c r="V125" i="17" a="1"/>
  <c r="V125" i="17" s="1"/>
  <c r="V95" i="17" a="1"/>
  <c r="V95" i="17" s="1"/>
  <c r="V105" i="17" a="1"/>
  <c r="V105" i="17"/>
  <c r="V115" i="17" a="1"/>
  <c r="V115" i="17" s="1"/>
  <c r="V135" i="17" a="1"/>
  <c r="V135" i="17" s="1"/>
  <c r="V145" i="17" a="1"/>
  <c r="V145" i="17" s="1"/>
  <c r="V155" i="17" a="1"/>
  <c r="V155" i="17" s="1"/>
  <c r="V165" i="17" a="1"/>
  <c r="V165" i="17" s="1"/>
  <c r="V6" i="17" a="1"/>
  <c r="V6" i="17" s="1"/>
  <c r="V36" i="17" a="1"/>
  <c r="V36" i="17" s="1"/>
  <c r="V37" i="17" a="1"/>
  <c r="V37" i="17" s="1"/>
  <c r="V38" i="17" a="1"/>
  <c r="V38" i="17"/>
  <c r="V39" i="17" a="1"/>
  <c r="V39" i="17" s="1"/>
  <c r="V40" i="17" a="1"/>
  <c r="V40" i="17" s="1"/>
  <c r="V41" i="17" a="1"/>
  <c r="V41" i="17" s="1"/>
  <c r="V76" i="17" a="1"/>
  <c r="V76" i="17" s="1"/>
  <c r="V86" i="17" a="1"/>
  <c r="V86" i="17" s="1"/>
  <c r="V126" i="17" a="1"/>
  <c r="V126" i="17" s="1"/>
  <c r="V96" i="17" a="1"/>
  <c r="V96" i="17" s="1"/>
  <c r="V106" i="17" a="1"/>
  <c r="V106" i="17"/>
  <c r="V116" i="17" a="1"/>
  <c r="V116" i="17" s="1"/>
  <c r="V136" i="17" a="1"/>
  <c r="V136" i="17" s="1"/>
  <c r="V146" i="17" a="1"/>
  <c r="V146" i="17" s="1"/>
  <c r="V156" i="17" a="1"/>
  <c r="V156" i="17" s="1"/>
  <c r="V166" i="17" a="1"/>
  <c r="V166" i="17" s="1"/>
  <c r="V7" i="17" a="1"/>
  <c r="V7" i="17" s="1"/>
  <c r="V42" i="17" a="1"/>
  <c r="V42" i="17" s="1"/>
  <c r="V43" i="17" a="1"/>
  <c r="V43" i="17" s="1"/>
  <c r="V44" i="17" a="1"/>
  <c r="V44" i="17" s="1"/>
  <c r="V45" i="17" a="1"/>
  <c r="V45" i="17" s="1"/>
  <c r="V46" i="17" a="1"/>
  <c r="V46" i="17" s="1"/>
  <c r="V47" i="17" a="1"/>
  <c r="V47" i="17" s="1"/>
  <c r="V77" i="17" a="1"/>
  <c r="V77" i="17" s="1"/>
  <c r="V87" i="17" a="1"/>
  <c r="V87" i="17" s="1"/>
  <c r="V127" i="17" a="1"/>
  <c r="V127" i="17" s="1"/>
  <c r="V97" i="17" a="1"/>
  <c r="V97" i="17" s="1"/>
  <c r="V107" i="17" a="1"/>
  <c r="V107" i="17"/>
  <c r="V117" i="17" a="1"/>
  <c r="V117" i="17" s="1"/>
  <c r="V137" i="17" a="1"/>
  <c r="V137" i="17" s="1"/>
  <c r="V147" i="17" a="1"/>
  <c r="V147" i="17" s="1"/>
  <c r="V157" i="17" a="1"/>
  <c r="V157" i="17"/>
  <c r="V167" i="17" a="1"/>
  <c r="V167" i="17" s="1"/>
  <c r="V8" i="17" a="1"/>
  <c r="V8" i="17"/>
  <c r="V48" i="17" a="1"/>
  <c r="V48" i="17" s="1"/>
  <c r="V49" i="17" a="1"/>
  <c r="V49" i="17" s="1"/>
  <c r="V50" i="17" a="1"/>
  <c r="V50" i="17" s="1"/>
  <c r="V51" i="17" a="1"/>
  <c r="V51" i="17" s="1"/>
  <c r="V52" i="17" a="1"/>
  <c r="V52" i="17" s="1"/>
  <c r="V53" i="17" a="1"/>
  <c r="V53" i="17" s="1"/>
  <c r="V78" i="17" a="1"/>
  <c r="V78" i="17" s="1"/>
  <c r="V88" i="17" a="1"/>
  <c r="V88" i="17"/>
  <c r="V128" i="17" a="1"/>
  <c r="V128" i="17" s="1"/>
  <c r="V98" i="17" a="1"/>
  <c r="V98" i="17" s="1"/>
  <c r="V108" i="17" a="1"/>
  <c r="V108" i="17" s="1"/>
  <c r="V118" i="17" a="1"/>
  <c r="V118" i="17" s="1"/>
  <c r="V138" i="17" a="1"/>
  <c r="V138" i="17" s="1"/>
  <c r="V148" i="17" a="1"/>
  <c r="V148" i="17"/>
  <c r="V158" i="17" a="1"/>
  <c r="V158" i="17" s="1"/>
  <c r="V168" i="17" a="1"/>
  <c r="V168" i="17" s="1"/>
  <c r="V9" i="17" a="1"/>
  <c r="V9" i="17" s="1"/>
  <c r="V54" i="17" a="1"/>
  <c r="V54" i="17" s="1"/>
  <c r="V55" i="17" a="1"/>
  <c r="V55" i="17" s="1"/>
  <c r="V56" i="17" a="1"/>
  <c r="V56" i="17"/>
  <c r="V57" i="17" a="1"/>
  <c r="V57" i="17"/>
  <c r="V58" i="17" a="1"/>
  <c r="V58" i="17" s="1"/>
  <c r="V59" i="17" a="1"/>
  <c r="V59" i="17" s="1"/>
  <c r="V79" i="17" a="1"/>
  <c r="V79" i="17" s="1"/>
  <c r="V89" i="17" a="1"/>
  <c r="V89" i="17" s="1"/>
  <c r="V129" i="17" a="1"/>
  <c r="V129" i="17"/>
  <c r="V99" i="17" a="1"/>
  <c r="V99" i="17" s="1"/>
  <c r="V109" i="17" a="1"/>
  <c r="V109" i="17" s="1"/>
  <c r="V119" i="17" a="1"/>
  <c r="V119" i="17" s="1"/>
  <c r="V139" i="17" a="1"/>
  <c r="V139" i="17" s="1"/>
  <c r="V149" i="17" a="1"/>
  <c r="V149" i="17" s="1"/>
  <c r="V159" i="17" a="1"/>
  <c r="V159" i="17" s="1"/>
  <c r="V169" i="17" a="1"/>
  <c r="V169" i="17" s="1"/>
  <c r="V10" i="17" a="1"/>
  <c r="V10" i="17" s="1"/>
  <c r="V60" i="17" a="1"/>
  <c r="V60" i="17" s="1"/>
  <c r="V61" i="17" a="1"/>
  <c r="V61" i="17" s="1"/>
  <c r="V62" i="17" a="1"/>
  <c r="V62" i="17" s="1"/>
  <c r="V63" i="17" a="1"/>
  <c r="V63" i="17"/>
  <c r="V64" i="17" a="1"/>
  <c r="V64" i="17" s="1"/>
  <c r="V65" i="17" a="1"/>
  <c r="V65" i="17" s="1"/>
  <c r="V80" i="17" a="1"/>
  <c r="V80" i="17" s="1"/>
  <c r="V90" i="17" a="1"/>
  <c r="V90" i="17"/>
  <c r="V130" i="17" a="1"/>
  <c r="V130" i="17"/>
  <c r="V100" i="17" a="1"/>
  <c r="V100" i="17" s="1"/>
  <c r="V110" i="17" a="1"/>
  <c r="V110" i="17" s="1"/>
  <c r="V120" i="17" a="1"/>
  <c r="V120" i="17"/>
  <c r="V140" i="17" a="1"/>
  <c r="V140" i="17" s="1"/>
  <c r="V150" i="17" a="1"/>
  <c r="V150" i="17" s="1"/>
  <c r="V160" i="17" a="1"/>
  <c r="V160" i="17" s="1"/>
  <c r="V170" i="17" a="1"/>
  <c r="V170" i="17"/>
  <c r="V11" i="17" a="1"/>
  <c r="V11" i="17"/>
  <c r="V66" i="17" a="1"/>
  <c r="V66" i="17" s="1"/>
  <c r="V67" i="17" a="1"/>
  <c r="V67" i="17" s="1"/>
  <c r="V68" i="17" a="1"/>
  <c r="V68" i="17"/>
  <c r="V69" i="17" a="1"/>
  <c r="V69" i="17" s="1"/>
  <c r="V70" i="17" a="1"/>
  <c r="V70" i="17" s="1"/>
  <c r="V71" i="17" a="1"/>
  <c r="V71" i="17" s="1"/>
  <c r="V81" i="17" a="1"/>
  <c r="V81" i="17"/>
  <c r="V91" i="17" a="1"/>
  <c r="V91" i="17" s="1"/>
  <c r="V131" i="17" a="1"/>
  <c r="V131" i="17"/>
  <c r="V101" i="17" a="1"/>
  <c r="V101" i="17" s="1"/>
  <c r="V111" i="17" a="1"/>
  <c r="V111" i="17" s="1"/>
  <c r="V121" i="17" a="1"/>
  <c r="V121" i="17" s="1"/>
  <c r="V141" i="17" a="1"/>
  <c r="V141" i="17" s="1"/>
  <c r="V151" i="17" a="1"/>
  <c r="V151" i="17" s="1"/>
  <c r="V161" i="17" a="1"/>
  <c r="V161" i="17" s="1"/>
  <c r="V171" i="17" a="1"/>
  <c r="V171" i="17"/>
  <c r="X2" i="17" a="1"/>
  <c r="X2" i="17" s="1"/>
  <c r="X12" i="17" a="1"/>
  <c r="X12" i="17" s="1"/>
  <c r="Y12" i="17" s="1"/>
  <c r="X13" i="17" a="1"/>
  <c r="X13" i="17" s="1"/>
  <c r="Y13" i="17" s="1"/>
  <c r="X14" i="17" a="1"/>
  <c r="X14" i="17" s="1"/>
  <c r="Y14" i="17" s="1"/>
  <c r="X15" i="17" a="1"/>
  <c r="X15" i="17" s="1"/>
  <c r="Y15" i="17" s="1"/>
  <c r="X16" i="17" a="1"/>
  <c r="X16" i="17" s="1"/>
  <c r="Y16" i="17" s="1"/>
  <c r="X17" i="17" a="1"/>
  <c r="X17" i="17" s="1"/>
  <c r="Y17" i="17" s="1"/>
  <c r="X72" i="17" a="1"/>
  <c r="X72" i="17" s="1"/>
  <c r="X82" i="17" a="1"/>
  <c r="X82" i="17" s="1"/>
  <c r="Y82" i="17" s="1"/>
  <c r="X122" i="17" a="1"/>
  <c r="X122" i="17" s="1"/>
  <c r="Y122" i="17" s="1"/>
  <c r="X92" i="17" a="1"/>
  <c r="X92" i="17" s="1"/>
  <c r="Y92" i="17" s="1"/>
  <c r="X102" i="17" a="1"/>
  <c r="X102" i="17" s="1"/>
  <c r="Y102" i="17" s="1"/>
  <c r="X112" i="17" a="1"/>
  <c r="X112" i="17" s="1"/>
  <c r="Y112" i="17" s="1"/>
  <c r="X132" i="17" a="1"/>
  <c r="X132" i="17" s="1"/>
  <c r="Y132" i="17" s="1"/>
  <c r="X142" i="17" a="1"/>
  <c r="X142" i="17" s="1"/>
  <c r="Y142" i="17" s="1"/>
  <c r="X152" i="17" a="1"/>
  <c r="X152" i="17" s="1"/>
  <c r="X162" i="17" a="1"/>
  <c r="X162" i="17" s="1"/>
  <c r="X3" i="17" a="1"/>
  <c r="X3" i="17"/>
  <c r="X18" i="17" a="1"/>
  <c r="X18" i="17"/>
  <c r="Y18" i="17" s="1"/>
  <c r="X19" i="17" a="1"/>
  <c r="X19" i="17" s="1"/>
  <c r="Y19" i="17" s="1"/>
  <c r="X20" i="17" a="1"/>
  <c r="X20" i="17" s="1"/>
  <c r="Y20" i="17" s="1"/>
  <c r="X21" i="17" a="1"/>
  <c r="X21" i="17" s="1"/>
  <c r="Y21" i="17" s="1"/>
  <c r="X22" i="17" a="1"/>
  <c r="X22" i="17" s="1"/>
  <c r="X23" i="17" a="1"/>
  <c r="X23" i="17" s="1"/>
  <c r="X73" i="17" a="1"/>
  <c r="X73" i="17" s="1"/>
  <c r="Y73" i="17" s="1"/>
  <c r="X83" i="17" a="1"/>
  <c r="X83" i="17"/>
  <c r="Y83" i="17" s="1"/>
  <c r="X123" i="17" a="1"/>
  <c r="X123" i="17" s="1"/>
  <c r="Y123" i="17" s="1"/>
  <c r="X93" i="17" a="1"/>
  <c r="X93" i="17" s="1"/>
  <c r="Y93" i="17" s="1"/>
  <c r="X103" i="17" a="1"/>
  <c r="X103" i="17"/>
  <c r="Y103" i="17" s="1"/>
  <c r="X113" i="17" a="1"/>
  <c r="X113" i="17" s="1"/>
  <c r="Y113" i="17" s="1"/>
  <c r="X133" i="17" a="1"/>
  <c r="X133" i="17" s="1"/>
  <c r="Y133" i="17" s="1"/>
  <c r="Q133" i="17" s="1"/>
  <c r="W133" i="17" s="1"/>
  <c r="X143" i="17" a="1"/>
  <c r="X143" i="17" s="1"/>
  <c r="Y143" i="17" s="1"/>
  <c r="X153" i="17" a="1"/>
  <c r="X153" i="17" s="1"/>
  <c r="Y153" i="17" s="1"/>
  <c r="X163" i="17" a="1"/>
  <c r="X163" i="17"/>
  <c r="Y163" i="17" s="1"/>
  <c r="X4" i="17" a="1"/>
  <c r="X4" i="17" s="1"/>
  <c r="X24" i="17" a="1"/>
  <c r="X24" i="17" s="1"/>
  <c r="Y24" i="17" s="1"/>
  <c r="X25" i="17" a="1"/>
  <c r="X25" i="17" s="1"/>
  <c r="Y25" i="17" s="1"/>
  <c r="X26" i="17" a="1"/>
  <c r="X26" i="17"/>
  <c r="Y26" i="17" s="1"/>
  <c r="X27" i="17" a="1"/>
  <c r="X27" i="17" s="1"/>
  <c r="Y27" i="17" s="1"/>
  <c r="X28" i="17" a="1"/>
  <c r="X28" i="17" s="1"/>
  <c r="Y28" i="17" s="1"/>
  <c r="X29" i="17" a="1"/>
  <c r="X29" i="17" s="1"/>
  <c r="Y29" i="17" s="1"/>
  <c r="X74" i="17" a="1"/>
  <c r="X74" i="17"/>
  <c r="X84" i="17" a="1"/>
  <c r="X84" i="17" s="1"/>
  <c r="X124" i="17" a="1"/>
  <c r="X124" i="17"/>
  <c r="Y124" i="17" s="1"/>
  <c r="X94" i="17" a="1"/>
  <c r="X94" i="17" s="1"/>
  <c r="Y94" i="17" s="1"/>
  <c r="X104" i="17" a="1"/>
  <c r="X104" i="17" s="1"/>
  <c r="Y104" i="17" s="1"/>
  <c r="X114" i="17" a="1"/>
  <c r="X114" i="17" s="1"/>
  <c r="Y114" i="17" s="1"/>
  <c r="X134" i="17" a="1"/>
  <c r="X134" i="17" s="1"/>
  <c r="Y134" i="17" s="1"/>
  <c r="X144" i="17" a="1"/>
  <c r="X144" i="17" s="1"/>
  <c r="Y144" i="17" s="1"/>
  <c r="X154" i="17" a="1"/>
  <c r="X154" i="17"/>
  <c r="Y154" i="17" s="1"/>
  <c r="X164" i="17" a="1"/>
  <c r="X164" i="17" s="1"/>
  <c r="X5" i="17" a="1"/>
  <c r="X5" i="17" s="1"/>
  <c r="Y5" i="17" s="1"/>
  <c r="X30" i="17" a="1"/>
  <c r="X30" i="17" s="1"/>
  <c r="Y30" i="17" s="1"/>
  <c r="X31" i="17" a="1"/>
  <c r="X31" i="17" s="1"/>
  <c r="Y31" i="17" s="1"/>
  <c r="X32" i="17" a="1"/>
  <c r="X32" i="17" s="1"/>
  <c r="Y32" i="17" s="1"/>
  <c r="X33" i="17" a="1"/>
  <c r="X33" i="17" s="1"/>
  <c r="X34" i="17" a="1"/>
  <c r="X34" i="17" s="1"/>
  <c r="X35" i="17" a="1"/>
  <c r="X35" i="17" s="1"/>
  <c r="Y35" i="17" s="1"/>
  <c r="X75" i="17" a="1"/>
  <c r="X75" i="17" s="1"/>
  <c r="X85" i="17" a="1"/>
  <c r="X85" i="17" s="1"/>
  <c r="Y85" i="17" s="1"/>
  <c r="X125" i="17" a="1"/>
  <c r="X125" i="17" s="1"/>
  <c r="X95" i="17" a="1"/>
  <c r="X95" i="17" s="1"/>
  <c r="Y95" i="17" s="1"/>
  <c r="X105" i="17" a="1"/>
  <c r="X105" i="17" s="1"/>
  <c r="Y105" i="17" s="1"/>
  <c r="X115" i="17" a="1"/>
  <c r="X115" i="17" s="1"/>
  <c r="Y115" i="17" s="1"/>
  <c r="X135" i="17" a="1"/>
  <c r="X135" i="17" s="1"/>
  <c r="Y135" i="17" s="1"/>
  <c r="X145" i="17" a="1"/>
  <c r="X145" i="17" s="1"/>
  <c r="Y145" i="17" s="1"/>
  <c r="X155" i="17" a="1"/>
  <c r="X155" i="17" s="1"/>
  <c r="X165" i="17" a="1"/>
  <c r="X165" i="17" s="1"/>
  <c r="Y165" i="17" s="1"/>
  <c r="X6" i="17" a="1"/>
  <c r="X6" i="17"/>
  <c r="Y6" i="17" s="1"/>
  <c r="X36" i="17" a="1"/>
  <c r="X36" i="17" s="1"/>
  <c r="Y36" i="17" s="1"/>
  <c r="X37" i="17" a="1"/>
  <c r="X37" i="17" s="1"/>
  <c r="X38" i="17" a="1"/>
  <c r="X38" i="17" s="1"/>
  <c r="Y38" i="17" s="1"/>
  <c r="X39" i="17" a="1"/>
  <c r="X39" i="17" s="1"/>
  <c r="Y39" i="17" s="1"/>
  <c r="X40" i="17" a="1"/>
  <c r="X40" i="17"/>
  <c r="Y40" i="17" s="1"/>
  <c r="X41" i="17" a="1"/>
  <c r="X41" i="17" s="1"/>
  <c r="Y41" i="17" s="1"/>
  <c r="X76" i="17" a="1"/>
  <c r="X76" i="17" s="1"/>
  <c r="Y76" i="17" s="1"/>
  <c r="X86" i="17" a="1"/>
  <c r="X86" i="17" s="1"/>
  <c r="X126" i="17" a="1"/>
  <c r="X126" i="17" s="1"/>
  <c r="X96" i="17" a="1"/>
  <c r="X96" i="17" s="1"/>
  <c r="Y96" i="17" s="1"/>
  <c r="X106" i="17" a="1"/>
  <c r="X106" i="17" s="1"/>
  <c r="Y106" i="17" s="1"/>
  <c r="X116" i="17" a="1"/>
  <c r="X116" i="17" s="1"/>
  <c r="X136" i="17" a="1"/>
  <c r="X136" i="17" s="1"/>
  <c r="Y136" i="17" s="1"/>
  <c r="X146" i="17" a="1"/>
  <c r="X146" i="17" s="1"/>
  <c r="Y146" i="17" s="1"/>
  <c r="X156" i="17" a="1"/>
  <c r="X156" i="17" s="1"/>
  <c r="Y156" i="17" s="1"/>
  <c r="X166" i="17" a="1"/>
  <c r="X166" i="17" s="1"/>
  <c r="Y166" i="17" s="1"/>
  <c r="X7" i="17" a="1"/>
  <c r="X7" i="17" s="1"/>
  <c r="Y7" i="17" s="1"/>
  <c r="X42" i="17" a="1"/>
  <c r="X42" i="17" s="1"/>
  <c r="Y42" i="17" s="1"/>
  <c r="X43" i="17" a="1"/>
  <c r="X43" i="17" s="1"/>
  <c r="Y43" i="17" s="1"/>
  <c r="X44" i="17" a="1"/>
  <c r="X44" i="17" s="1"/>
  <c r="Y44" i="17" s="1"/>
  <c r="X45" i="17" a="1"/>
  <c r="X45" i="17"/>
  <c r="Y45" i="17" s="1"/>
  <c r="X46" i="17" a="1"/>
  <c r="X46" i="17" s="1"/>
  <c r="Y46" i="17" s="1"/>
  <c r="X47" i="17" a="1"/>
  <c r="X47" i="17" s="1"/>
  <c r="Y47" i="17" s="1"/>
  <c r="X77" i="17" a="1"/>
  <c r="X77" i="17"/>
  <c r="Y77" i="17" s="1"/>
  <c r="X87" i="17" a="1"/>
  <c r="X87" i="17" s="1"/>
  <c r="Y87" i="17" s="1"/>
  <c r="X127" i="17" a="1"/>
  <c r="X127" i="17" s="1"/>
  <c r="Y127" i="17" s="1"/>
  <c r="X97" i="17" a="1"/>
  <c r="X97" i="17" s="1"/>
  <c r="Y97" i="17" s="1"/>
  <c r="X107" i="17" a="1"/>
  <c r="X107" i="17" s="1"/>
  <c r="Y107" i="17" s="1"/>
  <c r="X117" i="17" a="1"/>
  <c r="X117" i="17" s="1"/>
  <c r="Y117" i="17" s="1"/>
  <c r="X137" i="17" a="1"/>
  <c r="X137" i="17" s="1"/>
  <c r="Y137" i="17" s="1"/>
  <c r="X147" i="17" a="1"/>
  <c r="X147" i="17" s="1"/>
  <c r="Y147" i="17" s="1"/>
  <c r="X157" i="17" a="1"/>
  <c r="X157" i="17"/>
  <c r="Y157" i="17" s="1"/>
  <c r="X167" i="17" a="1"/>
  <c r="X167" i="17" s="1"/>
  <c r="Y167" i="17" s="1"/>
  <c r="X8" i="17" a="1"/>
  <c r="X8" i="17" s="1"/>
  <c r="Y8" i="17" s="1"/>
  <c r="X48" i="17" a="1"/>
  <c r="X48" i="17" s="1"/>
  <c r="Y48" i="17" s="1"/>
  <c r="X49" i="17" a="1"/>
  <c r="X49" i="17" s="1"/>
  <c r="X50" i="17" a="1"/>
  <c r="X50" i="17" s="1"/>
  <c r="Y50" i="17" s="1"/>
  <c r="X51" i="17" a="1"/>
  <c r="X51" i="17" s="1"/>
  <c r="Y51" i="17" s="1"/>
  <c r="X52" i="17" a="1"/>
  <c r="X52" i="17"/>
  <c r="Y52" i="17" s="1"/>
  <c r="X53" i="17" a="1"/>
  <c r="X53" i="17"/>
  <c r="Y53" i="17" s="1"/>
  <c r="X78" i="17" a="1"/>
  <c r="X78" i="17" s="1"/>
  <c r="X88" i="17" a="1"/>
  <c r="X88" i="17" s="1"/>
  <c r="X128" i="17" a="1"/>
  <c r="X128" i="17" s="1"/>
  <c r="X98" i="17" a="1"/>
  <c r="X98" i="17" s="1"/>
  <c r="Y98" i="17" s="1"/>
  <c r="X108" i="17" a="1"/>
  <c r="X108" i="17"/>
  <c r="X118" i="17" a="1"/>
  <c r="X118" i="17"/>
  <c r="X138" i="17" a="1"/>
  <c r="X138" i="17" s="1"/>
  <c r="Y138" i="17" s="1"/>
  <c r="X148" i="17" a="1"/>
  <c r="X148" i="17" s="1"/>
  <c r="Y148" i="17" s="1"/>
  <c r="X158" i="17" a="1"/>
  <c r="X158" i="17" s="1"/>
  <c r="Y158" i="17" s="1"/>
  <c r="X168" i="17" a="1"/>
  <c r="X168" i="17" s="1"/>
  <c r="Y168" i="17" s="1"/>
  <c r="X9" i="17" a="1"/>
  <c r="X9" i="17" s="1"/>
  <c r="X54" i="17" a="1"/>
  <c r="X54" i="17" s="1"/>
  <c r="X55" i="17" a="1"/>
  <c r="X55" i="17"/>
  <c r="Y55" i="17" s="1"/>
  <c r="X56" i="17" a="1"/>
  <c r="X56" i="17" s="1"/>
  <c r="Y56" i="17" s="1"/>
  <c r="X57" i="17" a="1"/>
  <c r="X57" i="17" s="1"/>
  <c r="Y57" i="17" s="1"/>
  <c r="X58" i="17" a="1"/>
  <c r="X58" i="17"/>
  <c r="Y58" i="17" s="1"/>
  <c r="X59" i="17" a="1"/>
  <c r="X59" i="17" s="1"/>
  <c r="Y59" i="17" s="1"/>
  <c r="X79" i="17" a="1"/>
  <c r="X79" i="17" s="1"/>
  <c r="Y79" i="17" s="1"/>
  <c r="X89" i="17" a="1"/>
  <c r="X89" i="17" s="1"/>
  <c r="Y89" i="17" s="1"/>
  <c r="X129" i="17" a="1"/>
  <c r="X129" i="17" s="1"/>
  <c r="Y129" i="17" s="1"/>
  <c r="X99" i="17" a="1"/>
  <c r="X99" i="17" s="1"/>
  <c r="Y99" i="17" s="1"/>
  <c r="X109" i="17" a="1"/>
  <c r="X109" i="17" s="1"/>
  <c r="Y109" i="17" s="1"/>
  <c r="X119" i="17" a="1"/>
  <c r="X119" i="17" s="1"/>
  <c r="Y119" i="17" s="1"/>
  <c r="X139" i="17" a="1"/>
  <c r="X139" i="17" s="1"/>
  <c r="Y139" i="17" s="1"/>
  <c r="X149" i="17" a="1"/>
  <c r="X149" i="17" s="1"/>
  <c r="Y149" i="17" s="1"/>
  <c r="X159" i="17" a="1"/>
  <c r="X159" i="17" s="1"/>
  <c r="Y159" i="17" s="1"/>
  <c r="X169" i="17" a="1"/>
  <c r="X169" i="17" s="1"/>
  <c r="Y169" i="17" s="1"/>
  <c r="X10" i="17" a="1"/>
  <c r="X10" i="17" s="1"/>
  <c r="X60" i="17" a="1"/>
  <c r="X60" i="17" s="1"/>
  <c r="Y60" i="17" s="1"/>
  <c r="X61" i="17" a="1"/>
  <c r="X61" i="17" s="1"/>
  <c r="Y61" i="17" s="1"/>
  <c r="X62" i="17" a="1"/>
  <c r="X62" i="17" s="1"/>
  <c r="Y62" i="17" s="1"/>
  <c r="X63" i="17" a="1"/>
  <c r="X63" i="17" s="1"/>
  <c r="Y63" i="17" s="1"/>
  <c r="X64" i="17" a="1"/>
  <c r="X64" i="17" s="1"/>
  <c r="Y64" i="17" s="1"/>
  <c r="X65" i="17" a="1"/>
  <c r="X65" i="17" s="1"/>
  <c r="Y65" i="17" s="1"/>
  <c r="X80" i="17" a="1"/>
  <c r="X80" i="17" s="1"/>
  <c r="Y80" i="17" s="1"/>
  <c r="X90" i="17" a="1"/>
  <c r="X90" i="17" s="1"/>
  <c r="Y90" i="17" s="1"/>
  <c r="X130" i="17" a="1"/>
  <c r="X130" i="17" s="1"/>
  <c r="Y130" i="17" s="1"/>
  <c r="X100" i="17" a="1"/>
  <c r="X100" i="17"/>
  <c r="Y100" i="17" s="1"/>
  <c r="X110" i="17" a="1"/>
  <c r="X110" i="17" s="1"/>
  <c r="Y110" i="17" s="1"/>
  <c r="X120" i="17" a="1"/>
  <c r="X120" i="17" s="1"/>
  <c r="Y120" i="17" s="1"/>
  <c r="X140" i="17" a="1"/>
  <c r="X140" i="17" s="1"/>
  <c r="Y140" i="17" s="1"/>
  <c r="X150" i="17" a="1"/>
  <c r="X150" i="17" s="1"/>
  <c r="Y150" i="17" s="1"/>
  <c r="X160" i="17" a="1"/>
  <c r="X160" i="17" s="1"/>
  <c r="Y160" i="17" s="1"/>
  <c r="X170" i="17" a="1"/>
  <c r="X170" i="17" s="1"/>
  <c r="Y170" i="17" s="1"/>
  <c r="X11" i="17" a="1"/>
  <c r="X11" i="17" s="1"/>
  <c r="Y11" i="17" s="1"/>
  <c r="X66" i="17" a="1"/>
  <c r="X66" i="17" s="1"/>
  <c r="Y66" i="17" s="1"/>
  <c r="X67" i="17" a="1"/>
  <c r="X67" i="17" s="1"/>
  <c r="Y67" i="17" s="1"/>
  <c r="X68" i="17" a="1"/>
  <c r="X68" i="17"/>
  <c r="Y68" i="17" s="1"/>
  <c r="X69" i="17" a="1"/>
  <c r="X69" i="17"/>
  <c r="Y69" i="17" s="1"/>
  <c r="X70" i="17" a="1"/>
  <c r="X70" i="17" s="1"/>
  <c r="Y70" i="17" s="1"/>
  <c r="X71" i="17" a="1"/>
  <c r="X71" i="17" s="1"/>
  <c r="Y71" i="17" s="1"/>
  <c r="X81" i="17" a="1"/>
  <c r="X81" i="17" s="1"/>
  <c r="Y81" i="17" s="1"/>
  <c r="X91" i="17" a="1"/>
  <c r="X91" i="17" s="1"/>
  <c r="Y91" i="17" s="1"/>
  <c r="X131" i="17" a="1"/>
  <c r="X131" i="17" s="1"/>
  <c r="Y131" i="17" s="1"/>
  <c r="Q131" i="17" s="1"/>
  <c r="W131" i="17" s="1"/>
  <c r="X101" i="17" a="1"/>
  <c r="X101" i="17" s="1"/>
  <c r="Y101" i="17" s="1"/>
  <c r="X111" i="17" a="1"/>
  <c r="X111" i="17" s="1"/>
  <c r="Y111" i="17" s="1"/>
  <c r="X121" i="17" a="1"/>
  <c r="X121" i="17" s="1"/>
  <c r="Y121" i="17" s="1"/>
  <c r="X141" i="17" a="1"/>
  <c r="X141" i="17" s="1"/>
  <c r="Y141" i="17" s="1"/>
  <c r="X151" i="17" a="1"/>
  <c r="X151" i="17" s="1"/>
  <c r="Y151" i="17" s="1"/>
  <c r="X161" i="17" a="1"/>
  <c r="X161" i="17" s="1"/>
  <c r="Y161" i="17" s="1"/>
  <c r="X171" i="17" a="1"/>
  <c r="X171" i="17"/>
  <c r="Y171" i="17" s="1"/>
  <c r="Y2" i="17"/>
  <c r="Y162" i="17"/>
  <c r="Y23" i="17"/>
  <c r="Y33" i="17"/>
  <c r="Y34" i="17"/>
  <c r="Y37" i="17"/>
  <c r="Y116" i="17"/>
  <c r="Y49" i="17"/>
  <c r="Y108" i="17"/>
  <c r="Y118" i="17"/>
  <c r="Y54" i="17"/>
  <c r="Q54" i="17" s="1"/>
  <c r="W54" i="17" s="1"/>
  <c r="Y10" i="17"/>
  <c r="G2" i="16"/>
  <c r="P12" i="20" l="1" a="1"/>
  <c r="P12" i="20" s="1"/>
  <c r="P7" i="20" a="1"/>
  <c r="P7" i="20" s="1"/>
  <c r="L192" i="20" a="1"/>
  <c r="L192" i="20" s="1"/>
  <c r="O230" i="20" a="1"/>
  <c r="O230" i="20" s="1"/>
  <c r="P11" i="20" a="1"/>
  <c r="P11" i="20" s="1"/>
  <c r="O258" i="20" a="1"/>
  <c r="O258" i="20" s="1"/>
  <c r="O257" i="20" a="1"/>
  <c r="O257" i="20" s="1"/>
  <c r="O253" i="20" a="1"/>
  <c r="O253" i="20" s="1"/>
  <c r="P6" i="20" a="1"/>
  <c r="P6" i="20" s="1"/>
  <c r="O249" i="20" a="1"/>
  <c r="O249" i="20" s="1"/>
  <c r="P5" i="20" a="1"/>
  <c r="P5" i="20" s="1"/>
  <c r="O248" i="20" a="1"/>
  <c r="O248" i="20" s="1"/>
  <c r="P4" i="20" a="1"/>
  <c r="P4" i="20" s="1"/>
  <c r="O243" i="20" a="1"/>
  <c r="O243" i="20" s="1"/>
  <c r="P2" i="20" a="1"/>
  <c r="P2" i="20" s="1"/>
  <c r="O242" i="20" a="1"/>
  <c r="O242" i="20" s="1"/>
  <c r="O237" i="20" a="1"/>
  <c r="O237" i="20" s="1"/>
  <c r="O231" i="20" a="1"/>
  <c r="O231" i="20" s="1"/>
  <c r="O225" i="20" a="1"/>
  <c r="O225" i="20" s="1"/>
  <c r="O266" i="20" a="1"/>
  <c r="O266" i="20" s="1"/>
  <c r="O209" i="20" a="1"/>
  <c r="O209" i="20" s="1"/>
  <c r="O265" i="20" a="1"/>
  <c r="O265" i="20" s="1"/>
  <c r="O202" i="20" a="1"/>
  <c r="O202" i="20" s="1"/>
  <c r="O264" i="20" a="1"/>
  <c r="O264" i="20" s="1"/>
  <c r="O263" i="20" a="1"/>
  <c r="O263" i="20" s="1"/>
  <c r="O268" i="20" a="1"/>
  <c r="O268" i="20" s="1"/>
  <c r="O259" i="20" a="1"/>
  <c r="O259" i="20" s="1"/>
  <c r="K256" i="20" a="1"/>
  <c r="K256" i="20" s="1"/>
  <c r="L256" i="20" a="1"/>
  <c r="L256" i="20" s="1"/>
  <c r="K240" i="20" a="1"/>
  <c r="K240" i="20" s="1"/>
  <c r="L240" i="20" a="1"/>
  <c r="L240" i="20" s="1"/>
  <c r="O240" i="20" a="1"/>
  <c r="O240" i="20" s="1"/>
  <c r="K224" i="20" a="1"/>
  <c r="K224" i="20" s="1"/>
  <c r="L224" i="20" a="1"/>
  <c r="L224" i="20" s="1"/>
  <c r="K208" i="20" a="1"/>
  <c r="K208" i="20" s="1"/>
  <c r="L208" i="20" a="1"/>
  <c r="L208" i="20" s="1"/>
  <c r="N208" i="20" s="1"/>
  <c r="K192" i="20" a="1"/>
  <c r="K192" i="20" s="1"/>
  <c r="K176" i="20" a="1"/>
  <c r="K176" i="20" s="1"/>
  <c r="L176" i="20" a="1"/>
  <c r="L176" i="20" s="1"/>
  <c r="O176" i="20" a="1"/>
  <c r="O176" i="20" s="1"/>
  <c r="K160" i="20" a="1"/>
  <c r="K160" i="20" s="1"/>
  <c r="L160" i="20" a="1"/>
  <c r="L160" i="20" s="1"/>
  <c r="N160" i="20" s="1"/>
  <c r="O160" i="20" a="1"/>
  <c r="O160" i="20" s="1"/>
  <c r="K144" i="20" a="1"/>
  <c r="K144" i="20" s="1"/>
  <c r="O144" i="20" a="1"/>
  <c r="O144" i="20" s="1"/>
  <c r="L144" i="20" a="1"/>
  <c r="L144" i="20" s="1"/>
  <c r="N144" i="20" s="1"/>
  <c r="K128" i="20" a="1"/>
  <c r="K128" i="20" s="1"/>
  <c r="L128" i="20" a="1"/>
  <c r="L128" i="20" s="1"/>
  <c r="O128" i="20" a="1"/>
  <c r="O128" i="20" s="1"/>
  <c r="K112" i="20" a="1"/>
  <c r="K112" i="20" s="1"/>
  <c r="L112" i="20" a="1"/>
  <c r="L112" i="20" s="1"/>
  <c r="O112" i="20" a="1"/>
  <c r="O112" i="20" s="1"/>
  <c r="K96" i="20" a="1"/>
  <c r="K96" i="20" s="1"/>
  <c r="O96" i="20" a="1"/>
  <c r="O96" i="20" s="1"/>
  <c r="L96" i="20" a="1"/>
  <c r="L96" i="20" s="1"/>
  <c r="K80" i="20" a="1"/>
  <c r="K80" i="20" s="1"/>
  <c r="L80" i="20" a="1"/>
  <c r="L80" i="20" s="1"/>
  <c r="O80" i="20" a="1"/>
  <c r="O80" i="20" s="1"/>
  <c r="K64" i="20" a="1"/>
  <c r="K64" i="20" s="1"/>
  <c r="L64" i="20" a="1"/>
  <c r="L64" i="20" s="1"/>
  <c r="O64" i="20" a="1"/>
  <c r="O64" i="20" s="1"/>
  <c r="L48" i="20" a="1"/>
  <c r="L48" i="20" s="1"/>
  <c r="N48" i="20" s="1"/>
  <c r="K48" i="20" a="1"/>
  <c r="K48" i="20" s="1"/>
  <c r="O48" i="20" a="1"/>
  <c r="O48" i="20" s="1"/>
  <c r="K32" i="20" a="1"/>
  <c r="K32" i="20" s="1"/>
  <c r="L32" i="20" a="1"/>
  <c r="L32" i="20" s="1"/>
  <c r="O32" i="20" a="1"/>
  <c r="O32" i="20" s="1"/>
  <c r="K255" i="20" a="1"/>
  <c r="K255" i="20" s="1"/>
  <c r="K265" i="20" a="1"/>
  <c r="K265" i="20" s="1"/>
  <c r="L14" i="20" a="1"/>
  <c r="L14" i="20" s="1"/>
  <c r="L24" i="20" a="1"/>
  <c r="L24" i="20" s="1"/>
  <c r="L44" i="20" a="1"/>
  <c r="L44" i="20" s="1"/>
  <c r="L63" i="20" a="1"/>
  <c r="L63" i="20" s="1"/>
  <c r="N63" i="20" s="1"/>
  <c r="L73" i="20" a="1"/>
  <c r="L73" i="20" s="1"/>
  <c r="L82" i="20" a="1"/>
  <c r="L82" i="20" s="1"/>
  <c r="L91" i="20" a="1"/>
  <c r="L91" i="20" s="1"/>
  <c r="N91" i="20" s="1"/>
  <c r="L100" i="20" a="1"/>
  <c r="L100" i="20" s="1"/>
  <c r="L109" i="20" a="1"/>
  <c r="L109" i="20" s="1"/>
  <c r="N109" i="20" s="1"/>
  <c r="L118" i="20" a="1"/>
  <c r="L118" i="20" s="1"/>
  <c r="L127" i="20" a="1"/>
  <c r="L127" i="20" s="1"/>
  <c r="L137" i="20" a="1"/>
  <c r="L137" i="20" s="1"/>
  <c r="N137" i="20" s="1"/>
  <c r="L145" i="20" a="1"/>
  <c r="L145" i="20" s="1"/>
  <c r="N145" i="20" s="1"/>
  <c r="L153" i="20" a="1"/>
  <c r="L153" i="20" s="1"/>
  <c r="L161" i="20" a="1"/>
  <c r="L161" i="20" s="1"/>
  <c r="L169" i="20" a="1"/>
  <c r="L169" i="20" s="1"/>
  <c r="L177" i="20" a="1"/>
  <c r="L177" i="20" s="1"/>
  <c r="N177" i="20" s="1"/>
  <c r="L185" i="20" a="1"/>
  <c r="L185" i="20" s="1"/>
  <c r="L193" i="20" a="1"/>
  <c r="L193" i="20" s="1"/>
  <c r="N193" i="20" s="1"/>
  <c r="L201" i="20" a="1"/>
  <c r="L201" i="20" s="1"/>
  <c r="L209" i="20" a="1"/>
  <c r="L209" i="20" s="1"/>
  <c r="L217" i="20" a="1"/>
  <c r="L217" i="20" s="1"/>
  <c r="L225" i="20" a="1"/>
  <c r="L225" i="20" s="1"/>
  <c r="N225" i="20" s="1"/>
  <c r="L233" i="20" a="1"/>
  <c r="L233" i="20" s="1"/>
  <c r="K11" i="20" a="1"/>
  <c r="K11" i="20" s="1"/>
  <c r="K21" i="20" a="1"/>
  <c r="K21" i="20" s="1"/>
  <c r="K33" i="20" a="1"/>
  <c r="K33" i="20" s="1"/>
  <c r="K43" i="20" a="1"/>
  <c r="K43" i="20" s="1"/>
  <c r="K53" i="20" a="1"/>
  <c r="K53" i="20" s="1"/>
  <c r="K65" i="20" a="1"/>
  <c r="K65" i="20" s="1"/>
  <c r="K75" i="20" a="1"/>
  <c r="K75" i="20" s="1"/>
  <c r="K85" i="20" a="1"/>
  <c r="K85" i="20" s="1"/>
  <c r="K97" i="20" a="1"/>
  <c r="K97" i="20" s="1"/>
  <c r="K107" i="20" a="1"/>
  <c r="K107" i="20" s="1"/>
  <c r="K117" i="20" a="1"/>
  <c r="K117" i="20" s="1"/>
  <c r="K129" i="20" a="1"/>
  <c r="K129" i="20" s="1"/>
  <c r="K139" i="20" a="1"/>
  <c r="K139" i="20" s="1"/>
  <c r="K149" i="20" a="1"/>
  <c r="K149" i="20" s="1"/>
  <c r="K161" i="20" a="1"/>
  <c r="K161" i="20" s="1"/>
  <c r="K171" i="20" a="1"/>
  <c r="K171" i="20" s="1"/>
  <c r="K181" i="20" a="1"/>
  <c r="K181" i="20" s="1"/>
  <c r="K193" i="20" a="1"/>
  <c r="K193" i="20" s="1"/>
  <c r="K203" i="20" a="1"/>
  <c r="K203" i="20" s="1"/>
  <c r="K213" i="20" a="1"/>
  <c r="K213" i="20" s="1"/>
  <c r="K225" i="20" a="1"/>
  <c r="K225" i="20" s="1"/>
  <c r="K235" i="20" a="1"/>
  <c r="K235" i="20" s="1"/>
  <c r="K245" i="20" a="1"/>
  <c r="K245" i="20" s="1"/>
  <c r="L5" i="20" a="1"/>
  <c r="L5" i="20" s="1"/>
  <c r="L25" i="20" a="1"/>
  <c r="L25" i="20" s="1"/>
  <c r="L35" i="20" a="1"/>
  <c r="L35" i="20" s="1"/>
  <c r="N35" i="20" s="1"/>
  <c r="L54" i="20" a="1"/>
  <c r="L54" i="20" s="1"/>
  <c r="K22" i="20" a="1"/>
  <c r="K22" i="20" s="1"/>
  <c r="K54" i="20" a="1"/>
  <c r="K54" i="20" s="1"/>
  <c r="K86" i="20" a="1"/>
  <c r="K86" i="20" s="1"/>
  <c r="K118" i="20" a="1"/>
  <c r="K118" i="20" s="1"/>
  <c r="K150" i="20" a="1"/>
  <c r="K150" i="20" s="1"/>
  <c r="K182" i="20" a="1"/>
  <c r="K182" i="20" s="1"/>
  <c r="K214" i="20" a="1"/>
  <c r="K214" i="20" s="1"/>
  <c r="K246" i="20" a="1"/>
  <c r="K246" i="20" s="1"/>
  <c r="K266" i="20" a="1"/>
  <c r="K266" i="20" s="1"/>
  <c r="L15" i="20" a="1"/>
  <c r="L15" i="20" s="1"/>
  <c r="L26" i="20" a="1"/>
  <c r="L26" i="20" s="1"/>
  <c r="L45" i="20" a="1"/>
  <c r="L45" i="20" s="1"/>
  <c r="L65" i="20" a="1"/>
  <c r="L65" i="20" s="1"/>
  <c r="L74" i="20" a="1"/>
  <c r="L74" i="20" s="1"/>
  <c r="L83" i="20" a="1"/>
  <c r="L83" i="20" s="1"/>
  <c r="N83" i="20" s="1"/>
  <c r="L92" i="20" a="1"/>
  <c r="L92" i="20" s="1"/>
  <c r="N92" i="20" s="1"/>
  <c r="L101" i="20" a="1"/>
  <c r="L101" i="20" s="1"/>
  <c r="L110" i="20" a="1"/>
  <c r="L110" i="20" s="1"/>
  <c r="L119" i="20" a="1"/>
  <c r="L119" i="20" s="1"/>
  <c r="L129" i="20" a="1"/>
  <c r="L129" i="20" s="1"/>
  <c r="L138" i="20" a="1"/>
  <c r="L138" i="20" s="1"/>
  <c r="N138" i="20" s="1"/>
  <c r="L146" i="20" a="1"/>
  <c r="L146" i="20" s="1"/>
  <c r="L154" i="20" a="1"/>
  <c r="L154" i="20" s="1"/>
  <c r="L162" i="20" a="1"/>
  <c r="L162" i="20" s="1"/>
  <c r="L170" i="20" a="1"/>
  <c r="L170" i="20" s="1"/>
  <c r="N170" i="20" s="1"/>
  <c r="L178" i="20" a="1"/>
  <c r="L178" i="20" s="1"/>
  <c r="N178" i="20" s="1"/>
  <c r="L186" i="20" a="1"/>
  <c r="L186" i="20" s="1"/>
  <c r="L194" i="20" a="1"/>
  <c r="L194" i="20" s="1"/>
  <c r="N194" i="20" s="1"/>
  <c r="K2" i="20" a="1"/>
  <c r="K2" i="20" s="1"/>
  <c r="K12" i="20" a="1"/>
  <c r="K12" i="20" s="1"/>
  <c r="K23" i="20" a="1"/>
  <c r="K23" i="20" s="1"/>
  <c r="K34" i="20" a="1"/>
  <c r="K34" i="20" s="1"/>
  <c r="K44" i="20" a="1"/>
  <c r="K44" i="20" s="1"/>
  <c r="K55" i="20" a="1"/>
  <c r="K55" i="20" s="1"/>
  <c r="K66" i="20" a="1"/>
  <c r="K66" i="20" s="1"/>
  <c r="K76" i="20" a="1"/>
  <c r="K76" i="20" s="1"/>
  <c r="K87" i="20" a="1"/>
  <c r="K87" i="20" s="1"/>
  <c r="K98" i="20" a="1"/>
  <c r="K98" i="20" s="1"/>
  <c r="K108" i="20" a="1"/>
  <c r="K108" i="20" s="1"/>
  <c r="K119" i="20" a="1"/>
  <c r="K119" i="20" s="1"/>
  <c r="K130" i="20" a="1"/>
  <c r="K130" i="20" s="1"/>
  <c r="K140" i="20" a="1"/>
  <c r="K140" i="20" s="1"/>
  <c r="K151" i="20" a="1"/>
  <c r="K151" i="20" s="1"/>
  <c r="K162" i="20" a="1"/>
  <c r="K162" i="20" s="1"/>
  <c r="K172" i="20" a="1"/>
  <c r="K172" i="20" s="1"/>
  <c r="K183" i="20" a="1"/>
  <c r="K183" i="20" s="1"/>
  <c r="K194" i="20" a="1"/>
  <c r="K194" i="20" s="1"/>
  <c r="K204" i="20" a="1"/>
  <c r="K204" i="20" s="1"/>
  <c r="K215" i="20" a="1"/>
  <c r="K215" i="20" s="1"/>
  <c r="K226" i="20" a="1"/>
  <c r="K226" i="20" s="1"/>
  <c r="K236" i="20" a="1"/>
  <c r="K236" i="20" s="1"/>
  <c r="K247" i="20" a="1"/>
  <c r="K247" i="20" s="1"/>
  <c r="K257" i="20" a="1"/>
  <c r="K257" i="20" s="1"/>
  <c r="L6" i="20" a="1"/>
  <c r="L6" i="20" s="1"/>
  <c r="N6" i="20" s="1"/>
  <c r="L16" i="20" a="1"/>
  <c r="L16" i="20" s="1"/>
  <c r="L36" i="20" a="1"/>
  <c r="L36" i="20" s="1"/>
  <c r="L55" i="20" a="1"/>
  <c r="L55" i="20" s="1"/>
  <c r="K24" i="20" a="1"/>
  <c r="K24" i="20" s="1"/>
  <c r="K56" i="20" a="1"/>
  <c r="K56" i="20" s="1"/>
  <c r="K88" i="20" a="1"/>
  <c r="K88" i="20" s="1"/>
  <c r="K120" i="20" a="1"/>
  <c r="K120" i="20" s="1"/>
  <c r="K152" i="20" a="1"/>
  <c r="K152" i="20" s="1"/>
  <c r="K184" i="20" a="1"/>
  <c r="K184" i="20" s="1"/>
  <c r="K216" i="20" a="1"/>
  <c r="K216" i="20" s="1"/>
  <c r="K248" i="20" a="1"/>
  <c r="K248" i="20" s="1"/>
  <c r="K267" i="20" a="1"/>
  <c r="K267" i="20" s="1"/>
  <c r="L17" i="20" a="1"/>
  <c r="L17" i="20" s="1"/>
  <c r="L27" i="20" a="1"/>
  <c r="L27" i="20" s="1"/>
  <c r="N27" i="20" s="1"/>
  <c r="L46" i="20" a="1"/>
  <c r="L46" i="20" s="1"/>
  <c r="L56" i="20" a="1"/>
  <c r="L56" i="20" s="1"/>
  <c r="L66" i="20" a="1"/>
  <c r="L66" i="20" s="1"/>
  <c r="L75" i="20" a="1"/>
  <c r="L75" i="20" s="1"/>
  <c r="N75" i="20" s="1"/>
  <c r="L84" i="20" a="1"/>
  <c r="L84" i="20" s="1"/>
  <c r="L93" i="20" a="1"/>
  <c r="L93" i="20" s="1"/>
  <c r="L102" i="20" a="1"/>
  <c r="L102" i="20" s="1"/>
  <c r="L111" i="20" a="1"/>
  <c r="L111" i="20" s="1"/>
  <c r="L121" i="20" a="1"/>
  <c r="L121" i="20" s="1"/>
  <c r="L130" i="20" a="1"/>
  <c r="L130" i="20" s="1"/>
  <c r="N130" i="20" s="1"/>
  <c r="L139" i="20" a="1"/>
  <c r="L139" i="20" s="1"/>
  <c r="N139" i="20" s="1"/>
  <c r="L147" i="20" a="1"/>
  <c r="L147" i="20" s="1"/>
  <c r="N147" i="20" s="1"/>
  <c r="K3" i="20" a="1"/>
  <c r="K3" i="20" s="1"/>
  <c r="K13" i="20" a="1"/>
  <c r="K13" i="20" s="1"/>
  <c r="K25" i="20" a="1"/>
  <c r="K25" i="20" s="1"/>
  <c r="K35" i="20" a="1"/>
  <c r="K35" i="20" s="1"/>
  <c r="K45" i="20" a="1"/>
  <c r="K45" i="20" s="1"/>
  <c r="K57" i="20" a="1"/>
  <c r="K57" i="20" s="1"/>
  <c r="K67" i="20" a="1"/>
  <c r="K67" i="20" s="1"/>
  <c r="K77" i="20" a="1"/>
  <c r="K77" i="20" s="1"/>
  <c r="K89" i="20" a="1"/>
  <c r="K89" i="20" s="1"/>
  <c r="K99" i="20" a="1"/>
  <c r="K99" i="20" s="1"/>
  <c r="K109" i="20" a="1"/>
  <c r="K109" i="20" s="1"/>
  <c r="K121" i="20" a="1"/>
  <c r="K121" i="20" s="1"/>
  <c r="K131" i="20" a="1"/>
  <c r="K131" i="20" s="1"/>
  <c r="K141" i="20" a="1"/>
  <c r="K141" i="20" s="1"/>
  <c r="K153" i="20" a="1"/>
  <c r="K153" i="20" s="1"/>
  <c r="K163" i="20" a="1"/>
  <c r="K163" i="20" s="1"/>
  <c r="K173" i="20" a="1"/>
  <c r="K173" i="20" s="1"/>
  <c r="K185" i="20" a="1"/>
  <c r="K185" i="20" s="1"/>
  <c r="K195" i="20" a="1"/>
  <c r="K195" i="20" s="1"/>
  <c r="K205" i="20" a="1"/>
  <c r="K205" i="20" s="1"/>
  <c r="K217" i="20" a="1"/>
  <c r="K217" i="20" s="1"/>
  <c r="K227" i="20" a="1"/>
  <c r="K227" i="20" s="1"/>
  <c r="K237" i="20" a="1"/>
  <c r="K237" i="20" s="1"/>
  <c r="K258" i="20" a="1"/>
  <c r="K258" i="20" s="1"/>
  <c r="L7" i="20" a="1"/>
  <c r="L7" i="20" s="1"/>
  <c r="L18" i="20" a="1"/>
  <c r="L18" i="20" s="1"/>
  <c r="N18" i="20" s="1"/>
  <c r="L37" i="20" a="1"/>
  <c r="L37" i="20" s="1"/>
  <c r="L57" i="20" a="1"/>
  <c r="L57" i="20" s="1"/>
  <c r="K14" i="20" a="1"/>
  <c r="K14" i="20" s="1"/>
  <c r="K46" i="20" a="1"/>
  <c r="K46" i="20" s="1"/>
  <c r="K78" i="20" a="1"/>
  <c r="K78" i="20" s="1"/>
  <c r="K110" i="20" a="1"/>
  <c r="K110" i="20" s="1"/>
  <c r="K142" i="20" a="1"/>
  <c r="K142" i="20" s="1"/>
  <c r="K174" i="20" a="1"/>
  <c r="K174" i="20" s="1"/>
  <c r="K206" i="20" a="1"/>
  <c r="K206" i="20" s="1"/>
  <c r="K238" i="20" a="1"/>
  <c r="K238" i="20" s="1"/>
  <c r="K249" i="20" a="1"/>
  <c r="K249" i="20" s="1"/>
  <c r="K268" i="20" a="1"/>
  <c r="K268" i="20" s="1"/>
  <c r="L8" i="20" a="1"/>
  <c r="L8" i="20" s="1"/>
  <c r="N8" i="20" s="1"/>
  <c r="L28" i="20" a="1"/>
  <c r="L28" i="20" s="1"/>
  <c r="L47" i="20" a="1"/>
  <c r="L47" i="20" s="1"/>
  <c r="L58" i="20" a="1"/>
  <c r="L58" i="20" s="1"/>
  <c r="N58" i="20" s="1"/>
  <c r="L67" i="20" a="1"/>
  <c r="L67" i="20" s="1"/>
  <c r="L76" i="20" a="1"/>
  <c r="L76" i="20" s="1"/>
  <c r="N76" i="20" s="1"/>
  <c r="L85" i="20" a="1"/>
  <c r="L85" i="20" s="1"/>
  <c r="L94" i="20" a="1"/>
  <c r="L94" i="20" s="1"/>
  <c r="L103" i="20" a="1"/>
  <c r="L103" i="20" s="1"/>
  <c r="N103" i="20" s="1"/>
  <c r="L113" i="20" a="1"/>
  <c r="L113" i="20" s="1"/>
  <c r="L122" i="20" a="1"/>
  <c r="L122" i="20" s="1"/>
  <c r="N122" i="20" s="1"/>
  <c r="L131" i="20" a="1"/>
  <c r="L131" i="20" s="1"/>
  <c r="N131" i="20" s="1"/>
  <c r="L140" i="20" a="1"/>
  <c r="L140" i="20" s="1"/>
  <c r="L148" i="20" a="1"/>
  <c r="L148" i="20" s="1"/>
  <c r="L156" i="20" a="1"/>
  <c r="L156" i="20" s="1"/>
  <c r="L164" i="20" a="1"/>
  <c r="L164" i="20" s="1"/>
  <c r="L172" i="20" a="1"/>
  <c r="L172" i="20" s="1"/>
  <c r="L180" i="20" a="1"/>
  <c r="L180" i="20" s="1"/>
  <c r="K4" i="20" a="1"/>
  <c r="K4" i="20" s="1"/>
  <c r="K15" i="20" a="1"/>
  <c r="K15" i="20" s="1"/>
  <c r="K26" i="20" a="1"/>
  <c r="K26" i="20" s="1"/>
  <c r="K36" i="20" a="1"/>
  <c r="K36" i="20" s="1"/>
  <c r="K47" i="20" a="1"/>
  <c r="K47" i="20" s="1"/>
  <c r="K58" i="20" a="1"/>
  <c r="K58" i="20" s="1"/>
  <c r="K68" i="20" a="1"/>
  <c r="K68" i="20" s="1"/>
  <c r="K79" i="20" a="1"/>
  <c r="K79" i="20" s="1"/>
  <c r="K90" i="20" a="1"/>
  <c r="K90" i="20" s="1"/>
  <c r="K100" i="20" a="1"/>
  <c r="K100" i="20" s="1"/>
  <c r="K111" i="20" a="1"/>
  <c r="K111" i="20" s="1"/>
  <c r="K122" i="20" a="1"/>
  <c r="K122" i="20" s="1"/>
  <c r="K132" i="20" a="1"/>
  <c r="K132" i="20" s="1"/>
  <c r="K143" i="20" a="1"/>
  <c r="K143" i="20" s="1"/>
  <c r="K154" i="20" a="1"/>
  <c r="K154" i="20" s="1"/>
  <c r="K164" i="20" a="1"/>
  <c r="K164" i="20" s="1"/>
  <c r="K175" i="20" a="1"/>
  <c r="K175" i="20" s="1"/>
  <c r="K186" i="20" a="1"/>
  <c r="K186" i="20" s="1"/>
  <c r="K196" i="20" a="1"/>
  <c r="K196" i="20" s="1"/>
  <c r="K207" i="20" a="1"/>
  <c r="K207" i="20" s="1"/>
  <c r="K218" i="20" a="1"/>
  <c r="K218" i="20" s="1"/>
  <c r="K228" i="20" a="1"/>
  <c r="K228" i="20" s="1"/>
  <c r="K239" i="20" a="1"/>
  <c r="K239" i="20" s="1"/>
  <c r="K259" i="20" a="1"/>
  <c r="K259" i="20" s="1"/>
  <c r="L9" i="20" a="1"/>
  <c r="L9" i="20" s="1"/>
  <c r="L19" i="20" a="1"/>
  <c r="L19" i="20" s="1"/>
  <c r="N19" i="20" s="1"/>
  <c r="L38" i="20" a="1"/>
  <c r="L38" i="20" s="1"/>
  <c r="L104" i="20" a="1"/>
  <c r="L104" i="20" s="1"/>
  <c r="K16" i="20" a="1"/>
  <c r="K16" i="20" s="1"/>
  <c r="K250" i="20" a="1"/>
  <c r="K250" i="20" s="1"/>
  <c r="K269" i="20" a="1"/>
  <c r="K269" i="20" s="1"/>
  <c r="L10" i="20" a="1"/>
  <c r="L10" i="20" s="1"/>
  <c r="L29" i="20" a="1"/>
  <c r="L29" i="20" s="1"/>
  <c r="L49" i="20" a="1"/>
  <c r="L49" i="20" s="1"/>
  <c r="L59" i="20" a="1"/>
  <c r="L59" i="20" s="1"/>
  <c r="N59" i="20" s="1"/>
  <c r="L68" i="20" a="1"/>
  <c r="L68" i="20" s="1"/>
  <c r="L77" i="20" a="1"/>
  <c r="L77" i="20" s="1"/>
  <c r="L86" i="20" a="1"/>
  <c r="L86" i="20" s="1"/>
  <c r="L95" i="20" a="1"/>
  <c r="L95" i="20" s="1"/>
  <c r="N95" i="20" s="1"/>
  <c r="L105" i="20" a="1"/>
  <c r="L105" i="20" s="1"/>
  <c r="L114" i="20" a="1"/>
  <c r="L114" i="20" s="1"/>
  <c r="N114" i="20" s="1"/>
  <c r="L123" i="20" a="1"/>
  <c r="L123" i="20" s="1"/>
  <c r="N123" i="20" s="1"/>
  <c r="L132" i="20" a="1"/>
  <c r="L132" i="20" s="1"/>
  <c r="L141" i="20" a="1"/>
  <c r="L141" i="20" s="1"/>
  <c r="L149" i="20" a="1"/>
  <c r="L149" i="20" s="1"/>
  <c r="L157" i="20" a="1"/>
  <c r="L157" i="20" s="1"/>
  <c r="N157" i="20" s="1"/>
  <c r="L165" i="20" a="1"/>
  <c r="L165" i="20" s="1"/>
  <c r="L173" i="20" a="1"/>
  <c r="L173" i="20" s="1"/>
  <c r="L181" i="20" a="1"/>
  <c r="L181" i="20" s="1"/>
  <c r="L189" i="20" a="1"/>
  <c r="L189" i="20" s="1"/>
  <c r="L197" i="20" a="1"/>
  <c r="L197" i="20" s="1"/>
  <c r="L205" i="20" a="1"/>
  <c r="L205" i="20" s="1"/>
  <c r="L213" i="20" a="1"/>
  <c r="L213" i="20" s="1"/>
  <c r="L221" i="20" a="1"/>
  <c r="L221" i="20" s="1"/>
  <c r="L229" i="20" a="1"/>
  <c r="L229" i="20" s="1"/>
  <c r="L237" i="20" a="1"/>
  <c r="L237" i="20" s="1"/>
  <c r="N237" i="20" s="1"/>
  <c r="L245" i="20" a="1"/>
  <c r="L245" i="20" s="1"/>
  <c r="N245" i="20" s="1"/>
  <c r="K5" i="20" a="1"/>
  <c r="K5" i="20" s="1"/>
  <c r="K17" i="20" a="1"/>
  <c r="K17" i="20" s="1"/>
  <c r="K27" i="20" a="1"/>
  <c r="K27" i="20" s="1"/>
  <c r="K37" i="20" a="1"/>
  <c r="K37" i="20" s="1"/>
  <c r="K49" i="20" a="1"/>
  <c r="K49" i="20" s="1"/>
  <c r="K59" i="20" a="1"/>
  <c r="K59" i="20" s="1"/>
  <c r="K69" i="20" a="1"/>
  <c r="K69" i="20" s="1"/>
  <c r="K81" i="20" a="1"/>
  <c r="K81" i="20" s="1"/>
  <c r="K91" i="20" a="1"/>
  <c r="K91" i="20" s="1"/>
  <c r="K101" i="20" a="1"/>
  <c r="K101" i="20" s="1"/>
  <c r="K113" i="20" a="1"/>
  <c r="K113" i="20" s="1"/>
  <c r="K123" i="20" a="1"/>
  <c r="K123" i="20" s="1"/>
  <c r="K133" i="20" a="1"/>
  <c r="K133" i="20" s="1"/>
  <c r="K145" i="20" a="1"/>
  <c r="K145" i="20" s="1"/>
  <c r="K155" i="20" a="1"/>
  <c r="K155" i="20" s="1"/>
  <c r="K165" i="20" a="1"/>
  <c r="K165" i="20" s="1"/>
  <c r="K177" i="20" a="1"/>
  <c r="K177" i="20" s="1"/>
  <c r="K187" i="20" a="1"/>
  <c r="K187" i="20" s="1"/>
  <c r="K197" i="20" a="1"/>
  <c r="K197" i="20" s="1"/>
  <c r="K209" i="20" a="1"/>
  <c r="K209" i="20" s="1"/>
  <c r="K219" i="20" a="1"/>
  <c r="K219" i="20" s="1"/>
  <c r="K229" i="20" a="1"/>
  <c r="K229" i="20" s="1"/>
  <c r="K241" i="20" a="1"/>
  <c r="K241" i="20" s="1"/>
  <c r="K6" i="20" a="1"/>
  <c r="K6" i="20" s="1"/>
  <c r="K38" i="20" a="1"/>
  <c r="K38" i="20" s="1"/>
  <c r="K70" i="20" a="1"/>
  <c r="K70" i="20" s="1"/>
  <c r="K102" i="20" a="1"/>
  <c r="K102" i="20" s="1"/>
  <c r="K134" i="20" a="1"/>
  <c r="K134" i="20" s="1"/>
  <c r="K166" i="20" a="1"/>
  <c r="K166" i="20" s="1"/>
  <c r="K198" i="20" a="1"/>
  <c r="K198" i="20" s="1"/>
  <c r="K230" i="20" a="1"/>
  <c r="K230" i="20" s="1"/>
  <c r="K251" i="20" a="1"/>
  <c r="K251" i="20" s="1"/>
  <c r="K271" i="20" a="1"/>
  <c r="K271" i="20" s="1"/>
  <c r="L11" i="20" a="1"/>
  <c r="L11" i="20" s="1"/>
  <c r="N11" i="20" s="1"/>
  <c r="L30" i="20" a="1"/>
  <c r="L30" i="20" s="1"/>
  <c r="L40" i="20" a="1"/>
  <c r="L40" i="20" s="1"/>
  <c r="N40" i="20" s="1"/>
  <c r="L60" i="20" a="1"/>
  <c r="L60" i="20" s="1"/>
  <c r="L69" i="20" a="1"/>
  <c r="L69" i="20" s="1"/>
  <c r="L78" i="20" a="1"/>
  <c r="L78" i="20" s="1"/>
  <c r="L87" i="20" a="1"/>
  <c r="L87" i="20" s="1"/>
  <c r="L97" i="20" a="1"/>
  <c r="L97" i="20" s="1"/>
  <c r="N97" i="20" s="1"/>
  <c r="L106" i="20" a="1"/>
  <c r="L106" i="20" s="1"/>
  <c r="N106" i="20" s="1"/>
  <c r="L115" i="20" a="1"/>
  <c r="L115" i="20" s="1"/>
  <c r="N115" i="20" s="1"/>
  <c r="L124" i="20" a="1"/>
  <c r="L124" i="20" s="1"/>
  <c r="L133" i="20" a="1"/>
  <c r="L133" i="20" s="1"/>
  <c r="L142" i="20" a="1"/>
  <c r="L142" i="20" s="1"/>
  <c r="L150" i="20" a="1"/>
  <c r="L150" i="20" s="1"/>
  <c r="L158" i="20" a="1"/>
  <c r="L158" i="20" s="1"/>
  <c r="L166" i="20" a="1"/>
  <c r="L166" i="20" s="1"/>
  <c r="L174" i="20" a="1"/>
  <c r="L174" i="20" s="1"/>
  <c r="L182" i="20" a="1"/>
  <c r="L182" i="20" s="1"/>
  <c r="K7" i="20" a="1"/>
  <c r="K7" i="20" s="1"/>
  <c r="K18" i="20" a="1"/>
  <c r="K18" i="20" s="1"/>
  <c r="K28" i="20" a="1"/>
  <c r="K28" i="20" s="1"/>
  <c r="K39" i="20" a="1"/>
  <c r="K39" i="20" s="1"/>
  <c r="K50" i="20" a="1"/>
  <c r="K50" i="20" s="1"/>
  <c r="K60" i="20" a="1"/>
  <c r="K60" i="20" s="1"/>
  <c r="K71" i="20" a="1"/>
  <c r="K71" i="20" s="1"/>
  <c r="K82" i="20" a="1"/>
  <c r="K82" i="20" s="1"/>
  <c r="K92" i="20" a="1"/>
  <c r="K92" i="20" s="1"/>
  <c r="K103" i="20" a="1"/>
  <c r="K103" i="20" s="1"/>
  <c r="K114" i="20" a="1"/>
  <c r="K114" i="20" s="1"/>
  <c r="K124" i="20" a="1"/>
  <c r="K124" i="20" s="1"/>
  <c r="K135" i="20" a="1"/>
  <c r="K135" i="20" s="1"/>
  <c r="K146" i="20" a="1"/>
  <c r="K146" i="20" s="1"/>
  <c r="K156" i="20" a="1"/>
  <c r="K156" i="20" s="1"/>
  <c r="K167" i="20" a="1"/>
  <c r="K167" i="20" s="1"/>
  <c r="K178" i="20" a="1"/>
  <c r="K178" i="20" s="1"/>
  <c r="K188" i="20" a="1"/>
  <c r="K188" i="20" s="1"/>
  <c r="K199" i="20" a="1"/>
  <c r="K199" i="20" s="1"/>
  <c r="K210" i="20" a="1"/>
  <c r="K210" i="20" s="1"/>
  <c r="K220" i="20" a="1"/>
  <c r="K220" i="20" s="1"/>
  <c r="K231" i="20" a="1"/>
  <c r="K231" i="20" s="1"/>
  <c r="K242" i="20" a="1"/>
  <c r="K242" i="20" s="1"/>
  <c r="K261" i="20" a="1"/>
  <c r="K261" i="20" s="1"/>
  <c r="L2" i="20" a="1"/>
  <c r="L2" i="20" s="1"/>
  <c r="N2" i="20" s="1"/>
  <c r="L21" i="20" a="1"/>
  <c r="L21" i="20" s="1"/>
  <c r="N21" i="20" s="1"/>
  <c r="K8" i="20" a="1"/>
  <c r="K8" i="20" s="1"/>
  <c r="K40" i="20" a="1"/>
  <c r="K40" i="20" s="1"/>
  <c r="K72" i="20" a="1"/>
  <c r="K72" i="20" s="1"/>
  <c r="K104" i="20" a="1"/>
  <c r="K104" i="20" s="1"/>
  <c r="K136" i="20" a="1"/>
  <c r="K136" i="20" s="1"/>
  <c r="K168" i="20" a="1"/>
  <c r="K168" i="20" s="1"/>
  <c r="K200" i="20" a="1"/>
  <c r="K200" i="20" s="1"/>
  <c r="K232" i="20" a="1"/>
  <c r="K232" i="20" s="1"/>
  <c r="K252" i="20" a="1"/>
  <c r="K252" i="20" s="1"/>
  <c r="K262" i="20" a="1"/>
  <c r="K262" i="20" s="1"/>
  <c r="L12" i="20" a="1"/>
  <c r="L12" i="20" s="1"/>
  <c r="L31" i="20" a="1"/>
  <c r="L31" i="20" s="1"/>
  <c r="L42" i="20" a="1"/>
  <c r="L42" i="20" s="1"/>
  <c r="L61" i="20" a="1"/>
  <c r="L61" i="20" s="1"/>
  <c r="L70" i="20" a="1"/>
  <c r="L70" i="20" s="1"/>
  <c r="L79" i="20" a="1"/>
  <c r="L79" i="20" s="1"/>
  <c r="L89" i="20" a="1"/>
  <c r="L89" i="20" s="1"/>
  <c r="L98" i="20" a="1"/>
  <c r="L98" i="20" s="1"/>
  <c r="L107" i="20" a="1"/>
  <c r="L107" i="20" s="1"/>
  <c r="L116" i="20" a="1"/>
  <c r="L116" i="20" s="1"/>
  <c r="N116" i="20" s="1"/>
  <c r="L125" i="20" a="1"/>
  <c r="L125" i="20" s="1"/>
  <c r="L134" i="20" a="1"/>
  <c r="L134" i="20" s="1"/>
  <c r="L143" i="20" a="1"/>
  <c r="L143" i="20" s="1"/>
  <c r="N143" i="20" s="1"/>
  <c r="L151" i="20" a="1"/>
  <c r="L151" i="20" s="1"/>
  <c r="N151" i="20" s="1"/>
  <c r="L159" i="20" a="1"/>
  <c r="L159" i="20" s="1"/>
  <c r="L167" i="20" a="1"/>
  <c r="L167" i="20" s="1"/>
  <c r="L175" i="20" a="1"/>
  <c r="L175" i="20" s="1"/>
  <c r="L183" i="20" a="1"/>
  <c r="L183" i="20" s="1"/>
  <c r="K9" i="20" a="1"/>
  <c r="K9" i="20" s="1"/>
  <c r="K19" i="20" a="1"/>
  <c r="K19" i="20" s="1"/>
  <c r="K29" i="20" a="1"/>
  <c r="K29" i="20" s="1"/>
  <c r="K41" i="20" a="1"/>
  <c r="K41" i="20" s="1"/>
  <c r="K51" i="20" a="1"/>
  <c r="K51" i="20" s="1"/>
  <c r="K61" i="20" a="1"/>
  <c r="K61" i="20" s="1"/>
  <c r="K73" i="20" a="1"/>
  <c r="K73" i="20" s="1"/>
  <c r="K83" i="20" a="1"/>
  <c r="K83" i="20" s="1"/>
  <c r="K93" i="20" a="1"/>
  <c r="K93" i="20" s="1"/>
  <c r="K105" i="20" a="1"/>
  <c r="K105" i="20" s="1"/>
  <c r="K115" i="20" a="1"/>
  <c r="K115" i="20" s="1"/>
  <c r="K125" i="20" a="1"/>
  <c r="K125" i="20" s="1"/>
  <c r="K137" i="20" a="1"/>
  <c r="K137" i="20" s="1"/>
  <c r="K147" i="20" a="1"/>
  <c r="K147" i="20" s="1"/>
  <c r="K157" i="20" a="1"/>
  <c r="K157" i="20" s="1"/>
  <c r="K169" i="20" a="1"/>
  <c r="K169" i="20" s="1"/>
  <c r="K179" i="20" a="1"/>
  <c r="K179" i="20" s="1"/>
  <c r="K189" i="20" a="1"/>
  <c r="K189" i="20" s="1"/>
  <c r="K201" i="20" a="1"/>
  <c r="K201" i="20" s="1"/>
  <c r="K211" i="20" a="1"/>
  <c r="K211" i="20" s="1"/>
  <c r="K221" i="20" a="1"/>
  <c r="K221" i="20" s="1"/>
  <c r="K233" i="20" a="1"/>
  <c r="K233" i="20" s="1"/>
  <c r="K243" i="20" a="1"/>
  <c r="K243" i="20" s="1"/>
  <c r="K263" i="20" a="1"/>
  <c r="K263" i="20" s="1"/>
  <c r="L3" i="20" a="1"/>
  <c r="L3" i="20" s="1"/>
  <c r="L22" i="20" a="1"/>
  <c r="L22" i="20" s="1"/>
  <c r="L52" i="20" a="1"/>
  <c r="L52" i="20" s="1"/>
  <c r="K10" i="20" a="1"/>
  <c r="K10" i="20" s="1"/>
  <c r="K20" i="20" a="1"/>
  <c r="K20" i="20" s="1"/>
  <c r="K31" i="20" a="1"/>
  <c r="K31" i="20" s="1"/>
  <c r="K42" i="20" a="1"/>
  <c r="K42" i="20" s="1"/>
  <c r="K52" i="20" a="1"/>
  <c r="K52" i="20" s="1"/>
  <c r="K63" i="20" a="1"/>
  <c r="K63" i="20" s="1"/>
  <c r="K74" i="20" a="1"/>
  <c r="K74" i="20" s="1"/>
  <c r="K84" i="20" a="1"/>
  <c r="K84" i="20" s="1"/>
  <c r="K95" i="20" a="1"/>
  <c r="K95" i="20" s="1"/>
  <c r="K106" i="20" a="1"/>
  <c r="K106" i="20" s="1"/>
  <c r="K116" i="20" a="1"/>
  <c r="K116" i="20" s="1"/>
  <c r="K127" i="20" a="1"/>
  <c r="K127" i="20" s="1"/>
  <c r="K138" i="20" a="1"/>
  <c r="K138" i="20" s="1"/>
  <c r="K148" i="20" a="1"/>
  <c r="K148" i="20" s="1"/>
  <c r="K159" i="20" a="1"/>
  <c r="K159" i="20" s="1"/>
  <c r="K170" i="20" a="1"/>
  <c r="K170" i="20" s="1"/>
  <c r="K180" i="20" a="1"/>
  <c r="K180" i="20" s="1"/>
  <c r="K191" i="20" a="1"/>
  <c r="K191" i="20" s="1"/>
  <c r="K202" i="20" a="1"/>
  <c r="K202" i="20" s="1"/>
  <c r="K212" i="20" a="1"/>
  <c r="K212" i="20" s="1"/>
  <c r="K223" i="20" a="1"/>
  <c r="K223" i="20" s="1"/>
  <c r="K234" i="20" a="1"/>
  <c r="K234" i="20" s="1"/>
  <c r="K244" i="20" a="1"/>
  <c r="K244" i="20" s="1"/>
  <c r="K254" i="20" a="1"/>
  <c r="K254" i="20" s="1"/>
  <c r="L4" i="20" a="1"/>
  <c r="L4" i="20" s="1"/>
  <c r="L23" i="20" a="1"/>
  <c r="L23" i="20" s="1"/>
  <c r="N23" i="20" s="1"/>
  <c r="L34" i="20" a="1"/>
  <c r="L34" i="20" s="1"/>
  <c r="N34" i="20" s="1"/>
  <c r="L53" i="20" a="1"/>
  <c r="L53" i="20" s="1"/>
  <c r="K264" i="20" a="1"/>
  <c r="K264" i="20" s="1"/>
  <c r="L108" i="20" a="1"/>
  <c r="L108" i="20" s="1"/>
  <c r="L215" i="20" a="1"/>
  <c r="L215" i="20" s="1"/>
  <c r="L265" i="20" a="1"/>
  <c r="L265" i="20" s="1"/>
  <c r="N265" i="20" s="1"/>
  <c r="O7" i="20" a="1"/>
  <c r="O7" i="20" s="1"/>
  <c r="O24" i="20" a="1"/>
  <c r="O24" i="20" s="1"/>
  <c r="O41" i="20" a="1"/>
  <c r="O41" i="20" s="1"/>
  <c r="O58" i="20" a="1"/>
  <c r="O58" i="20" s="1"/>
  <c r="O75" i="20" a="1"/>
  <c r="O75" i="20" s="1"/>
  <c r="O92" i="20" a="1"/>
  <c r="O92" i="20" s="1"/>
  <c r="O109" i="20" a="1"/>
  <c r="O109" i="20" s="1"/>
  <c r="O126" i="20" a="1"/>
  <c r="O126" i="20" s="1"/>
  <c r="O135" i="20" a="1"/>
  <c r="O135" i="20" s="1"/>
  <c r="O152" i="20" a="1"/>
  <c r="O152" i="20" s="1"/>
  <c r="O169" i="20" a="1"/>
  <c r="O169" i="20" s="1"/>
  <c r="O186" i="20" a="1"/>
  <c r="O186" i="20" s="1"/>
  <c r="O203" i="20" a="1"/>
  <c r="O203" i="20" s="1"/>
  <c r="O220" i="20" a="1"/>
  <c r="O220" i="20" s="1"/>
  <c r="K126" i="20" a="1"/>
  <c r="K126" i="20" s="1"/>
  <c r="K270" i="20" a="1"/>
  <c r="K270" i="20" s="1"/>
  <c r="L195" i="20" a="1"/>
  <c r="L195" i="20" s="1"/>
  <c r="L216" i="20" a="1"/>
  <c r="L216" i="20" s="1"/>
  <c r="L227" i="20" a="1"/>
  <c r="L227" i="20" s="1"/>
  <c r="N227" i="20" s="1"/>
  <c r="L247" i="20" a="1"/>
  <c r="L247" i="20" s="1"/>
  <c r="L266" i="20" a="1"/>
  <c r="L266" i="20" s="1"/>
  <c r="O16" i="20" a="1"/>
  <c r="O16" i="20" s="1"/>
  <c r="O33" i="20" a="1"/>
  <c r="O33" i="20" s="1"/>
  <c r="O50" i="20" a="1"/>
  <c r="O50" i="20" s="1"/>
  <c r="O67" i="20" a="1"/>
  <c r="O67" i="20" s="1"/>
  <c r="O84" i="20" a="1"/>
  <c r="O84" i="20" s="1"/>
  <c r="O101" i="20" a="1"/>
  <c r="O101" i="20" s="1"/>
  <c r="O118" i="20" a="1"/>
  <c r="O118" i="20" s="1"/>
  <c r="O127" i="20" a="1"/>
  <c r="O127" i="20" s="1"/>
  <c r="O161" i="20" a="1"/>
  <c r="O161" i="20" s="1"/>
  <c r="O178" i="20" a="1"/>
  <c r="O178" i="20" s="1"/>
  <c r="O195" i="20" a="1"/>
  <c r="O195" i="20" s="1"/>
  <c r="O212" i="20" a="1"/>
  <c r="O212" i="20" s="1"/>
  <c r="O229" i="20" a="1"/>
  <c r="O229" i="20" s="1"/>
  <c r="O246" i="20" a="1"/>
  <c r="O246" i="20" s="1"/>
  <c r="L62" i="20" a="1"/>
  <c r="L62" i="20" s="1"/>
  <c r="N62" i="20" s="1"/>
  <c r="L206" i="20" a="1"/>
  <c r="L206" i="20" s="1"/>
  <c r="L238" i="20" a="1"/>
  <c r="L238" i="20" s="1"/>
  <c r="L248" i="20" a="1"/>
  <c r="L248" i="20" s="1"/>
  <c r="N248" i="20" s="1"/>
  <c r="L257" i="20" a="1"/>
  <c r="L257" i="20" s="1"/>
  <c r="O8" i="20" a="1"/>
  <c r="O8" i="20" s="1"/>
  <c r="O25" i="20" a="1"/>
  <c r="O25" i="20" s="1"/>
  <c r="O42" i="20" a="1"/>
  <c r="O42" i="20" s="1"/>
  <c r="O59" i="20" a="1"/>
  <c r="O59" i="20" s="1"/>
  <c r="O76" i="20" a="1"/>
  <c r="O76" i="20" s="1"/>
  <c r="O93" i="20" a="1"/>
  <c r="O93" i="20" s="1"/>
  <c r="O110" i="20" a="1"/>
  <c r="O110" i="20" s="1"/>
  <c r="O119" i="20" a="1"/>
  <c r="O119" i="20" s="1"/>
  <c r="O136" i="20" a="1"/>
  <c r="O136" i="20" s="1"/>
  <c r="O153" i="20" a="1"/>
  <c r="O153" i="20" s="1"/>
  <c r="O170" i="20" a="1"/>
  <c r="O170" i="20" s="1"/>
  <c r="O187" i="20" a="1"/>
  <c r="O187" i="20" s="1"/>
  <c r="O204" i="20" a="1"/>
  <c r="O204" i="20" s="1"/>
  <c r="O221" i="20" a="1"/>
  <c r="O221" i="20" s="1"/>
  <c r="O238" i="20" a="1"/>
  <c r="O238" i="20" s="1"/>
  <c r="O247" i="20" a="1"/>
  <c r="O247" i="20" s="1"/>
  <c r="O255" i="20" a="1"/>
  <c r="O255" i="20" s="1"/>
  <c r="L88" i="20" a="1"/>
  <c r="L88" i="20" s="1"/>
  <c r="L152" i="20" a="1"/>
  <c r="L152" i="20" s="1"/>
  <c r="L168" i="20" a="1"/>
  <c r="L168" i="20" s="1"/>
  <c r="L184" i="20" a="1"/>
  <c r="L184" i="20" s="1"/>
  <c r="N184" i="20" s="1"/>
  <c r="L196" i="20" a="1"/>
  <c r="L196" i="20" s="1"/>
  <c r="L218" i="20" a="1"/>
  <c r="L218" i="20" s="1"/>
  <c r="L228" i="20" a="1"/>
  <c r="L228" i="20" s="1"/>
  <c r="N228" i="20" s="1"/>
  <c r="L258" i="20" a="1"/>
  <c r="L258" i="20" s="1"/>
  <c r="N258" i="20" s="1"/>
  <c r="L267" i="20" a="1"/>
  <c r="L267" i="20" s="1"/>
  <c r="O17" i="20" a="1"/>
  <c r="O17" i="20" s="1"/>
  <c r="O34" i="20" a="1"/>
  <c r="O34" i="20" s="1"/>
  <c r="O51" i="20" a="1"/>
  <c r="O51" i="20" s="1"/>
  <c r="O68" i="20" a="1"/>
  <c r="O68" i="20" s="1"/>
  <c r="O85" i="20" a="1"/>
  <c r="O85" i="20" s="1"/>
  <c r="O102" i="20" a="1"/>
  <c r="O102" i="20" s="1"/>
  <c r="O111" i="20" a="1"/>
  <c r="O111" i="20" s="1"/>
  <c r="O145" i="20" a="1"/>
  <c r="O145" i="20" s="1"/>
  <c r="O162" i="20" a="1"/>
  <c r="O162" i="20" s="1"/>
  <c r="O179" i="20" a="1"/>
  <c r="O179" i="20" s="1"/>
  <c r="O196" i="20" a="1"/>
  <c r="O196" i="20" s="1"/>
  <c r="K158" i="20" a="1"/>
  <c r="K158" i="20" s="1"/>
  <c r="L13" i="20" a="1"/>
  <c r="L13" i="20" s="1"/>
  <c r="L90" i="20" a="1"/>
  <c r="L90" i="20" s="1"/>
  <c r="L207" i="20" a="1"/>
  <c r="L207" i="20" s="1"/>
  <c r="L239" i="20" a="1"/>
  <c r="L239" i="20" s="1"/>
  <c r="L249" i="20" a="1"/>
  <c r="L249" i="20" s="1"/>
  <c r="N249" i="20" s="1"/>
  <c r="O9" i="20" a="1"/>
  <c r="O9" i="20" s="1"/>
  <c r="O26" i="20" a="1"/>
  <c r="O26" i="20" s="1"/>
  <c r="O43" i="20" a="1"/>
  <c r="O43" i="20" s="1"/>
  <c r="O60" i="20" a="1"/>
  <c r="O60" i="20" s="1"/>
  <c r="O77" i="20" a="1"/>
  <c r="O77" i="20" s="1"/>
  <c r="O94" i="20" a="1"/>
  <c r="O94" i="20" s="1"/>
  <c r="O103" i="20" a="1"/>
  <c r="O103" i="20" s="1"/>
  <c r="O120" i="20" a="1"/>
  <c r="O120" i="20" s="1"/>
  <c r="O137" i="20" a="1"/>
  <c r="O137" i="20" s="1"/>
  <c r="O154" i="20" a="1"/>
  <c r="O154" i="20" s="1"/>
  <c r="O171" i="20" a="1"/>
  <c r="O171" i="20" s="1"/>
  <c r="L20" i="20" a="1"/>
  <c r="L20" i="20" s="1"/>
  <c r="L135" i="20" a="1"/>
  <c r="L135" i="20" s="1"/>
  <c r="L219" i="20" a="1"/>
  <c r="L219" i="20" s="1"/>
  <c r="N219" i="20" s="1"/>
  <c r="L250" i="20" a="1"/>
  <c r="L250" i="20" s="1"/>
  <c r="N250" i="20" s="1"/>
  <c r="L259" i="20" a="1"/>
  <c r="L259" i="20" s="1"/>
  <c r="N259" i="20" s="1"/>
  <c r="L268" i="20" a="1"/>
  <c r="L268" i="20" s="1"/>
  <c r="N268" i="20" s="1"/>
  <c r="O18" i="20" a="1"/>
  <c r="O18" i="20" s="1"/>
  <c r="O35" i="20" a="1"/>
  <c r="O35" i="20" s="1"/>
  <c r="O52" i="20" a="1"/>
  <c r="O52" i="20" s="1"/>
  <c r="O69" i="20" a="1"/>
  <c r="O69" i="20" s="1"/>
  <c r="O86" i="20" a="1"/>
  <c r="O86" i="20" s="1"/>
  <c r="O95" i="20" a="1"/>
  <c r="O95" i="20" s="1"/>
  <c r="O129" i="20" a="1"/>
  <c r="O129" i="20" s="1"/>
  <c r="O146" i="20" a="1"/>
  <c r="O146" i="20" s="1"/>
  <c r="O163" i="20" a="1"/>
  <c r="O163" i="20" s="1"/>
  <c r="O180" i="20" a="1"/>
  <c r="O180" i="20" s="1"/>
  <c r="O197" i="20" a="1"/>
  <c r="O197" i="20" s="1"/>
  <c r="O214" i="20" a="1"/>
  <c r="O214" i="20" s="1"/>
  <c r="O223" i="20" a="1"/>
  <c r="O223" i="20" s="1"/>
  <c r="L136" i="20" a="1"/>
  <c r="L136" i="20" s="1"/>
  <c r="L155" i="20" a="1"/>
  <c r="L155" i="20" s="1"/>
  <c r="N155" i="20" s="1"/>
  <c r="L171" i="20" a="1"/>
  <c r="L171" i="20" s="1"/>
  <c r="N171" i="20" s="1"/>
  <c r="L187" i="20" a="1"/>
  <c r="L187" i="20" s="1"/>
  <c r="N187" i="20" s="1"/>
  <c r="L198" i="20" a="1"/>
  <c r="L198" i="20" s="1"/>
  <c r="L230" i="20" a="1"/>
  <c r="L230" i="20" s="1"/>
  <c r="N230" i="20" s="1"/>
  <c r="O10" i="20" a="1"/>
  <c r="O10" i="20" s="1"/>
  <c r="O27" i="20" a="1"/>
  <c r="O27" i="20" s="1"/>
  <c r="O44" i="20" a="1"/>
  <c r="O44" i="20" s="1"/>
  <c r="O61" i="20" a="1"/>
  <c r="O61" i="20" s="1"/>
  <c r="O78" i="20" a="1"/>
  <c r="O78" i="20" s="1"/>
  <c r="O87" i="20" a="1"/>
  <c r="O87" i="20" s="1"/>
  <c r="O104" i="20" a="1"/>
  <c r="O104" i="20" s="1"/>
  <c r="O121" i="20" a="1"/>
  <c r="O121" i="20" s="1"/>
  <c r="O138" i="20" a="1"/>
  <c r="O138" i="20" s="1"/>
  <c r="O155" i="20" a="1"/>
  <c r="O155" i="20" s="1"/>
  <c r="O172" i="20" a="1"/>
  <c r="O172" i="20" s="1"/>
  <c r="O189" i="20" a="1"/>
  <c r="O189" i="20" s="1"/>
  <c r="K190" i="20" a="1"/>
  <c r="K190" i="20" s="1"/>
  <c r="L117" i="20" a="1"/>
  <c r="L117" i="20" s="1"/>
  <c r="L210" i="20" a="1"/>
  <c r="L210" i="20" s="1"/>
  <c r="L220" i="20" a="1"/>
  <c r="L220" i="20" s="1"/>
  <c r="N220" i="20" s="1"/>
  <c r="L241" i="20" a="1"/>
  <c r="L241" i="20" s="1"/>
  <c r="L251" i="20" a="1"/>
  <c r="L251" i="20" s="1"/>
  <c r="N251" i="20" s="1"/>
  <c r="L260" i="20" a="1"/>
  <c r="L260" i="20" s="1"/>
  <c r="L269" i="20" a="1"/>
  <c r="L269" i="20" s="1"/>
  <c r="N269" i="20" s="1"/>
  <c r="O2" i="20" a="1"/>
  <c r="O2" i="20" s="1"/>
  <c r="O19" i="20" a="1"/>
  <c r="O19" i="20" s="1"/>
  <c r="O36" i="20" a="1"/>
  <c r="O36" i="20" s="1"/>
  <c r="O53" i="20" a="1"/>
  <c r="O53" i="20" s="1"/>
  <c r="O70" i="20" a="1"/>
  <c r="O70" i="20" s="1"/>
  <c r="O79" i="20" a="1"/>
  <c r="O79" i="20" s="1"/>
  <c r="O113" i="20" a="1"/>
  <c r="O113" i="20" s="1"/>
  <c r="O130" i="20" a="1"/>
  <c r="O130" i="20" s="1"/>
  <c r="O147" i="20" a="1"/>
  <c r="O147" i="20" s="1"/>
  <c r="O164" i="20" a="1"/>
  <c r="O164" i="20" s="1"/>
  <c r="O181" i="20" a="1"/>
  <c r="O181" i="20" s="1"/>
  <c r="O198" i="20" a="1"/>
  <c r="O198" i="20" s="1"/>
  <c r="O207" i="20" a="1"/>
  <c r="O207" i="20" s="1"/>
  <c r="K30" i="20" a="1"/>
  <c r="K30" i="20" s="1"/>
  <c r="L71" i="20" a="1"/>
  <c r="L71" i="20" s="1"/>
  <c r="L188" i="20" a="1"/>
  <c r="L188" i="20" s="1"/>
  <c r="L199" i="20" a="1"/>
  <c r="L199" i="20" s="1"/>
  <c r="N199" i="20" s="1"/>
  <c r="L231" i="20" a="1"/>
  <c r="L231" i="20" s="1"/>
  <c r="L242" i="20" a="1"/>
  <c r="L242" i="20" s="1"/>
  <c r="N242" i="20" s="1"/>
  <c r="O11" i="20" a="1"/>
  <c r="O11" i="20" s="1"/>
  <c r="O28" i="20" a="1"/>
  <c r="O28" i="20" s="1"/>
  <c r="O45" i="20" a="1"/>
  <c r="O45" i="20" s="1"/>
  <c r="O62" i="20" a="1"/>
  <c r="O62" i="20" s="1"/>
  <c r="O71" i="20" a="1"/>
  <c r="O71" i="20" s="1"/>
  <c r="O88" i="20" a="1"/>
  <c r="O88" i="20" s="1"/>
  <c r="O105" i="20" a="1"/>
  <c r="O105" i="20" s="1"/>
  <c r="O122" i="20" a="1"/>
  <c r="O122" i="20" s="1"/>
  <c r="O139" i="20" a="1"/>
  <c r="O139" i="20" s="1"/>
  <c r="O156" i="20" a="1"/>
  <c r="O156" i="20" s="1"/>
  <c r="O173" i="20" a="1"/>
  <c r="O173" i="20" s="1"/>
  <c r="O190" i="20" a="1"/>
  <c r="O190" i="20" s="1"/>
  <c r="O199" i="20" a="1"/>
  <c r="O199" i="20" s="1"/>
  <c r="O216" i="20" a="1"/>
  <c r="O216" i="20" s="1"/>
  <c r="O233" i="20" a="1"/>
  <c r="O233" i="20" s="1"/>
  <c r="O250" i="20" a="1"/>
  <c r="O250" i="20" s="1"/>
  <c r="L33" i="20" a="1"/>
  <c r="L33" i="20" s="1"/>
  <c r="N33" i="20" s="1"/>
  <c r="L72" i="20" a="1"/>
  <c r="L72" i="20" s="1"/>
  <c r="L120" i="20" a="1"/>
  <c r="L120" i="20" s="1"/>
  <c r="L200" i="20" a="1"/>
  <c r="L200" i="20" s="1"/>
  <c r="N200" i="20" s="1"/>
  <c r="L211" i="20" a="1"/>
  <c r="L211" i="20" s="1"/>
  <c r="N211" i="20" s="1"/>
  <c r="L232" i="20" a="1"/>
  <c r="L232" i="20" s="1"/>
  <c r="L252" i="20" a="1"/>
  <c r="L252" i="20" s="1"/>
  <c r="N252" i="20" s="1"/>
  <c r="L261" i="20" a="1"/>
  <c r="L261" i="20" s="1"/>
  <c r="L270" i="20" a="1"/>
  <c r="L270" i="20" s="1"/>
  <c r="N270" i="20" s="1"/>
  <c r="O3" i="20" a="1"/>
  <c r="O3" i="20" s="1"/>
  <c r="O20" i="20" a="1"/>
  <c r="O20" i="20" s="1"/>
  <c r="O37" i="20" a="1"/>
  <c r="O37" i="20" s="1"/>
  <c r="O54" i="20" a="1"/>
  <c r="O54" i="20" s="1"/>
  <c r="O63" i="20" a="1"/>
  <c r="O63" i="20" s="1"/>
  <c r="O97" i="20" a="1"/>
  <c r="O97" i="20" s="1"/>
  <c r="O114" i="20" a="1"/>
  <c r="O114" i="20" s="1"/>
  <c r="K222" i="20" a="1"/>
  <c r="K222" i="20" s="1"/>
  <c r="L39" i="20" a="1"/>
  <c r="L39" i="20" s="1"/>
  <c r="L99" i="20" a="1"/>
  <c r="L99" i="20" s="1"/>
  <c r="N99" i="20" s="1"/>
  <c r="L222" i="20" a="1"/>
  <c r="L222" i="20" s="1"/>
  <c r="N222" i="20" s="1"/>
  <c r="L243" i="20" a="1"/>
  <c r="L243" i="20" s="1"/>
  <c r="O12" i="20" a="1"/>
  <c r="O12" i="20" s="1"/>
  <c r="O29" i="20" a="1"/>
  <c r="O29" i="20" s="1"/>
  <c r="O46" i="20" a="1"/>
  <c r="O46" i="20" s="1"/>
  <c r="O55" i="20" a="1"/>
  <c r="O55" i="20" s="1"/>
  <c r="O72" i="20" a="1"/>
  <c r="O72" i="20" s="1"/>
  <c r="O89" i="20" a="1"/>
  <c r="O89" i="20" s="1"/>
  <c r="O106" i="20" a="1"/>
  <c r="O106" i="20" s="1"/>
  <c r="O123" i="20" a="1"/>
  <c r="O123" i="20" s="1"/>
  <c r="O140" i="20" a="1"/>
  <c r="O140" i="20" s="1"/>
  <c r="O157" i="20" a="1"/>
  <c r="O157" i="20" s="1"/>
  <c r="O174" i="20" a="1"/>
  <c r="O174" i="20" s="1"/>
  <c r="O183" i="20" a="1"/>
  <c r="O183" i="20" s="1"/>
  <c r="O200" i="20" a="1"/>
  <c r="O200" i="20" s="1"/>
  <c r="O217" i="20" a="1"/>
  <c r="O217" i="20" s="1"/>
  <c r="O234" i="20" a="1"/>
  <c r="O234" i="20" s="1"/>
  <c r="O251" i="20" a="1"/>
  <c r="O251" i="20" s="1"/>
  <c r="K62" i="20" a="1"/>
  <c r="K62" i="20" s="1"/>
  <c r="L41" i="20" a="1"/>
  <c r="L41" i="20" s="1"/>
  <c r="N41" i="20" s="1"/>
  <c r="L190" i="20" a="1"/>
  <c r="L190" i="20" s="1"/>
  <c r="L202" i="20" a="1"/>
  <c r="L202" i="20" s="1"/>
  <c r="L212" i="20" a="1"/>
  <c r="L212" i="20" s="1"/>
  <c r="N212" i="20" s="1"/>
  <c r="L234" i="20" a="1"/>
  <c r="L234" i="20" s="1"/>
  <c r="L253" i="20" a="1"/>
  <c r="L253" i="20" s="1"/>
  <c r="L262" i="20" a="1"/>
  <c r="L262" i="20" s="1"/>
  <c r="N262" i="20" s="1"/>
  <c r="L271" i="20" a="1"/>
  <c r="L271" i="20" s="1"/>
  <c r="O4" i="20" a="1"/>
  <c r="O4" i="20" s="1"/>
  <c r="O21" i="20" a="1"/>
  <c r="O21" i="20" s="1"/>
  <c r="O38" i="20" a="1"/>
  <c r="O38" i="20" s="1"/>
  <c r="O47" i="20" a="1"/>
  <c r="O47" i="20" s="1"/>
  <c r="O81" i="20" a="1"/>
  <c r="O81" i="20" s="1"/>
  <c r="O98" i="20" a="1"/>
  <c r="O98" i="20" s="1"/>
  <c r="O115" i="20" a="1"/>
  <c r="O115" i="20" s="1"/>
  <c r="O132" i="20" a="1"/>
  <c r="O132" i="20" s="1"/>
  <c r="O149" i="20" a="1"/>
  <c r="O149" i="20" s="1"/>
  <c r="O166" i="20" a="1"/>
  <c r="O166" i="20" s="1"/>
  <c r="O175" i="20" a="1"/>
  <c r="O175" i="20" s="1"/>
  <c r="L43" i="20" a="1"/>
  <c r="L43" i="20" s="1"/>
  <c r="N43" i="20" s="1"/>
  <c r="L223" i="20" a="1"/>
  <c r="L223" i="20" s="1"/>
  <c r="L244" i="20" a="1"/>
  <c r="L244" i="20" s="1"/>
  <c r="O13" i="20" a="1"/>
  <c r="O13" i="20" s="1"/>
  <c r="O30" i="20" a="1"/>
  <c r="O30" i="20" s="1"/>
  <c r="O39" i="20" a="1"/>
  <c r="O39" i="20" s="1"/>
  <c r="O56" i="20" a="1"/>
  <c r="O56" i="20" s="1"/>
  <c r="O73" i="20" a="1"/>
  <c r="O73" i="20" s="1"/>
  <c r="O90" i="20" a="1"/>
  <c r="O90" i="20" s="1"/>
  <c r="O107" i="20" a="1"/>
  <c r="O107" i="20" s="1"/>
  <c r="O124" i="20" a="1"/>
  <c r="O124" i="20" s="1"/>
  <c r="O141" i="20" a="1"/>
  <c r="O141" i="20" s="1"/>
  <c r="O158" i="20" a="1"/>
  <c r="O158" i="20" s="1"/>
  <c r="O167" i="20" a="1"/>
  <c r="O167" i="20" s="1"/>
  <c r="O184" i="20" a="1"/>
  <c r="O184" i="20" s="1"/>
  <c r="O201" i="20" a="1"/>
  <c r="O201" i="20" s="1"/>
  <c r="O218" i="20" a="1"/>
  <c r="O218" i="20" s="1"/>
  <c r="O235" i="20" a="1"/>
  <c r="O235" i="20" s="1"/>
  <c r="O252" i="20" a="1"/>
  <c r="O252" i="20" s="1"/>
  <c r="L50" i="20" a="1"/>
  <c r="L50" i="20" s="1"/>
  <c r="N50" i="20" s="1"/>
  <c r="L191" i="20" a="1"/>
  <c r="L191" i="20" s="1"/>
  <c r="L203" i="20" a="1"/>
  <c r="L203" i="20" s="1"/>
  <c r="N203" i="20" s="1"/>
  <c r="L235" i="20" a="1"/>
  <c r="L235" i="20" s="1"/>
  <c r="N235" i="20" s="1"/>
  <c r="L254" i="20" a="1"/>
  <c r="L254" i="20" s="1"/>
  <c r="N254" i="20" s="1"/>
  <c r="L263" i="20" a="1"/>
  <c r="L263" i="20" s="1"/>
  <c r="O5" i="20" a="1"/>
  <c r="O5" i="20" s="1"/>
  <c r="O22" i="20" a="1"/>
  <c r="O22" i="20" s="1"/>
  <c r="O31" i="20" a="1"/>
  <c r="O31" i="20" s="1"/>
  <c r="O65" i="20" a="1"/>
  <c r="O65" i="20" s="1"/>
  <c r="O82" i="20" a="1"/>
  <c r="O82" i="20" s="1"/>
  <c r="O99" i="20" a="1"/>
  <c r="O99" i="20" s="1"/>
  <c r="O116" i="20" a="1"/>
  <c r="O116" i="20" s="1"/>
  <c r="O133" i="20" a="1"/>
  <c r="O133" i="20" s="1"/>
  <c r="O150" i="20" a="1"/>
  <c r="O150" i="20" s="1"/>
  <c r="O159" i="20" a="1"/>
  <c r="O159" i="20" s="1"/>
  <c r="O193" i="20" a="1"/>
  <c r="O193" i="20" s="1"/>
  <c r="O210" i="20" a="1"/>
  <c r="O210" i="20" s="1"/>
  <c r="O227" i="20" a="1"/>
  <c r="O227" i="20" s="1"/>
  <c r="O244" i="20" a="1"/>
  <c r="O244" i="20" s="1"/>
  <c r="K260" i="20" a="1"/>
  <c r="K260" i="20" s="1"/>
  <c r="L204" i="20" a="1"/>
  <c r="L204" i="20" s="1"/>
  <c r="L226" i="20" a="1"/>
  <c r="L226" i="20" s="1"/>
  <c r="L236" i="20" a="1"/>
  <c r="L236" i="20" s="1"/>
  <c r="N236" i="20" s="1"/>
  <c r="L246" i="20" a="1"/>
  <c r="L246" i="20" s="1"/>
  <c r="L255" i="20" a="1"/>
  <c r="L255" i="20" s="1"/>
  <c r="N255" i="20" s="1"/>
  <c r="O6" i="20" a="1"/>
  <c r="O6" i="20" s="1"/>
  <c r="O15" i="20" a="1"/>
  <c r="O15" i="20" s="1"/>
  <c r="O49" i="20" a="1"/>
  <c r="O49" i="20" s="1"/>
  <c r="O66" i="20" a="1"/>
  <c r="O66" i="20" s="1"/>
  <c r="O83" i="20" a="1"/>
  <c r="O83" i="20" s="1"/>
  <c r="O100" i="20" a="1"/>
  <c r="O100" i="20" s="1"/>
  <c r="O117" i="20" a="1"/>
  <c r="O117" i="20" s="1"/>
  <c r="O134" i="20" a="1"/>
  <c r="O134" i="20" s="1"/>
  <c r="O143" i="20" a="1"/>
  <c r="O143" i="20" s="1"/>
  <c r="O177" i="20" a="1"/>
  <c r="O177" i="20" s="1"/>
  <c r="O194" i="20" a="1"/>
  <c r="O194" i="20" s="1"/>
  <c r="O211" i="20" a="1"/>
  <c r="O211" i="20" s="1"/>
  <c r="O228" i="20" a="1"/>
  <c r="O228" i="20" s="1"/>
  <c r="O245" i="20" a="1"/>
  <c r="O245" i="20" s="1"/>
  <c r="O208" i="20" a="1"/>
  <c r="O208" i="20" s="1"/>
  <c r="O108" i="20" a="1"/>
  <c r="O108" i="20" s="1"/>
  <c r="N224" i="20"/>
  <c r="N198" i="20"/>
  <c r="N183" i="20"/>
  <c r="N156" i="20"/>
  <c r="N102" i="20"/>
  <c r="N88" i="20"/>
  <c r="N61" i="20"/>
  <c r="N47" i="20"/>
  <c r="N20" i="20"/>
  <c r="N7" i="20"/>
  <c r="L163" i="20" a="1"/>
  <c r="L163" i="20" s="1"/>
  <c r="N163" i="20" s="1"/>
  <c r="O226" i="20" a="1"/>
  <c r="O226" i="20" s="1"/>
  <c r="O206" i="20" a="1"/>
  <c r="O206" i="20" s="1"/>
  <c r="N257" i="20"/>
  <c r="N247" i="20"/>
  <c r="N223" i="20"/>
  <c r="N210" i="20"/>
  <c r="N197" i="20"/>
  <c r="N182" i="20"/>
  <c r="N142" i="20"/>
  <c r="N129" i="20"/>
  <c r="N101" i="20"/>
  <c r="N87" i="20"/>
  <c r="N74" i="20"/>
  <c r="N60" i="20"/>
  <c r="N46" i="20"/>
  <c r="N32" i="20"/>
  <c r="O205" i="20" a="1"/>
  <c r="O205" i="20" s="1"/>
  <c r="O91" i="20" a="1"/>
  <c r="O91" i="20" s="1"/>
  <c r="N256" i="20"/>
  <c r="N246" i="20"/>
  <c r="N196" i="20"/>
  <c r="N181" i="20"/>
  <c r="N168" i="20"/>
  <c r="N154" i="20"/>
  <c r="N141" i="20"/>
  <c r="N128" i="20"/>
  <c r="N113" i="20"/>
  <c r="N100" i="20"/>
  <c r="N86" i="20"/>
  <c r="N45" i="20"/>
  <c r="N31" i="20"/>
  <c r="N5" i="20"/>
  <c r="L126" i="20" a="1"/>
  <c r="L126" i="20" s="1"/>
  <c r="N126" i="20" s="1"/>
  <c r="P41" i="20" a="1"/>
  <c r="P41" i="20" s="1"/>
  <c r="O256" i="20" a="1"/>
  <c r="O256" i="20" s="1"/>
  <c r="O241" i="20" a="1"/>
  <c r="O241" i="20" s="1"/>
  <c r="O224" i="20" a="1"/>
  <c r="O224" i="20" s="1"/>
  <c r="O168" i="20" a="1"/>
  <c r="O168" i="20" s="1"/>
  <c r="N209" i="20"/>
  <c r="N195" i="20"/>
  <c r="N180" i="20"/>
  <c r="N167" i="20"/>
  <c r="N140" i="20"/>
  <c r="N127" i="20"/>
  <c r="N112" i="20"/>
  <c r="N85" i="20"/>
  <c r="N44" i="20"/>
  <c r="N30" i="20"/>
  <c r="N4" i="20"/>
  <c r="O165" i="20" a="1"/>
  <c r="O165" i="20" s="1"/>
  <c r="O74" i="20" a="1"/>
  <c r="O74" i="20" s="1"/>
  <c r="N244" i="20"/>
  <c r="N234" i="20"/>
  <c r="N221" i="20"/>
  <c r="N179" i="20"/>
  <c r="N98" i="20"/>
  <c r="N72" i="20"/>
  <c r="N17" i="20"/>
  <c r="N3" i="20"/>
  <c r="L81" i="20" a="1"/>
  <c r="L81" i="20" s="1"/>
  <c r="N81" i="20" s="1"/>
  <c r="O254" i="20" a="1"/>
  <c r="O254" i="20" s="1"/>
  <c r="O222" i="20" a="1"/>
  <c r="O222" i="20" s="1"/>
  <c r="N267" i="20"/>
  <c r="N243" i="20"/>
  <c r="N207" i="20"/>
  <c r="N166" i="20"/>
  <c r="N152" i="20"/>
  <c r="N125" i="20"/>
  <c r="N111" i="20"/>
  <c r="N84" i="20"/>
  <c r="N71" i="20"/>
  <c r="N56" i="20"/>
  <c r="N42" i="20"/>
  <c r="N29" i="20"/>
  <c r="N16" i="20"/>
  <c r="L51" i="20" a="1"/>
  <c r="L51" i="20" s="1"/>
  <c r="N51" i="20" s="1"/>
  <c r="P3" i="20" a="1"/>
  <c r="P3" i="20" s="1"/>
  <c r="O239" i="20" a="1"/>
  <c r="O239" i="20" s="1"/>
  <c r="O57" i="20" a="1"/>
  <c r="O57" i="20" s="1"/>
  <c r="N266" i="20"/>
  <c r="N232" i="20"/>
  <c r="N206" i="20"/>
  <c r="N165" i="20"/>
  <c r="N124" i="20"/>
  <c r="N110" i="20"/>
  <c r="N96" i="20"/>
  <c r="N70" i="20"/>
  <c r="N55" i="20"/>
  <c r="N28" i="20"/>
  <c r="N15" i="20"/>
  <c r="K253" i="20" a="1"/>
  <c r="K253" i="20" s="1"/>
  <c r="O219" i="20" a="1"/>
  <c r="O219" i="20" s="1"/>
  <c r="O151" i="20" a="1"/>
  <c r="O151" i="20" s="1"/>
  <c r="N231" i="20"/>
  <c r="N218" i="20"/>
  <c r="N205" i="20"/>
  <c r="N192" i="20"/>
  <c r="N164" i="20"/>
  <c r="N150" i="20"/>
  <c r="N82" i="20"/>
  <c r="N69" i="20"/>
  <c r="N54" i="20"/>
  <c r="N14" i="20"/>
  <c r="L264" i="20" a="1"/>
  <c r="L264" i="20" s="1"/>
  <c r="K94" i="20" a="1"/>
  <c r="K94" i="20" s="1"/>
  <c r="O262" i="20" a="1"/>
  <c r="O262" i="20" s="1"/>
  <c r="O236" i="20" a="1"/>
  <c r="O236" i="20" s="1"/>
  <c r="O148" i="20" a="1"/>
  <c r="O148" i="20" s="1"/>
  <c r="O40" i="20" a="1"/>
  <c r="O40" i="20" s="1"/>
  <c r="N253" i="20"/>
  <c r="N241" i="20"/>
  <c r="N204" i="20"/>
  <c r="N191" i="20"/>
  <c r="N176" i="20"/>
  <c r="N149" i="20"/>
  <c r="N108" i="20"/>
  <c r="N94" i="20"/>
  <c r="N68" i="20"/>
  <c r="N53" i="20"/>
  <c r="N26" i="20"/>
  <c r="N13" i="20"/>
  <c r="P65" i="20" a="1"/>
  <c r="P65" i="20" s="1"/>
  <c r="P10" i="20" a="1"/>
  <c r="P10" i="20" s="1"/>
  <c r="O271" i="20" a="1"/>
  <c r="O271" i="20" s="1"/>
  <c r="O142" i="20" a="1"/>
  <c r="O142" i="20" s="1"/>
  <c r="N264" i="20"/>
  <c r="N190" i="20"/>
  <c r="N162" i="20"/>
  <c r="N136" i="20"/>
  <c r="N107" i="20"/>
  <c r="N67" i="20"/>
  <c r="N52" i="20"/>
  <c r="N39" i="20"/>
  <c r="N12" i="20"/>
  <c r="P19" i="20" a="1"/>
  <c r="P19" i="20" s="1"/>
  <c r="O270" i="20" a="1"/>
  <c r="O270" i="20" s="1"/>
  <c r="O261" i="20" a="1"/>
  <c r="O261" i="20" s="1"/>
  <c r="O192" i="20" a="1"/>
  <c r="O192" i="20" s="1"/>
  <c r="O23" i="20" a="1"/>
  <c r="O23" i="20" s="1"/>
  <c r="N263" i="20"/>
  <c r="N240" i="20"/>
  <c r="N229" i="20"/>
  <c r="N216" i="20"/>
  <c r="N189" i="20"/>
  <c r="N175" i="20"/>
  <c r="N161" i="20"/>
  <c r="N148" i="20"/>
  <c r="N135" i="20"/>
  <c r="N120" i="20"/>
  <c r="N93" i="20"/>
  <c r="N80" i="20"/>
  <c r="N66" i="20"/>
  <c r="P9" i="20" a="1"/>
  <c r="P9" i="20" s="1"/>
  <c r="O215" i="20" a="1"/>
  <c r="O215" i="20" s="1"/>
  <c r="O191" i="20" a="1"/>
  <c r="O191" i="20" s="1"/>
  <c r="O14" i="20" a="1"/>
  <c r="O14" i="20" s="1"/>
  <c r="N239" i="20"/>
  <c r="N215" i="20"/>
  <c r="N202" i="20"/>
  <c r="N188" i="20"/>
  <c r="N174" i="20"/>
  <c r="N134" i="20"/>
  <c r="N119" i="20"/>
  <c r="N79" i="20"/>
  <c r="N38" i="20"/>
  <c r="N24" i="20"/>
  <c r="O232" i="20" a="1"/>
  <c r="O232" i="20" s="1"/>
  <c r="O188" i="20" a="1"/>
  <c r="O188" i="20" s="1"/>
  <c r="O131" i="20" a="1"/>
  <c r="O131" i="20" s="1"/>
  <c r="N261" i="20"/>
  <c r="N214" i="20"/>
  <c r="N173" i="20"/>
  <c r="N159" i="20"/>
  <c r="N146" i="20"/>
  <c r="N133" i="20"/>
  <c r="N118" i="20"/>
  <c r="N78" i="20"/>
  <c r="N65" i="20"/>
  <c r="N37" i="20"/>
  <c r="N10" i="20"/>
  <c r="L214" i="20" a="1"/>
  <c r="L214" i="20" s="1"/>
  <c r="O213" i="20" a="1"/>
  <c r="O213" i="20" s="1"/>
  <c r="O185" i="20" a="1"/>
  <c r="O185" i="20" s="1"/>
  <c r="O125" i="20" a="1"/>
  <c r="O125" i="20" s="1"/>
  <c r="N271" i="20"/>
  <c r="N260" i="20"/>
  <c r="N238" i="20"/>
  <c r="N226" i="20"/>
  <c r="N213" i="20"/>
  <c r="N186" i="20"/>
  <c r="N172" i="20"/>
  <c r="N158" i="20"/>
  <c r="N132" i="20"/>
  <c r="N117" i="20"/>
  <c r="N104" i="20"/>
  <c r="N90" i="20"/>
  <c r="N77" i="20"/>
  <c r="N64" i="20"/>
  <c r="N49" i="20"/>
  <c r="N36" i="20"/>
  <c r="N22" i="20"/>
  <c r="N185" i="20"/>
  <c r="N121" i="20"/>
  <c r="N57" i="20"/>
  <c r="N233" i="20"/>
  <c r="N9" i="20"/>
  <c r="N105" i="20"/>
  <c r="N201" i="20"/>
  <c r="N217" i="20"/>
  <c r="N153" i="20"/>
  <c r="N89" i="20"/>
  <c r="N25" i="20"/>
  <c r="N73" i="20"/>
  <c r="N169" i="20"/>
  <c r="R162" i="18"/>
  <c r="U162" i="18" s="1"/>
  <c r="R422" i="18"/>
  <c r="U422" i="18" s="1"/>
  <c r="S3" i="18" a="1"/>
  <c r="S3" i="18" s="1"/>
  <c r="P488" i="18" a="1"/>
  <c r="P488" i="18" s="1"/>
  <c r="P478" i="18" a="1"/>
  <c r="P478" i="18" s="1"/>
  <c r="R478" i="18" s="1"/>
  <c r="U478" i="18" s="1"/>
  <c r="P466" i="18" a="1"/>
  <c r="P466" i="18" s="1"/>
  <c r="R466" i="18" s="1"/>
  <c r="U466" i="18" s="1"/>
  <c r="P454" i="18" a="1"/>
  <c r="P454" i="18" s="1"/>
  <c r="R454" i="18" s="1"/>
  <c r="U454" i="18" s="1"/>
  <c r="P439" i="18" a="1"/>
  <c r="P439" i="18" s="1"/>
  <c r="R439" i="18" s="1"/>
  <c r="U439" i="18" s="1"/>
  <c r="P423" i="18" a="1"/>
  <c r="P423" i="18" s="1"/>
  <c r="R423" i="18" s="1"/>
  <c r="U423" i="18" s="1"/>
  <c r="P408" i="18" a="1"/>
  <c r="P408" i="18" s="1"/>
  <c r="R408" i="18" s="1"/>
  <c r="U408" i="18" s="1"/>
  <c r="P391" i="18" a="1"/>
  <c r="P391" i="18" s="1"/>
  <c r="R391" i="18" s="1"/>
  <c r="U391" i="18" s="1"/>
  <c r="P341" i="18" a="1"/>
  <c r="P341" i="18" s="1"/>
  <c r="R341" i="18" s="1"/>
  <c r="U341" i="18" s="1"/>
  <c r="P243" i="18" a="1"/>
  <c r="P243" i="18" s="1"/>
  <c r="R243" i="18" s="1"/>
  <c r="U243" i="18" s="1"/>
  <c r="P133" i="18" a="1"/>
  <c r="P133" i="18" s="1"/>
  <c r="O431" i="18" a="1"/>
  <c r="O431" i="18" s="1"/>
  <c r="R465" i="18"/>
  <c r="U465" i="18" s="1"/>
  <c r="P337" i="18" a="1"/>
  <c r="P337" i="18" s="1"/>
  <c r="R337" i="18" s="1"/>
  <c r="U337" i="18" s="1"/>
  <c r="P301" i="18" a="1"/>
  <c r="P301" i="18" s="1"/>
  <c r="P121" i="18" a="1"/>
  <c r="P121" i="18" s="1"/>
  <c r="O419" i="18" a="1"/>
  <c r="O419" i="18" s="1"/>
  <c r="O226" i="18" a="1"/>
  <c r="O226" i="18" s="1"/>
  <c r="O20" i="18" a="1"/>
  <c r="O20" i="18" s="1"/>
  <c r="S12" i="18" a="1"/>
  <c r="S12" i="18" s="1"/>
  <c r="R464" i="18"/>
  <c r="U464" i="18" s="1"/>
  <c r="R421" i="18"/>
  <c r="U421" i="18" s="1"/>
  <c r="R326" i="18"/>
  <c r="U326" i="18" s="1"/>
  <c r="O462" i="18" a="1"/>
  <c r="O462" i="18" s="1"/>
  <c r="O446" i="18" a="1"/>
  <c r="O446" i="18" s="1"/>
  <c r="O430" i="18" a="1"/>
  <c r="O430" i="18" s="1"/>
  <c r="O414" i="18" a="1"/>
  <c r="O414" i="18" s="1"/>
  <c r="O398" i="18" a="1"/>
  <c r="O398" i="18" s="1"/>
  <c r="O382" i="18" a="1"/>
  <c r="O382" i="18" s="1"/>
  <c r="O366" i="18" a="1"/>
  <c r="O366" i="18" s="1"/>
  <c r="O350" i="18" a="1"/>
  <c r="O350" i="18" s="1"/>
  <c r="P350" i="18" a="1"/>
  <c r="P350" i="18" s="1"/>
  <c r="R350" i="18" s="1"/>
  <c r="U350" i="18" s="1"/>
  <c r="O334" i="18" a="1"/>
  <c r="O334" i="18" s="1"/>
  <c r="O318" i="18" a="1"/>
  <c r="O318" i="18" s="1"/>
  <c r="P302" i="18" a="1"/>
  <c r="P302" i="18" s="1"/>
  <c r="R302" i="18" s="1"/>
  <c r="U302" i="18" s="1"/>
  <c r="O302" i="18" a="1"/>
  <c r="O302" i="18" s="1"/>
  <c r="O286" i="18" a="1"/>
  <c r="O286" i="18" s="1"/>
  <c r="P270" i="18" a="1"/>
  <c r="P270" i="18" s="1"/>
  <c r="R270" i="18" s="1"/>
  <c r="U270" i="18" s="1"/>
  <c r="O270" i="18" a="1"/>
  <c r="O270" i="18" s="1"/>
  <c r="O254" i="18" a="1"/>
  <c r="O254" i="18" s="1"/>
  <c r="P238" i="18" a="1"/>
  <c r="P238" i="18" s="1"/>
  <c r="R238" i="18" s="1"/>
  <c r="U238" i="18" s="1"/>
  <c r="O238" i="18" a="1"/>
  <c r="O238" i="18" s="1"/>
  <c r="P222" i="18" a="1"/>
  <c r="P222" i="18" s="1"/>
  <c r="R222" i="18" s="1"/>
  <c r="U222" i="18" s="1"/>
  <c r="O222" i="18" a="1"/>
  <c r="O222" i="18" s="1"/>
  <c r="O206" i="18" a="1"/>
  <c r="O206" i="18" s="1"/>
  <c r="P190" i="18" a="1"/>
  <c r="P190" i="18" s="1"/>
  <c r="O190" i="18" a="1"/>
  <c r="O190" i="18" s="1"/>
  <c r="P174" i="18" a="1"/>
  <c r="P174" i="18" s="1"/>
  <c r="R174" i="18" s="1"/>
  <c r="U174" i="18" s="1"/>
  <c r="O174" i="18" a="1"/>
  <c r="O174" i="18" s="1"/>
  <c r="O158" i="18" a="1"/>
  <c r="O158" i="18" s="1"/>
  <c r="P142" i="18" a="1"/>
  <c r="P142" i="18" s="1"/>
  <c r="O142" i="18" a="1"/>
  <c r="O142" i="18" s="1"/>
  <c r="P126" i="18" a="1"/>
  <c r="P126" i="18" s="1"/>
  <c r="R126" i="18" s="1"/>
  <c r="U126" i="18" s="1"/>
  <c r="O126" i="18" a="1"/>
  <c r="O126" i="18" s="1"/>
  <c r="O110" i="18" a="1"/>
  <c r="O110" i="18" s="1"/>
  <c r="O94" i="18" a="1"/>
  <c r="O94" i="18" s="1"/>
  <c r="P94" i="18" a="1"/>
  <c r="P94" i="18" s="1"/>
  <c r="R94" i="18" s="1"/>
  <c r="U94" i="18" s="1"/>
  <c r="O78" i="18" a="1"/>
  <c r="O78" i="18" s="1"/>
  <c r="P78" i="18" a="1"/>
  <c r="P78" i="18" s="1"/>
  <c r="P62" i="18" a="1"/>
  <c r="P62" i="18" s="1"/>
  <c r="R62" i="18" s="1"/>
  <c r="U62" i="18" s="1"/>
  <c r="O62" i="18" a="1"/>
  <c r="O62" i="18" s="1"/>
  <c r="P46" i="18" a="1"/>
  <c r="P46" i="18" s="1"/>
  <c r="R46" i="18" s="1"/>
  <c r="U46" i="18" s="1"/>
  <c r="O46" i="18" a="1"/>
  <c r="O46" i="18" s="1"/>
  <c r="P30" i="18" a="1"/>
  <c r="P30" i="18" s="1"/>
  <c r="R30" i="18" s="1"/>
  <c r="U30" i="18" s="1"/>
  <c r="O30" i="18" a="1"/>
  <c r="O30" i="18" s="1"/>
  <c r="O24" i="18" a="1"/>
  <c r="O24" i="18" s="1"/>
  <c r="O37" i="18" a="1"/>
  <c r="O37" i="18" s="1"/>
  <c r="O50" i="18" a="1"/>
  <c r="O50" i="18" s="1"/>
  <c r="O64" i="18" a="1"/>
  <c r="O64" i="18" s="1"/>
  <c r="O118" i="18" a="1"/>
  <c r="O118" i="18" s="1"/>
  <c r="O130" i="18" a="1"/>
  <c r="O130" i="18" s="1"/>
  <c r="O144" i="18" a="1"/>
  <c r="O144" i="18" s="1"/>
  <c r="O171" i="18" a="1"/>
  <c r="O171" i="18" s="1"/>
  <c r="O182" i="18" a="1"/>
  <c r="O182" i="18" s="1"/>
  <c r="O218" i="18" a="1"/>
  <c r="O218" i="18" s="1"/>
  <c r="O230" i="18" a="1"/>
  <c r="O230" i="18" s="1"/>
  <c r="O266" i="18" a="1"/>
  <c r="O266" i="18" s="1"/>
  <c r="O278" i="18" a="1"/>
  <c r="O278" i="18" s="1"/>
  <c r="O314" i="18" a="1"/>
  <c r="O314" i="18" s="1"/>
  <c r="O326" i="18" a="1"/>
  <c r="O326" i="18" s="1"/>
  <c r="O338" i="18" a="1"/>
  <c r="O338" i="18" s="1"/>
  <c r="O374" i="18" a="1"/>
  <c r="O374" i="18" s="1"/>
  <c r="O399" i="18" a="1"/>
  <c r="O399" i="18" s="1"/>
  <c r="O411" i="18" a="1"/>
  <c r="O411" i="18" s="1"/>
  <c r="O434" i="18" a="1"/>
  <c r="O434" i="18" s="1"/>
  <c r="O458" i="18" a="1"/>
  <c r="O458" i="18" s="1"/>
  <c r="P4" i="18" a="1"/>
  <c r="P4" i="18" s="1"/>
  <c r="R4" i="18" s="1"/>
  <c r="U4" i="18" s="1"/>
  <c r="P16" i="18" a="1"/>
  <c r="P16" i="18" s="1"/>
  <c r="P28" i="18" a="1"/>
  <c r="P28" i="18" s="1"/>
  <c r="R28" i="18" s="1"/>
  <c r="U28" i="18" s="1"/>
  <c r="P40" i="18" a="1"/>
  <c r="P40" i="18" s="1"/>
  <c r="P52" i="18" a="1"/>
  <c r="P52" i="18" s="1"/>
  <c r="R52" i="18" s="1"/>
  <c r="U52" i="18" s="1"/>
  <c r="P65" i="18" a="1"/>
  <c r="P65" i="18" s="1"/>
  <c r="R65" i="18" s="1"/>
  <c r="U65" i="18" s="1"/>
  <c r="P76" i="18" a="1"/>
  <c r="P76" i="18" s="1"/>
  <c r="R76" i="18" s="1"/>
  <c r="U76" i="18" s="1"/>
  <c r="P101" i="18" a="1"/>
  <c r="P101" i="18" s="1"/>
  <c r="R101" i="18" s="1"/>
  <c r="U101" i="18" s="1"/>
  <c r="P113" i="18" a="1"/>
  <c r="P113" i="18" s="1"/>
  <c r="R113" i="18" s="1"/>
  <c r="U113" i="18" s="1"/>
  <c r="P125" i="18" a="1"/>
  <c r="P125" i="18" s="1"/>
  <c r="R125" i="18" s="1"/>
  <c r="U125" i="18" s="1"/>
  <c r="P136" i="18" a="1"/>
  <c r="P136" i="18" s="1"/>
  <c r="R136" i="18" s="1"/>
  <c r="U136" i="18" s="1"/>
  <c r="P149" i="18" a="1"/>
  <c r="P149" i="18" s="1"/>
  <c r="R149" i="18" s="1"/>
  <c r="U149" i="18" s="1"/>
  <c r="P161" i="18" a="1"/>
  <c r="P161" i="18" s="1"/>
  <c r="R161" i="18" s="1"/>
  <c r="U161" i="18" s="1"/>
  <c r="P173" i="18" a="1"/>
  <c r="P173" i="18" s="1"/>
  <c r="P184" i="18" a="1"/>
  <c r="P184" i="18" s="1"/>
  <c r="R184" i="18" s="1"/>
  <c r="U184" i="18" s="1"/>
  <c r="P197" i="18" a="1"/>
  <c r="P197" i="18" s="1"/>
  <c r="P209" i="18" a="1"/>
  <c r="P209" i="18" s="1"/>
  <c r="P221" i="18" a="1"/>
  <c r="P221" i="18" s="1"/>
  <c r="P233" i="18" a="1"/>
  <c r="P233" i="18" s="1"/>
  <c r="R233" i="18" s="1"/>
  <c r="U233" i="18" s="1"/>
  <c r="P245" i="18" a="1"/>
  <c r="P245" i="18" s="1"/>
  <c r="P257" i="18" a="1"/>
  <c r="P257" i="18" s="1"/>
  <c r="P269" i="18" a="1"/>
  <c r="P269" i="18" s="1"/>
  <c r="P292" i="18" a="1"/>
  <c r="P292" i="18" s="1"/>
  <c r="P304" i="18" a="1"/>
  <c r="P304" i="18" s="1"/>
  <c r="R304" i="18" s="1"/>
  <c r="U304" i="18" s="1"/>
  <c r="P314" i="18" a="1"/>
  <c r="P314" i="18" s="1"/>
  <c r="P326" i="18" a="1"/>
  <c r="P326" i="18" s="1"/>
  <c r="P349" i="18" a="1"/>
  <c r="P349" i="18" s="1"/>
  <c r="P373" i="18" a="1"/>
  <c r="P373" i="18" s="1"/>
  <c r="R373" i="18" s="1"/>
  <c r="U373" i="18" s="1"/>
  <c r="P384" i="18" a="1"/>
  <c r="P384" i="18" s="1"/>
  <c r="O38" i="18" a="1"/>
  <c r="O38" i="18" s="1"/>
  <c r="O65" i="18" a="1"/>
  <c r="O65" i="18" s="1"/>
  <c r="O79" i="18" a="1"/>
  <c r="O79" i="18" s="1"/>
  <c r="O91" i="18" a="1"/>
  <c r="O91" i="18" s="1"/>
  <c r="O104" i="18" a="1"/>
  <c r="O104" i="18" s="1"/>
  <c r="O119" i="18" a="1"/>
  <c r="O119" i="18" s="1"/>
  <c r="O145" i="18" a="1"/>
  <c r="O145" i="18" s="1"/>
  <c r="O159" i="18" a="1"/>
  <c r="O159" i="18" s="1"/>
  <c r="O183" i="18" a="1"/>
  <c r="O183" i="18" s="1"/>
  <c r="O195" i="18" a="1"/>
  <c r="O195" i="18" s="1"/>
  <c r="O207" i="18" a="1"/>
  <c r="O207" i="18" s="1"/>
  <c r="O219" i="18" a="1"/>
  <c r="O219" i="18" s="1"/>
  <c r="O231" i="18" a="1"/>
  <c r="O231" i="18" s="1"/>
  <c r="O242" i="18" a="1"/>
  <c r="O242" i="18" s="1"/>
  <c r="O255" i="18" a="1"/>
  <c r="O255" i="18" s="1"/>
  <c r="O267" i="18" a="1"/>
  <c r="O267" i="18" s="1"/>
  <c r="O279" i="18" a="1"/>
  <c r="O279" i="18" s="1"/>
  <c r="O290" i="18" a="1"/>
  <c r="O290" i="18" s="1"/>
  <c r="O303" i="18" a="1"/>
  <c r="O303" i="18" s="1"/>
  <c r="O315" i="18" a="1"/>
  <c r="O315" i="18" s="1"/>
  <c r="O327" i="18" a="1"/>
  <c r="O327" i="18" s="1"/>
  <c r="O339" i="18" a="1"/>
  <c r="O339" i="18" s="1"/>
  <c r="O351" i="18" a="1"/>
  <c r="O351" i="18" s="1"/>
  <c r="O363" i="18" a="1"/>
  <c r="O363" i="18" s="1"/>
  <c r="O375" i="18" a="1"/>
  <c r="O375" i="18" s="1"/>
  <c r="O387" i="18" a="1"/>
  <c r="O387" i="18" s="1"/>
  <c r="O412" i="18" a="1"/>
  <c r="O412" i="18" s="1"/>
  <c r="O423" i="18" a="1"/>
  <c r="O423" i="18" s="1"/>
  <c r="O447" i="18" a="1"/>
  <c r="O447" i="18" s="1"/>
  <c r="O459" i="18" a="1"/>
  <c r="O459" i="18" s="1"/>
  <c r="O471" i="18" a="1"/>
  <c r="O471" i="18" s="1"/>
  <c r="O482" i="18" a="1"/>
  <c r="O482" i="18" s="1"/>
  <c r="P17" i="18" a="1"/>
  <c r="P17" i="18" s="1"/>
  <c r="R17" i="18" s="1"/>
  <c r="U17" i="18" s="1"/>
  <c r="P29" i="18" a="1"/>
  <c r="P29" i="18" s="1"/>
  <c r="R29" i="18" s="1"/>
  <c r="U29" i="18" s="1"/>
  <c r="P41" i="18" a="1"/>
  <c r="P41" i="18" s="1"/>
  <c r="P53" i="18" a="1"/>
  <c r="P53" i="18" s="1"/>
  <c r="R53" i="18" s="1"/>
  <c r="U53" i="18" s="1"/>
  <c r="P66" i="18" a="1"/>
  <c r="P66" i="18" s="1"/>
  <c r="R66" i="18" s="1"/>
  <c r="U66" i="18" s="1"/>
  <c r="P77" i="18" a="1"/>
  <c r="P77" i="18" s="1"/>
  <c r="P89" i="18" a="1"/>
  <c r="P89" i="18" s="1"/>
  <c r="P114" i="18" a="1"/>
  <c r="P114" i="18" s="1"/>
  <c r="R114" i="18" s="1"/>
  <c r="U114" i="18" s="1"/>
  <c r="P162" i="18" a="1"/>
  <c r="P162" i="18" s="1"/>
  <c r="P185" i="18" a="1"/>
  <c r="P185" i="18" s="1"/>
  <c r="P198" i="18" a="1"/>
  <c r="P198" i="18" s="1"/>
  <c r="R198" i="18" s="1"/>
  <c r="U198" i="18" s="1"/>
  <c r="P210" i="18" a="1"/>
  <c r="P210" i="18" s="1"/>
  <c r="R210" i="18" s="1"/>
  <c r="U210" i="18" s="1"/>
  <c r="P234" i="18" a="1"/>
  <c r="P234" i="18" s="1"/>
  <c r="R234" i="18" s="1"/>
  <c r="U234" i="18" s="1"/>
  <c r="P246" i="18" a="1"/>
  <c r="P246" i="18" s="1"/>
  <c r="R246" i="18" s="1"/>
  <c r="U246" i="18" s="1"/>
  <c r="P258" i="18" a="1"/>
  <c r="P258" i="18" s="1"/>
  <c r="P281" i="18" a="1"/>
  <c r="P281" i="18" s="1"/>
  <c r="P293" i="18" a="1"/>
  <c r="P293" i="18" s="1"/>
  <c r="P327" i="18" a="1"/>
  <c r="P327" i="18" s="1"/>
  <c r="R327" i="18" s="1"/>
  <c r="U327" i="18" s="1"/>
  <c r="O39" i="18" a="1"/>
  <c r="O39" i="18" s="1"/>
  <c r="O51" i="18" a="1"/>
  <c r="O51" i="18" s="1"/>
  <c r="O66" i="18" a="1"/>
  <c r="O66" i="18" s="1"/>
  <c r="O92" i="18" a="1"/>
  <c r="O92" i="18" s="1"/>
  <c r="O105" i="18" a="1"/>
  <c r="O105" i="18" s="1"/>
  <c r="O120" i="18" a="1"/>
  <c r="O120" i="18" s="1"/>
  <c r="O131" i="18" a="1"/>
  <c r="O131" i="18" s="1"/>
  <c r="O146" i="18" a="1"/>
  <c r="O146" i="18" s="1"/>
  <c r="O172" i="18" a="1"/>
  <c r="O172" i="18" s="1"/>
  <c r="O220" i="18" a="1"/>
  <c r="O220" i="18" s="1"/>
  <c r="O268" i="18" a="1"/>
  <c r="O268" i="18" s="1"/>
  <c r="O280" i="18" a="1"/>
  <c r="O280" i="18" s="1"/>
  <c r="O291" i="18" a="1"/>
  <c r="O291" i="18" s="1"/>
  <c r="O304" i="18" a="1"/>
  <c r="O304" i="18" s="1"/>
  <c r="O316" i="18" a="1"/>
  <c r="O316" i="18" s="1"/>
  <c r="O328" i="18" a="1"/>
  <c r="O328" i="18" s="1"/>
  <c r="O340" i="18" a="1"/>
  <c r="O340" i="18" s="1"/>
  <c r="O352" i="18" a="1"/>
  <c r="O352" i="18" s="1"/>
  <c r="O364" i="18" a="1"/>
  <c r="O364" i="18" s="1"/>
  <c r="O376" i="18" a="1"/>
  <c r="O376" i="18" s="1"/>
  <c r="O388" i="18" a="1"/>
  <c r="O388" i="18" s="1"/>
  <c r="O400" i="18" a="1"/>
  <c r="O400" i="18" s="1"/>
  <c r="O424" i="18" a="1"/>
  <c r="O424" i="18" s="1"/>
  <c r="O435" i="18" a="1"/>
  <c r="O435" i="18" s="1"/>
  <c r="O460" i="18" a="1"/>
  <c r="O460" i="18" s="1"/>
  <c r="O472" i="18" a="1"/>
  <c r="O472" i="18" s="1"/>
  <c r="O483" i="18" a="1"/>
  <c r="O483" i="18" s="1"/>
  <c r="P5" i="18" a="1"/>
  <c r="P5" i="18" s="1"/>
  <c r="P18" i="18" a="1"/>
  <c r="P18" i="18" s="1"/>
  <c r="R18" i="18" s="1"/>
  <c r="U18" i="18" s="1"/>
  <c r="P42" i="18" a="1"/>
  <c r="P42" i="18" s="1"/>
  <c r="R42" i="18" s="1"/>
  <c r="U42" i="18" s="1"/>
  <c r="P54" i="18" a="1"/>
  <c r="P54" i="18" s="1"/>
  <c r="P67" i="18" a="1"/>
  <c r="P67" i="18" s="1"/>
  <c r="P90" i="18" a="1"/>
  <c r="P90" i="18" s="1"/>
  <c r="P102" i="18" a="1"/>
  <c r="P102" i="18" s="1"/>
  <c r="R102" i="18" s="1"/>
  <c r="U102" i="18" s="1"/>
  <c r="P137" i="18" a="1"/>
  <c r="P137" i="18" s="1"/>
  <c r="R137" i="18" s="1"/>
  <c r="U137" i="18" s="1"/>
  <c r="P150" i="18" a="1"/>
  <c r="P150" i="18" s="1"/>
  <c r="P175" i="18" a="1"/>
  <c r="P175" i="18" s="1"/>
  <c r="P186" i="18" a="1"/>
  <c r="P186" i="18" s="1"/>
  <c r="R186" i="18" s="1"/>
  <c r="U186" i="18" s="1"/>
  <c r="P199" i="18" a="1"/>
  <c r="P199" i="18" s="1"/>
  <c r="R199" i="18" s="1"/>
  <c r="U199" i="18" s="1"/>
  <c r="P211" i="18" a="1"/>
  <c r="P211" i="18" s="1"/>
  <c r="P235" i="18" a="1"/>
  <c r="P235" i="18" s="1"/>
  <c r="R235" i="18" s="1"/>
  <c r="U235" i="18" s="1"/>
  <c r="P259" i="18" a="1"/>
  <c r="P259" i="18" s="1"/>
  <c r="R259" i="18" s="1"/>
  <c r="U259" i="18" s="1"/>
  <c r="P282" i="18" a="1"/>
  <c r="P282" i="18" s="1"/>
  <c r="R282" i="18" s="1"/>
  <c r="U282" i="18" s="1"/>
  <c r="P305" i="18" a="1"/>
  <c r="P305" i="18" s="1"/>
  <c r="R305" i="18" s="1"/>
  <c r="U305" i="18" s="1"/>
  <c r="P315" i="18" a="1"/>
  <c r="P315" i="18" s="1"/>
  <c r="R315" i="18" s="1"/>
  <c r="U315" i="18" s="1"/>
  <c r="P328" i="18" a="1"/>
  <c r="P328" i="18" s="1"/>
  <c r="R328" i="18" s="1"/>
  <c r="U328" i="18" s="1"/>
  <c r="P338" i="18" a="1"/>
  <c r="P338" i="18" s="1"/>
  <c r="R338" i="18" s="1"/>
  <c r="U338" i="18" s="1"/>
  <c r="P362" i="18" a="1"/>
  <c r="P362" i="18" s="1"/>
  <c r="R362" i="18" s="1"/>
  <c r="U362" i="18" s="1"/>
  <c r="P374" i="18" a="1"/>
  <c r="P374" i="18" s="1"/>
  <c r="O26" i="18" a="1"/>
  <c r="O26" i="18" s="1"/>
  <c r="O40" i="18" a="1"/>
  <c r="O40" i="18" s="1"/>
  <c r="O67" i="18" a="1"/>
  <c r="O67" i="18" s="1"/>
  <c r="O80" i="18" a="1"/>
  <c r="O80" i="18" s="1"/>
  <c r="O93" i="18" a="1"/>
  <c r="O93" i="18" s="1"/>
  <c r="O106" i="18" a="1"/>
  <c r="O106" i="18" s="1"/>
  <c r="O132" i="18" a="1"/>
  <c r="O132" i="18" s="1"/>
  <c r="O147" i="18" a="1"/>
  <c r="O147" i="18" s="1"/>
  <c r="O160" i="18" a="1"/>
  <c r="O160" i="18" s="1"/>
  <c r="O173" i="18" a="1"/>
  <c r="O173" i="18" s="1"/>
  <c r="O184" i="18" a="1"/>
  <c r="O184" i="18" s="1"/>
  <c r="O196" i="18" a="1"/>
  <c r="O196" i="18" s="1"/>
  <c r="O208" i="18" a="1"/>
  <c r="O208" i="18" s="1"/>
  <c r="O232" i="18" a="1"/>
  <c r="O232" i="18" s="1"/>
  <c r="O243" i="18" a="1"/>
  <c r="O243" i="18" s="1"/>
  <c r="O256" i="18" a="1"/>
  <c r="O256" i="18" s="1"/>
  <c r="O281" i="18" a="1"/>
  <c r="O281" i="18" s="1"/>
  <c r="O292" i="18" a="1"/>
  <c r="O292" i="18" s="1"/>
  <c r="O305" i="18" a="1"/>
  <c r="O305" i="18" s="1"/>
  <c r="O317" i="18" a="1"/>
  <c r="O317" i="18" s="1"/>
  <c r="O341" i="18" a="1"/>
  <c r="O341" i="18" s="1"/>
  <c r="O365" i="18" a="1"/>
  <c r="O365" i="18" s="1"/>
  <c r="O413" i="18" a="1"/>
  <c r="O413" i="18" s="1"/>
  <c r="O425" i="18" a="1"/>
  <c r="O425" i="18" s="1"/>
  <c r="O436" i="18" a="1"/>
  <c r="O436" i="18" s="1"/>
  <c r="O448" i="18" a="1"/>
  <c r="O448" i="18" s="1"/>
  <c r="O473" i="18" a="1"/>
  <c r="O473" i="18" s="1"/>
  <c r="O484" i="18" a="1"/>
  <c r="O484" i="18" s="1"/>
  <c r="P6" i="18" a="1"/>
  <c r="P6" i="18" s="1"/>
  <c r="R6" i="18" s="1"/>
  <c r="U6" i="18" s="1"/>
  <c r="P19" i="18" a="1"/>
  <c r="P19" i="18" s="1"/>
  <c r="R19" i="18" s="1"/>
  <c r="U19" i="18" s="1"/>
  <c r="P31" i="18" a="1"/>
  <c r="P31" i="18" s="1"/>
  <c r="R31" i="18" s="1"/>
  <c r="U31" i="18" s="1"/>
  <c r="P43" i="18" a="1"/>
  <c r="P43" i="18" s="1"/>
  <c r="R43" i="18" s="1"/>
  <c r="U43" i="18" s="1"/>
  <c r="P91" i="18" a="1"/>
  <c r="P91" i="18" s="1"/>
  <c r="P115" i="18" a="1"/>
  <c r="P115" i="18" s="1"/>
  <c r="R115" i="18" s="1"/>
  <c r="U115" i="18" s="1"/>
  <c r="P127" i="18" a="1"/>
  <c r="P127" i="18" s="1"/>
  <c r="P138" i="18" a="1"/>
  <c r="P138" i="18" s="1"/>
  <c r="P151" i="18" a="1"/>
  <c r="P151" i="18" s="1"/>
  <c r="P163" i="18" a="1"/>
  <c r="P163" i="18" s="1"/>
  <c r="R163" i="18" s="1"/>
  <c r="U163" i="18" s="1"/>
  <c r="P176" i="18" a="1"/>
  <c r="P176" i="18" s="1"/>
  <c r="P187" i="18" a="1"/>
  <c r="P187" i="18" s="1"/>
  <c r="P212" i="18" a="1"/>
  <c r="P212" i="18" s="1"/>
  <c r="P223" i="18" a="1"/>
  <c r="P223" i="18" s="1"/>
  <c r="P236" i="18" a="1"/>
  <c r="P236" i="18" s="1"/>
  <c r="P247" i="18" a="1"/>
  <c r="P247" i="18" s="1"/>
  <c r="R247" i="18" s="1"/>
  <c r="U247" i="18" s="1"/>
  <c r="P271" i="18" a="1"/>
  <c r="P271" i="18" s="1"/>
  <c r="R271" i="18" s="1"/>
  <c r="U271" i="18" s="1"/>
  <c r="P294" i="18" a="1"/>
  <c r="P294" i="18" s="1"/>
  <c r="R294" i="18" s="1"/>
  <c r="U294" i="18" s="1"/>
  <c r="P306" i="18" a="1"/>
  <c r="P306" i="18" s="1"/>
  <c r="R306" i="18" s="1"/>
  <c r="U306" i="18" s="1"/>
  <c r="P316" i="18" a="1"/>
  <c r="P316" i="18" s="1"/>
  <c r="R316" i="18" s="1"/>
  <c r="U316" i="18" s="1"/>
  <c r="P339" i="18" a="1"/>
  <c r="P339" i="18" s="1"/>
  <c r="R339" i="18" s="1"/>
  <c r="U339" i="18" s="1"/>
  <c r="P351" i="18" a="1"/>
  <c r="P351" i="18" s="1"/>
  <c r="R351" i="18" s="1"/>
  <c r="U351" i="18" s="1"/>
  <c r="O27" i="18" a="1"/>
  <c r="O27" i="18" s="1"/>
  <c r="O41" i="18" a="1"/>
  <c r="O41" i="18" s="1"/>
  <c r="O52" i="18" a="1"/>
  <c r="O52" i="18" s="1"/>
  <c r="O68" i="18" a="1"/>
  <c r="O68" i="18" s="1"/>
  <c r="O107" i="18" a="1"/>
  <c r="O107" i="18" s="1"/>
  <c r="O121" i="18" a="1"/>
  <c r="O121" i="18" s="1"/>
  <c r="O133" i="18" a="1"/>
  <c r="O133" i="18" s="1"/>
  <c r="O185" i="18" a="1"/>
  <c r="O185" i="18" s="1"/>
  <c r="O221" i="18" a="1"/>
  <c r="O221" i="18" s="1"/>
  <c r="O233" i="18" a="1"/>
  <c r="O233" i="18" s="1"/>
  <c r="O244" i="18" a="1"/>
  <c r="O244" i="18" s="1"/>
  <c r="O257" i="18" a="1"/>
  <c r="O257" i="18" s="1"/>
  <c r="O269" i="18" a="1"/>
  <c r="O269" i="18" s="1"/>
  <c r="O282" i="18" a="1"/>
  <c r="O282" i="18" s="1"/>
  <c r="O293" i="18" a="1"/>
  <c r="O293" i="18" s="1"/>
  <c r="O329" i="18" a="1"/>
  <c r="O329" i="18" s="1"/>
  <c r="O342" i="18" a="1"/>
  <c r="O342" i="18" s="1"/>
  <c r="O353" i="18" a="1"/>
  <c r="O353" i="18" s="1"/>
  <c r="O377" i="18" a="1"/>
  <c r="O377" i="18" s="1"/>
  <c r="O389" i="18" a="1"/>
  <c r="O389" i="18" s="1"/>
  <c r="O401" i="18" a="1"/>
  <c r="O401" i="18" s="1"/>
  <c r="O426" i="18" a="1"/>
  <c r="O426" i="18" s="1"/>
  <c r="O449" i="18" a="1"/>
  <c r="O449" i="18" s="1"/>
  <c r="O461" i="18" a="1"/>
  <c r="O461" i="18" s="1"/>
  <c r="O485" i="18" a="1"/>
  <c r="O485" i="18" s="1"/>
  <c r="P7" i="18" a="1"/>
  <c r="P7" i="18" s="1"/>
  <c r="R7" i="18" s="1"/>
  <c r="U7" i="18" s="1"/>
  <c r="P20" i="18" a="1"/>
  <c r="P20" i="18" s="1"/>
  <c r="P55" i="18" a="1"/>
  <c r="P55" i="18" s="1"/>
  <c r="P68" i="18" a="1"/>
  <c r="P68" i="18" s="1"/>
  <c r="R68" i="18" s="1"/>
  <c r="U68" i="18" s="1"/>
  <c r="P79" i="18" a="1"/>
  <c r="P79" i="18" s="1"/>
  <c r="R79" i="18" s="1"/>
  <c r="U79" i="18" s="1"/>
  <c r="P103" i="18" a="1"/>
  <c r="P103" i="18" s="1"/>
  <c r="R103" i="18" s="1"/>
  <c r="U103" i="18" s="1"/>
  <c r="P128" i="18" a="1"/>
  <c r="P128" i="18" s="1"/>
  <c r="P139" i="18" a="1"/>
  <c r="P139" i="18" s="1"/>
  <c r="R139" i="18" s="1"/>
  <c r="U139" i="18" s="1"/>
  <c r="P152" i="18" a="1"/>
  <c r="P152" i="18" s="1"/>
  <c r="R152" i="18" s="1"/>
  <c r="U152" i="18" s="1"/>
  <c r="P164" i="18" a="1"/>
  <c r="P164" i="18" s="1"/>
  <c r="R164" i="18" s="1"/>
  <c r="U164" i="18" s="1"/>
  <c r="P188" i="18" a="1"/>
  <c r="P188" i="18" s="1"/>
  <c r="R188" i="18" s="1"/>
  <c r="U188" i="18" s="1"/>
  <c r="P200" i="18" a="1"/>
  <c r="P200" i="18" s="1"/>
  <c r="R200" i="18" s="1"/>
  <c r="U200" i="18" s="1"/>
  <c r="P224" i="18" a="1"/>
  <c r="P224" i="18" s="1"/>
  <c r="P260" i="18" a="1"/>
  <c r="P260" i="18" s="1"/>
  <c r="R260" i="18" s="1"/>
  <c r="U260" i="18" s="1"/>
  <c r="P272" i="18" a="1"/>
  <c r="P272" i="18" s="1"/>
  <c r="R272" i="18" s="1"/>
  <c r="U272" i="18" s="1"/>
  <c r="P283" i="18" a="1"/>
  <c r="P283" i="18" s="1"/>
  <c r="R283" i="18" s="1"/>
  <c r="U283" i="18" s="1"/>
  <c r="P317" i="18" a="1"/>
  <c r="P317" i="18" s="1"/>
  <c r="R317" i="18" s="1"/>
  <c r="U317" i="18" s="1"/>
  <c r="P329" i="18" a="1"/>
  <c r="P329" i="18" s="1"/>
  <c r="P352" i="18" a="1"/>
  <c r="P352" i="18" s="1"/>
  <c r="P388" i="18" a="1"/>
  <c r="P388" i="18" s="1"/>
  <c r="R388" i="18" s="1"/>
  <c r="U388" i="18" s="1"/>
  <c r="P400" i="18" a="1"/>
  <c r="P400" i="18" s="1"/>
  <c r="R400" i="18" s="1"/>
  <c r="U400" i="18" s="1"/>
  <c r="P412" i="18" a="1"/>
  <c r="P412" i="18" s="1"/>
  <c r="P424" i="18" a="1"/>
  <c r="P424" i="18" s="1"/>
  <c r="P436" i="18" a="1"/>
  <c r="P436" i="18" s="1"/>
  <c r="R436" i="18" s="1"/>
  <c r="U436" i="18" s="1"/>
  <c r="P448" i="18" a="1"/>
  <c r="P448" i="18" s="1"/>
  <c r="R448" i="18" s="1"/>
  <c r="U448" i="18" s="1"/>
  <c r="O14" i="18" a="1"/>
  <c r="O14" i="18" s="1"/>
  <c r="O28" i="18" a="1"/>
  <c r="O28" i="18" s="1"/>
  <c r="O53" i="18" a="1"/>
  <c r="O53" i="18" s="1"/>
  <c r="O69" i="18" a="1"/>
  <c r="O69" i="18" s="1"/>
  <c r="O81" i="18" a="1"/>
  <c r="O81" i="18" s="1"/>
  <c r="O95" i="18" a="1"/>
  <c r="O95" i="18" s="1"/>
  <c r="O108" i="18" a="1"/>
  <c r="O108" i="18" s="1"/>
  <c r="O122" i="18" a="1"/>
  <c r="O122" i="18" s="1"/>
  <c r="O134" i="18" a="1"/>
  <c r="O134" i="18" s="1"/>
  <c r="O148" i="18" a="1"/>
  <c r="O148" i="18" s="1"/>
  <c r="O161" i="18" a="1"/>
  <c r="O161" i="18" s="1"/>
  <c r="O175" i="18" a="1"/>
  <c r="O175" i="18" s="1"/>
  <c r="O186" i="18" a="1"/>
  <c r="O186" i="18" s="1"/>
  <c r="O197" i="18" a="1"/>
  <c r="O197" i="18" s="1"/>
  <c r="O209" i="18" a="1"/>
  <c r="O209" i="18" s="1"/>
  <c r="O234" i="18" a="1"/>
  <c r="O234" i="18" s="1"/>
  <c r="O245" i="18" a="1"/>
  <c r="O245" i="18" s="1"/>
  <c r="O258" i="18" a="1"/>
  <c r="O258" i="18" s="1"/>
  <c r="O294" i="18" a="1"/>
  <c r="O294" i="18" s="1"/>
  <c r="O306" i="18" a="1"/>
  <c r="O306" i="18" s="1"/>
  <c r="O330" i="18" a="1"/>
  <c r="O330" i="18" s="1"/>
  <c r="O378" i="18" a="1"/>
  <c r="O378" i="18" s="1"/>
  <c r="O390" i="18" a="1"/>
  <c r="O390" i="18" s="1"/>
  <c r="O402" i="18" a="1"/>
  <c r="O402" i="18" s="1"/>
  <c r="O437" i="18" a="1"/>
  <c r="O437" i="18" s="1"/>
  <c r="O450" i="18" a="1"/>
  <c r="O450" i="18" s="1"/>
  <c r="O474" i="18" a="1"/>
  <c r="O474" i="18" s="1"/>
  <c r="O486" i="18" a="1"/>
  <c r="O486" i="18" s="1"/>
  <c r="P32" i="18" a="1"/>
  <c r="P32" i="18" s="1"/>
  <c r="P44" i="18" a="1"/>
  <c r="P44" i="18" s="1"/>
  <c r="P80" i="18" a="1"/>
  <c r="P80" i="18" s="1"/>
  <c r="P92" i="18" a="1"/>
  <c r="P92" i="18" s="1"/>
  <c r="P104" i="18" a="1"/>
  <c r="P104" i="18" s="1"/>
  <c r="R104" i="18" s="1"/>
  <c r="U104" i="18" s="1"/>
  <c r="P116" i="18" a="1"/>
  <c r="P116" i="18" s="1"/>
  <c r="R116" i="18" s="1"/>
  <c r="U116" i="18" s="1"/>
  <c r="P140" i="18" a="1"/>
  <c r="P140" i="18" s="1"/>
  <c r="R140" i="18" s="1"/>
  <c r="U140" i="18" s="1"/>
  <c r="P165" i="18" a="1"/>
  <c r="P165" i="18" s="1"/>
  <c r="R165" i="18" s="1"/>
  <c r="U165" i="18" s="1"/>
  <c r="P177" i="18" a="1"/>
  <c r="P177" i="18" s="1"/>
  <c r="R177" i="18" s="1"/>
  <c r="U177" i="18" s="1"/>
  <c r="P213" i="18" a="1"/>
  <c r="P213" i="18" s="1"/>
  <c r="R213" i="18" s="1"/>
  <c r="U213" i="18" s="1"/>
  <c r="P225" i="18" a="1"/>
  <c r="P225" i="18" s="1"/>
  <c r="P237" i="18" a="1"/>
  <c r="P237" i="18" s="1"/>
  <c r="P248" i="18" a="1"/>
  <c r="P248" i="18" s="1"/>
  <c r="P273" i="18" a="1"/>
  <c r="P273" i="18" s="1"/>
  <c r="R273" i="18" s="1"/>
  <c r="U273" i="18" s="1"/>
  <c r="P284" i="18" a="1"/>
  <c r="P284" i="18" s="1"/>
  <c r="R284" i="18" s="1"/>
  <c r="U284" i="18" s="1"/>
  <c r="P295" i="18" a="1"/>
  <c r="P295" i="18" s="1"/>
  <c r="R295" i="18" s="1"/>
  <c r="U295" i="18" s="1"/>
  <c r="P307" i="18" a="1"/>
  <c r="P307" i="18" s="1"/>
  <c r="P330" i="18" a="1"/>
  <c r="P330" i="18" s="1"/>
  <c r="R330" i="18" s="1"/>
  <c r="U330" i="18" s="1"/>
  <c r="P340" i="18" a="1"/>
  <c r="P340" i="18" s="1"/>
  <c r="R340" i="18" s="1"/>
  <c r="U340" i="18" s="1"/>
  <c r="P364" i="18" a="1"/>
  <c r="P364" i="18" s="1"/>
  <c r="R364" i="18" s="1"/>
  <c r="U364" i="18" s="1"/>
  <c r="P376" i="18" a="1"/>
  <c r="P376" i="18" s="1"/>
  <c r="R376" i="18" s="1"/>
  <c r="U376" i="18" s="1"/>
  <c r="P389" i="18" a="1"/>
  <c r="P389" i="18" s="1"/>
  <c r="R389" i="18" s="1"/>
  <c r="U389" i="18" s="1"/>
  <c r="P437" i="18" a="1"/>
  <c r="P437" i="18" s="1"/>
  <c r="R437" i="18" s="1"/>
  <c r="U437" i="18" s="1"/>
  <c r="O15" i="18" a="1"/>
  <c r="O15" i="18" s="1"/>
  <c r="O29" i="18" a="1"/>
  <c r="O29" i="18" s="1"/>
  <c r="O42" i="18" a="1"/>
  <c r="O42" i="18" s="1"/>
  <c r="O54" i="18" a="1"/>
  <c r="O54" i="18" s="1"/>
  <c r="O70" i="18" a="1"/>
  <c r="O70" i="18" s="1"/>
  <c r="O96" i="18" a="1"/>
  <c r="O96" i="18" s="1"/>
  <c r="O109" i="18" a="1"/>
  <c r="O109" i="18" s="1"/>
  <c r="O135" i="18" a="1"/>
  <c r="O135" i="18" s="1"/>
  <c r="O149" i="18" a="1"/>
  <c r="O149" i="18" s="1"/>
  <c r="O162" i="18" a="1"/>
  <c r="O162" i="18" s="1"/>
  <c r="O176" i="18" a="1"/>
  <c r="O176" i="18" s="1"/>
  <c r="O187" i="18" a="1"/>
  <c r="O187" i="18" s="1"/>
  <c r="O210" i="18" a="1"/>
  <c r="O210" i="18" s="1"/>
  <c r="O246" i="18" a="1"/>
  <c r="O246" i="18" s="1"/>
  <c r="O271" i="18" a="1"/>
  <c r="O271" i="18" s="1"/>
  <c r="O283" i="18" a="1"/>
  <c r="O283" i="18" s="1"/>
  <c r="O319" i="18" a="1"/>
  <c r="O319" i="18" s="1"/>
  <c r="O331" i="18" a="1"/>
  <c r="O331" i="18" s="1"/>
  <c r="O343" i="18" a="1"/>
  <c r="O343" i="18" s="1"/>
  <c r="O354" i="18" a="1"/>
  <c r="O354" i="18" s="1"/>
  <c r="O379" i="18" a="1"/>
  <c r="O379" i="18" s="1"/>
  <c r="O391" i="18" a="1"/>
  <c r="O391" i="18" s="1"/>
  <c r="O403" i="18" a="1"/>
  <c r="O403" i="18" s="1"/>
  <c r="O415" i="18" a="1"/>
  <c r="O415" i="18" s="1"/>
  <c r="O427" i="18" a="1"/>
  <c r="O427" i="18" s="1"/>
  <c r="O438" i="18" a="1"/>
  <c r="O438" i="18" s="1"/>
  <c r="O463" i="18" a="1"/>
  <c r="O463" i="18" s="1"/>
  <c r="O475" i="18" a="1"/>
  <c r="O475" i="18" s="1"/>
  <c r="O487" i="18" a="1"/>
  <c r="O487" i="18" s="1"/>
  <c r="P8" i="18" a="1"/>
  <c r="P8" i="18" s="1"/>
  <c r="R8" i="18" s="1"/>
  <c r="U8" i="18" s="1"/>
  <c r="P21" i="18" a="1"/>
  <c r="P21" i="18" s="1"/>
  <c r="R21" i="18" s="1"/>
  <c r="U21" i="18" s="1"/>
  <c r="P33" i="18" a="1"/>
  <c r="P33" i="18" s="1"/>
  <c r="R33" i="18" s="1"/>
  <c r="U33" i="18" s="1"/>
  <c r="P45" i="18" a="1"/>
  <c r="P45" i="18" s="1"/>
  <c r="P56" i="18" a="1"/>
  <c r="P56" i="18" s="1"/>
  <c r="P69" i="18" a="1"/>
  <c r="P69" i="18" s="1"/>
  <c r="P81" i="18" a="1"/>
  <c r="P81" i="18" s="1"/>
  <c r="R81" i="18" s="1"/>
  <c r="U81" i="18" s="1"/>
  <c r="P93" i="18" a="1"/>
  <c r="P93" i="18" s="1"/>
  <c r="R93" i="18" s="1"/>
  <c r="U93" i="18" s="1"/>
  <c r="P105" i="18" a="1"/>
  <c r="P105" i="18" s="1"/>
  <c r="R105" i="18" s="1"/>
  <c r="U105" i="18" s="1"/>
  <c r="P117" i="18" a="1"/>
  <c r="P117" i="18" s="1"/>
  <c r="R117" i="18" s="1"/>
  <c r="U117" i="18" s="1"/>
  <c r="P129" i="18" a="1"/>
  <c r="P129" i="18" s="1"/>
  <c r="P141" i="18" a="1"/>
  <c r="P141" i="18" s="1"/>
  <c r="P153" i="18" a="1"/>
  <c r="P153" i="18" s="1"/>
  <c r="P178" i="18" a="1"/>
  <c r="P178" i="18" s="1"/>
  <c r="P189" i="18" a="1"/>
  <c r="P189" i="18" s="1"/>
  <c r="P201" i="18" a="1"/>
  <c r="P201" i="18" s="1"/>
  <c r="R201" i="18" s="1"/>
  <c r="U201" i="18" s="1"/>
  <c r="P226" i="18" a="1"/>
  <c r="P226" i="18" s="1"/>
  <c r="R226" i="18" s="1"/>
  <c r="U226" i="18" s="1"/>
  <c r="P249" i="18" a="1"/>
  <c r="P249" i="18" s="1"/>
  <c r="P261" i="18" a="1"/>
  <c r="P261" i="18" s="1"/>
  <c r="P274" i="18" a="1"/>
  <c r="P274" i="18" s="1"/>
  <c r="R274" i="18" s="1"/>
  <c r="U274" i="18" s="1"/>
  <c r="P285" i="18" a="1"/>
  <c r="P285" i="18" s="1"/>
  <c r="R285" i="18" s="1"/>
  <c r="U285" i="18" s="1"/>
  <c r="P296" i="18" a="1"/>
  <c r="P296" i="18" s="1"/>
  <c r="O16" i="18" a="1"/>
  <c r="O16" i="18" s="1"/>
  <c r="O43" i="18" a="1"/>
  <c r="O43" i="18" s="1"/>
  <c r="O55" i="18" a="1"/>
  <c r="O55" i="18" s="1"/>
  <c r="O71" i="18" a="1"/>
  <c r="O71" i="18" s="1"/>
  <c r="O82" i="18" a="1"/>
  <c r="O82" i="18" s="1"/>
  <c r="O97" i="18" a="1"/>
  <c r="O97" i="18" s="1"/>
  <c r="O123" i="18" a="1"/>
  <c r="O123" i="18" s="1"/>
  <c r="O136" i="18" a="1"/>
  <c r="O136" i="18" s="1"/>
  <c r="O150" i="18" a="1"/>
  <c r="O150" i="18" s="1"/>
  <c r="O163" i="18" a="1"/>
  <c r="O163" i="18" s="1"/>
  <c r="O188" i="18" a="1"/>
  <c r="O188" i="18" s="1"/>
  <c r="O198" i="18" a="1"/>
  <c r="O198" i="18" s="1"/>
  <c r="O211" i="18" a="1"/>
  <c r="O211" i="18" s="1"/>
  <c r="O223" i="18" a="1"/>
  <c r="O223" i="18" s="1"/>
  <c r="O235" i="18" a="1"/>
  <c r="O235" i="18" s="1"/>
  <c r="O247" i="18" a="1"/>
  <c r="O247" i="18" s="1"/>
  <c r="O259" i="18" a="1"/>
  <c r="O259" i="18" s="1"/>
  <c r="O284" i="18" a="1"/>
  <c r="O284" i="18" s="1"/>
  <c r="O295" i="18" a="1"/>
  <c r="O295" i="18" s="1"/>
  <c r="O307" i="18" a="1"/>
  <c r="O307" i="18" s="1"/>
  <c r="O332" i="18" a="1"/>
  <c r="O332" i="18" s="1"/>
  <c r="O344" i="18" a="1"/>
  <c r="O344" i="18" s="1"/>
  <c r="O355" i="18" a="1"/>
  <c r="O355" i="18" s="1"/>
  <c r="O367" i="18" a="1"/>
  <c r="O367" i="18" s="1"/>
  <c r="O380" i="18" a="1"/>
  <c r="O380" i="18" s="1"/>
  <c r="O392" i="18" a="1"/>
  <c r="O392" i="18" s="1"/>
  <c r="O404" i="18" a="1"/>
  <c r="O404" i="18" s="1"/>
  <c r="O416" i="18" a="1"/>
  <c r="O416" i="18" s="1"/>
  <c r="O428" i="18" a="1"/>
  <c r="O428" i="18" s="1"/>
  <c r="O439" i="18" a="1"/>
  <c r="O439" i="18" s="1"/>
  <c r="O451" i="18" a="1"/>
  <c r="O451" i="18" s="1"/>
  <c r="O476" i="18" a="1"/>
  <c r="O476" i="18" s="1"/>
  <c r="P34" i="18" a="1"/>
  <c r="P34" i="18" s="1"/>
  <c r="R34" i="18" s="1"/>
  <c r="U34" i="18" s="1"/>
  <c r="P57" i="18" a="1"/>
  <c r="P57" i="18" s="1"/>
  <c r="R57" i="18" s="1"/>
  <c r="U57" i="18" s="1"/>
  <c r="P70" i="18" a="1"/>
  <c r="P70" i="18" s="1"/>
  <c r="R70" i="18" s="1"/>
  <c r="U70" i="18" s="1"/>
  <c r="P82" i="18" a="1"/>
  <c r="P82" i="18" s="1"/>
  <c r="R82" i="18" s="1"/>
  <c r="U82" i="18" s="1"/>
  <c r="P106" i="18" a="1"/>
  <c r="P106" i="18" s="1"/>
  <c r="P118" i="18" a="1"/>
  <c r="P118" i="18" s="1"/>
  <c r="R118" i="18" s="1"/>
  <c r="U118" i="18" s="1"/>
  <c r="P130" i="18" a="1"/>
  <c r="P130" i="18" s="1"/>
  <c r="P154" i="18" a="1"/>
  <c r="P154" i="18" s="1"/>
  <c r="R154" i="18" s="1"/>
  <c r="U154" i="18" s="1"/>
  <c r="P166" i="18" a="1"/>
  <c r="P166" i="18" s="1"/>
  <c r="P202" i="18" a="1"/>
  <c r="P202" i="18" s="1"/>
  <c r="P214" i="18" a="1"/>
  <c r="P214" i="18" s="1"/>
  <c r="P239" i="18" a="1"/>
  <c r="P239" i="18" s="1"/>
  <c r="R239" i="18" s="1"/>
  <c r="U239" i="18" s="1"/>
  <c r="O2" i="18" a="1"/>
  <c r="O2" i="18" s="1"/>
  <c r="O17" i="18" a="1"/>
  <c r="O17" i="18" s="1"/>
  <c r="O31" i="18" a="1"/>
  <c r="O31" i="18" s="1"/>
  <c r="O56" i="18" a="1"/>
  <c r="O56" i="18" s="1"/>
  <c r="O83" i="18" a="1"/>
  <c r="O83" i="18" s="1"/>
  <c r="O98" i="18" a="1"/>
  <c r="O98" i="18" s="1"/>
  <c r="O111" i="18" a="1"/>
  <c r="O111" i="18" s="1"/>
  <c r="O124" i="18" a="1"/>
  <c r="O124" i="18" s="1"/>
  <c r="O137" i="18" a="1"/>
  <c r="O137" i="18" s="1"/>
  <c r="O151" i="18" a="1"/>
  <c r="O151" i="18" s="1"/>
  <c r="O164" i="18" a="1"/>
  <c r="O164" i="18" s="1"/>
  <c r="O177" i="18" a="1"/>
  <c r="O177" i="18" s="1"/>
  <c r="O189" i="18" a="1"/>
  <c r="O189" i="18" s="1"/>
  <c r="O199" i="18" a="1"/>
  <c r="O199" i="18" s="1"/>
  <c r="O212" i="18" a="1"/>
  <c r="O212" i="18" s="1"/>
  <c r="O224" i="18" a="1"/>
  <c r="O224" i="18" s="1"/>
  <c r="O236" i="18" a="1"/>
  <c r="O236" i="18" s="1"/>
  <c r="O248" i="18" a="1"/>
  <c r="O248" i="18" s="1"/>
  <c r="O260" i="18" a="1"/>
  <c r="O260" i="18" s="1"/>
  <c r="O272" i="18" a="1"/>
  <c r="O272" i="18" s="1"/>
  <c r="O296" i="18" a="1"/>
  <c r="O296" i="18" s="1"/>
  <c r="O308" i="18" a="1"/>
  <c r="O308" i="18" s="1"/>
  <c r="O320" i="18" a="1"/>
  <c r="O320" i="18" s="1"/>
  <c r="O345" i="18" a="1"/>
  <c r="O345" i="18" s="1"/>
  <c r="O356" i="18" a="1"/>
  <c r="O356" i="18" s="1"/>
  <c r="O368" i="18" a="1"/>
  <c r="O368" i="18" s="1"/>
  <c r="O381" i="18" a="1"/>
  <c r="O381" i="18" s="1"/>
  <c r="O393" i="18" a="1"/>
  <c r="O393" i="18" s="1"/>
  <c r="O405" i="18" a="1"/>
  <c r="O405" i="18" s="1"/>
  <c r="O429" i="18" a="1"/>
  <c r="O429" i="18" s="1"/>
  <c r="O452" i="18" a="1"/>
  <c r="O452" i="18" s="1"/>
  <c r="O464" i="18" a="1"/>
  <c r="O464" i="18" s="1"/>
  <c r="O488" i="18" a="1"/>
  <c r="O488" i="18" s="1"/>
  <c r="P9" i="18" a="1"/>
  <c r="P9" i="18" s="1"/>
  <c r="R9" i="18" s="1"/>
  <c r="U9" i="18" s="1"/>
  <c r="P22" i="18" a="1"/>
  <c r="P22" i="18" s="1"/>
  <c r="P47" i="18" a="1"/>
  <c r="P47" i="18" s="1"/>
  <c r="R47" i="18" s="1"/>
  <c r="U47" i="18" s="1"/>
  <c r="P58" i="18" a="1"/>
  <c r="P58" i="18" s="1"/>
  <c r="R58" i="18" s="1"/>
  <c r="U58" i="18" s="1"/>
  <c r="P71" i="18" a="1"/>
  <c r="P71" i="18" s="1"/>
  <c r="R71" i="18" s="1"/>
  <c r="U71" i="18" s="1"/>
  <c r="P83" i="18" a="1"/>
  <c r="P83" i="18" s="1"/>
  <c r="R83" i="18" s="1"/>
  <c r="U83" i="18" s="1"/>
  <c r="P107" i="18" a="1"/>
  <c r="P107" i="18" s="1"/>
  <c r="P131" i="18" a="1"/>
  <c r="P131" i="18" s="1"/>
  <c r="R131" i="18" s="1"/>
  <c r="U131" i="18" s="1"/>
  <c r="P179" i="18" a="1"/>
  <c r="P179" i="18" s="1"/>
  <c r="R179" i="18" s="1"/>
  <c r="U179" i="18" s="1"/>
  <c r="P191" i="18" a="1"/>
  <c r="P191" i="18" s="1"/>
  <c r="R191" i="18" s="1"/>
  <c r="U191" i="18" s="1"/>
  <c r="P215" i="18" a="1"/>
  <c r="P215" i="18" s="1"/>
  <c r="R215" i="18" s="1"/>
  <c r="U215" i="18" s="1"/>
  <c r="P227" i="18" a="1"/>
  <c r="P227" i="18" s="1"/>
  <c r="P251" i="18" a="1"/>
  <c r="P251" i="18" s="1"/>
  <c r="R251" i="18" s="1"/>
  <c r="U251" i="18" s="1"/>
  <c r="P263" i="18" a="1"/>
  <c r="P263" i="18" s="1"/>
  <c r="R263" i="18" s="1"/>
  <c r="U263" i="18" s="1"/>
  <c r="P275" i="18" a="1"/>
  <c r="P275" i="18" s="1"/>
  <c r="R275" i="18" s="1"/>
  <c r="U275" i="18" s="1"/>
  <c r="P287" i="18" a="1"/>
  <c r="P287" i="18" s="1"/>
  <c r="R287" i="18" s="1"/>
  <c r="U287" i="18" s="1"/>
  <c r="P298" i="18" a="1"/>
  <c r="P298" i="18" s="1"/>
  <c r="R298" i="18" s="1"/>
  <c r="U298" i="18" s="1"/>
  <c r="O3" i="18" a="1"/>
  <c r="O3" i="18" s="1"/>
  <c r="O18" i="18" a="1"/>
  <c r="O18" i="18" s="1"/>
  <c r="O44" i="18" a="1"/>
  <c r="O44" i="18" s="1"/>
  <c r="O57" i="18" a="1"/>
  <c r="O57" i="18" s="1"/>
  <c r="O72" i="18" a="1"/>
  <c r="O72" i="18" s="1"/>
  <c r="O84" i="18" a="1"/>
  <c r="O84" i="18" s="1"/>
  <c r="O125" i="18" a="1"/>
  <c r="O125" i="18" s="1"/>
  <c r="O138" i="18" a="1"/>
  <c r="O138" i="18" s="1"/>
  <c r="O152" i="18" a="1"/>
  <c r="O152" i="18" s="1"/>
  <c r="O165" i="18" a="1"/>
  <c r="O165" i="18" s="1"/>
  <c r="O200" i="18" a="1"/>
  <c r="O200" i="18" s="1"/>
  <c r="O213" i="18" a="1"/>
  <c r="O213" i="18" s="1"/>
  <c r="O237" i="18" a="1"/>
  <c r="O237" i="18" s="1"/>
  <c r="O285" i="18" a="1"/>
  <c r="O285" i="18" s="1"/>
  <c r="O297" i="18" a="1"/>
  <c r="O297" i="18" s="1"/>
  <c r="O321" i="18" a="1"/>
  <c r="O321" i="18" s="1"/>
  <c r="O333" i="18" a="1"/>
  <c r="O333" i="18" s="1"/>
  <c r="O357" i="18" a="1"/>
  <c r="O357" i="18" s="1"/>
  <c r="O369" i="18" a="1"/>
  <c r="O369" i="18" s="1"/>
  <c r="O417" i="18" a="1"/>
  <c r="O417" i="18" s="1"/>
  <c r="O440" i="18" a="1"/>
  <c r="O440" i="18" s="1"/>
  <c r="O453" i="18" a="1"/>
  <c r="O453" i="18" s="1"/>
  <c r="O477" i="18" a="1"/>
  <c r="O477" i="18" s="1"/>
  <c r="O489" i="18" a="1"/>
  <c r="O489" i="18" s="1"/>
  <c r="P10" i="18" a="1"/>
  <c r="P10" i="18" s="1"/>
  <c r="P23" i="18" a="1"/>
  <c r="P23" i="18" s="1"/>
  <c r="R23" i="18" s="1"/>
  <c r="U23" i="18" s="1"/>
  <c r="P35" i="18" a="1"/>
  <c r="P35" i="18" s="1"/>
  <c r="R35" i="18" s="1"/>
  <c r="U35" i="18" s="1"/>
  <c r="P48" i="18" a="1"/>
  <c r="P48" i="18" s="1"/>
  <c r="R48" i="18" s="1"/>
  <c r="U48" i="18" s="1"/>
  <c r="P59" i="18" a="1"/>
  <c r="P59" i="18" s="1"/>
  <c r="R59" i="18" s="1"/>
  <c r="U59" i="18" s="1"/>
  <c r="P84" i="18" a="1"/>
  <c r="P84" i="18" s="1"/>
  <c r="P95" i="18" a="1"/>
  <c r="P95" i="18" s="1"/>
  <c r="R95" i="18" s="1"/>
  <c r="U95" i="18" s="1"/>
  <c r="P108" i="18" a="1"/>
  <c r="P108" i="18" s="1"/>
  <c r="P119" i="18" a="1"/>
  <c r="P119" i="18" s="1"/>
  <c r="R119" i="18" s="1"/>
  <c r="U119" i="18" s="1"/>
  <c r="P143" i="18" a="1"/>
  <c r="P143" i="18" s="1"/>
  <c r="R143" i="18" s="1"/>
  <c r="U143" i="18" s="1"/>
  <c r="P155" i="18" a="1"/>
  <c r="P155" i="18" s="1"/>
  <c r="P167" i="18" a="1"/>
  <c r="P167" i="18" s="1"/>
  <c r="R167" i="18" s="1"/>
  <c r="U167" i="18" s="1"/>
  <c r="P192" i="18" a="1"/>
  <c r="P192" i="18" s="1"/>
  <c r="R192" i="18" s="1"/>
  <c r="U192" i="18" s="1"/>
  <c r="P203" i="18" a="1"/>
  <c r="P203" i="18" s="1"/>
  <c r="P216" i="18" a="1"/>
  <c r="P216" i="18" s="1"/>
  <c r="R216" i="18" s="1"/>
  <c r="U216" i="18" s="1"/>
  <c r="P228" i="18" a="1"/>
  <c r="P228" i="18" s="1"/>
  <c r="R228" i="18" s="1"/>
  <c r="U228" i="18" s="1"/>
  <c r="P240" i="18" a="1"/>
  <c r="P240" i="18" s="1"/>
  <c r="R240" i="18" s="1"/>
  <c r="U240" i="18" s="1"/>
  <c r="P252" i="18" a="1"/>
  <c r="P252" i="18" s="1"/>
  <c r="R252" i="18" s="1"/>
  <c r="U252" i="18" s="1"/>
  <c r="P276" i="18" a="1"/>
  <c r="P276" i="18" s="1"/>
  <c r="P299" i="18" a="1"/>
  <c r="P299" i="18" s="1"/>
  <c r="R299" i="18" s="1"/>
  <c r="U299" i="18" s="1"/>
  <c r="P309" i="18" a="1"/>
  <c r="P309" i="18" s="1"/>
  <c r="P343" i="18" a="1"/>
  <c r="P343" i="18" s="1"/>
  <c r="R343" i="18" s="1"/>
  <c r="U343" i="18" s="1"/>
  <c r="P356" i="18" a="1"/>
  <c r="P356" i="18" s="1"/>
  <c r="P367" i="18" a="1"/>
  <c r="P367" i="18" s="1"/>
  <c r="R367" i="18" s="1"/>
  <c r="U367" i="18" s="1"/>
  <c r="P379" i="18" a="1"/>
  <c r="P379" i="18" s="1"/>
  <c r="R379" i="18" s="1"/>
  <c r="U379" i="18" s="1"/>
  <c r="P392" i="18" a="1"/>
  <c r="P392" i="18" s="1"/>
  <c r="P415" i="18" a="1"/>
  <c r="P415" i="18" s="1"/>
  <c r="R415" i="18" s="1"/>
  <c r="U415" i="18" s="1"/>
  <c r="O4" i="18" a="1"/>
  <c r="O4" i="18" s="1"/>
  <c r="O19" i="18" a="1"/>
  <c r="O19" i="18" s="1"/>
  <c r="O32" i="18" a="1"/>
  <c r="O32" i="18" s="1"/>
  <c r="O45" i="18" a="1"/>
  <c r="O45" i="18" s="1"/>
  <c r="O58" i="18" a="1"/>
  <c r="O58" i="18" s="1"/>
  <c r="O73" i="18" a="1"/>
  <c r="O73" i="18" s="1"/>
  <c r="O85" i="18" a="1"/>
  <c r="O85" i="18" s="1"/>
  <c r="O99" i="18" a="1"/>
  <c r="O99" i="18" s="1"/>
  <c r="O112" i="18" a="1"/>
  <c r="O112" i="18" s="1"/>
  <c r="O139" i="18" a="1"/>
  <c r="O139" i="18" s="1"/>
  <c r="O166" i="18" a="1"/>
  <c r="O166" i="18" s="1"/>
  <c r="O178" i="18" a="1"/>
  <c r="O178" i="18" s="1"/>
  <c r="O191" i="18" a="1"/>
  <c r="O191" i="18" s="1"/>
  <c r="O214" i="18" a="1"/>
  <c r="O214" i="18" s="1"/>
  <c r="O225" i="18" a="1"/>
  <c r="O225" i="18" s="1"/>
  <c r="O249" i="18" a="1"/>
  <c r="O249" i="18" s="1"/>
  <c r="O261" i="18" a="1"/>
  <c r="O261" i="18" s="1"/>
  <c r="O273" i="18" a="1"/>
  <c r="O273" i="18" s="1"/>
  <c r="O298" i="18" a="1"/>
  <c r="O298" i="18" s="1"/>
  <c r="O309" i="18" a="1"/>
  <c r="O309" i="18" s="1"/>
  <c r="O322" i="18" a="1"/>
  <c r="O322" i="18" s="1"/>
  <c r="O346" i="18" a="1"/>
  <c r="O346" i="18" s="1"/>
  <c r="O358" i="18" a="1"/>
  <c r="O358" i="18" s="1"/>
  <c r="O394" i="18" a="1"/>
  <c r="O394" i="18" s="1"/>
  <c r="O406" i="18" a="1"/>
  <c r="O406" i="18" s="1"/>
  <c r="O441" i="18" a="1"/>
  <c r="O441" i="18" s="1"/>
  <c r="O465" i="18" a="1"/>
  <c r="O465" i="18" s="1"/>
  <c r="O490" i="18" a="1"/>
  <c r="O490" i="18" s="1"/>
  <c r="P11" i="18" a="1"/>
  <c r="P11" i="18" s="1"/>
  <c r="R11" i="18" s="1"/>
  <c r="U11" i="18" s="1"/>
  <c r="P24" i="18" a="1"/>
  <c r="P24" i="18" s="1"/>
  <c r="P36" i="18" a="1"/>
  <c r="P36" i="18" s="1"/>
  <c r="P60" i="18" a="1"/>
  <c r="P60" i="18" s="1"/>
  <c r="R60" i="18" s="1"/>
  <c r="U60" i="18" s="1"/>
  <c r="P72" i="18" a="1"/>
  <c r="P72" i="18" s="1"/>
  <c r="R72" i="18" s="1"/>
  <c r="U72" i="18" s="1"/>
  <c r="P96" i="18" a="1"/>
  <c r="P96" i="18" s="1"/>
  <c r="P132" i="18" a="1"/>
  <c r="P132" i="18" s="1"/>
  <c r="R132" i="18" s="1"/>
  <c r="U132" i="18" s="1"/>
  <c r="P144" i="18" a="1"/>
  <c r="P144" i="18" s="1"/>
  <c r="P156" i="18" a="1"/>
  <c r="P156" i="18" s="1"/>
  <c r="R156" i="18" s="1"/>
  <c r="U156" i="18" s="1"/>
  <c r="P168" i="18" a="1"/>
  <c r="P168" i="18" s="1"/>
  <c r="P180" i="18" a="1"/>
  <c r="P180" i="18" s="1"/>
  <c r="R180" i="18" s="1"/>
  <c r="U180" i="18" s="1"/>
  <c r="P193" i="18" a="1"/>
  <c r="P193" i="18" s="1"/>
  <c r="R193" i="18" s="1"/>
  <c r="U193" i="18" s="1"/>
  <c r="P204" i="18" a="1"/>
  <c r="P204" i="18" s="1"/>
  <c r="R204" i="18" s="1"/>
  <c r="U204" i="18" s="1"/>
  <c r="P229" i="18" a="1"/>
  <c r="P229" i="18" s="1"/>
  <c r="R229" i="18" s="1"/>
  <c r="U229" i="18" s="1"/>
  <c r="P241" i="18" a="1"/>
  <c r="P241" i="18" s="1"/>
  <c r="R241" i="18" s="1"/>
  <c r="U241" i="18" s="1"/>
  <c r="P253" i="18" a="1"/>
  <c r="P253" i="18" s="1"/>
  <c r="R253" i="18" s="1"/>
  <c r="U253" i="18" s="1"/>
  <c r="P264" i="18" a="1"/>
  <c r="P264" i="18" s="1"/>
  <c r="R264" i="18" s="1"/>
  <c r="U264" i="18" s="1"/>
  <c r="P288" i="18" a="1"/>
  <c r="P288" i="18" s="1"/>
  <c r="P310" i="18" a="1"/>
  <c r="P310" i="18" s="1"/>
  <c r="P321" i="18" a="1"/>
  <c r="P321" i="18" s="1"/>
  <c r="R321" i="18" s="1"/>
  <c r="U321" i="18" s="1"/>
  <c r="P333" i="18" a="1"/>
  <c r="P333" i="18" s="1"/>
  <c r="P368" i="18" a="1"/>
  <c r="P368" i="18" s="1"/>
  <c r="R368" i="18" s="1"/>
  <c r="U368" i="18" s="1"/>
  <c r="P380" i="18" a="1"/>
  <c r="P380" i="18" s="1"/>
  <c r="R380" i="18" s="1"/>
  <c r="U380" i="18" s="1"/>
  <c r="O5" i="18" a="1"/>
  <c r="O5" i="18" s="1"/>
  <c r="O59" i="18" a="1"/>
  <c r="O59" i="18" s="1"/>
  <c r="O86" i="18" a="1"/>
  <c r="O86" i="18" s="1"/>
  <c r="O113" i="18" a="1"/>
  <c r="O113" i="18" s="1"/>
  <c r="O127" i="18" a="1"/>
  <c r="O127" i="18" s="1"/>
  <c r="O153" i="18" a="1"/>
  <c r="O153" i="18" s="1"/>
  <c r="O167" i="18" a="1"/>
  <c r="O167" i="18" s="1"/>
  <c r="O192" i="18" a="1"/>
  <c r="O192" i="18" s="1"/>
  <c r="O201" i="18" a="1"/>
  <c r="O201" i="18" s="1"/>
  <c r="O250" i="18" a="1"/>
  <c r="O250" i="18" s="1"/>
  <c r="O262" i="18" a="1"/>
  <c r="O262" i="18" s="1"/>
  <c r="O274" i="18" a="1"/>
  <c r="O274" i="18" s="1"/>
  <c r="O299" i="18" a="1"/>
  <c r="O299" i="18" s="1"/>
  <c r="O310" i="18" a="1"/>
  <c r="O310" i="18" s="1"/>
  <c r="O335" i="18" a="1"/>
  <c r="O335" i="18" s="1"/>
  <c r="O347" i="18" a="1"/>
  <c r="O347" i="18" s="1"/>
  <c r="O359" i="18" a="1"/>
  <c r="O359" i="18" s="1"/>
  <c r="O370" i="18" a="1"/>
  <c r="O370" i="18" s="1"/>
  <c r="O383" i="18" a="1"/>
  <c r="O383" i="18" s="1"/>
  <c r="O395" i="18" a="1"/>
  <c r="O395" i="18" s="1"/>
  <c r="O407" i="18" a="1"/>
  <c r="O407" i="18" s="1"/>
  <c r="O418" i="18" a="1"/>
  <c r="O418" i="18" s="1"/>
  <c r="O442" i="18" a="1"/>
  <c r="O442" i="18" s="1"/>
  <c r="O454" i="18" a="1"/>
  <c r="O454" i="18" s="1"/>
  <c r="O466" i="18" a="1"/>
  <c r="O466" i="18" s="1"/>
  <c r="P12" i="18" a="1"/>
  <c r="P12" i="18" s="1"/>
  <c r="R12" i="18" s="1"/>
  <c r="U12" i="18" s="1"/>
  <c r="P37" i="18" a="1"/>
  <c r="P37" i="18" s="1"/>
  <c r="R37" i="18" s="1"/>
  <c r="U37" i="18" s="1"/>
  <c r="P49" i="18" a="1"/>
  <c r="P49" i="18" s="1"/>
  <c r="R49" i="18" s="1"/>
  <c r="U49" i="18" s="1"/>
  <c r="P85" i="18" a="1"/>
  <c r="P85" i="18" s="1"/>
  <c r="R85" i="18" s="1"/>
  <c r="U85" i="18" s="1"/>
  <c r="P97" i="18" a="1"/>
  <c r="P97" i="18" s="1"/>
  <c r="R97" i="18" s="1"/>
  <c r="U97" i="18" s="1"/>
  <c r="P109" i="18" a="1"/>
  <c r="P109" i="18" s="1"/>
  <c r="R109" i="18" s="1"/>
  <c r="U109" i="18" s="1"/>
  <c r="P120" i="18" a="1"/>
  <c r="P120" i="18" s="1"/>
  <c r="R120" i="18" s="1"/>
  <c r="U120" i="18" s="1"/>
  <c r="P145" i="18" a="1"/>
  <c r="P145" i="18" s="1"/>
  <c r="R145" i="18" s="1"/>
  <c r="U145" i="18" s="1"/>
  <c r="P157" i="18" a="1"/>
  <c r="P157" i="18" s="1"/>
  <c r="R157" i="18" s="1"/>
  <c r="U157" i="18" s="1"/>
  <c r="P169" i="18" a="1"/>
  <c r="P169" i="18" s="1"/>
  <c r="R169" i="18" s="1"/>
  <c r="U169" i="18" s="1"/>
  <c r="P181" i="18" a="1"/>
  <c r="P181" i="18" s="1"/>
  <c r="R181" i="18" s="1"/>
  <c r="U181" i="18" s="1"/>
  <c r="P194" i="18" a="1"/>
  <c r="P194" i="18" s="1"/>
  <c r="R194" i="18" s="1"/>
  <c r="U194" i="18" s="1"/>
  <c r="P205" i="18" a="1"/>
  <c r="P205" i="18" s="1"/>
  <c r="R205" i="18" s="1"/>
  <c r="U205" i="18" s="1"/>
  <c r="P217" i="18" a="1"/>
  <c r="P217" i="18" s="1"/>
  <c r="R217" i="18" s="1"/>
  <c r="U217" i="18" s="1"/>
  <c r="P242" i="18" a="1"/>
  <c r="P242" i="18" s="1"/>
  <c r="R242" i="18" s="1"/>
  <c r="U242" i="18" s="1"/>
  <c r="P277" i="18" a="1"/>
  <c r="P277" i="18" s="1"/>
  <c r="R277" i="18" s="1"/>
  <c r="U277" i="18" s="1"/>
  <c r="P289" i="18" a="1"/>
  <c r="P289" i="18" s="1"/>
  <c r="P300" i="18" a="1"/>
  <c r="P300" i="18" s="1"/>
  <c r="R300" i="18" s="1"/>
  <c r="U300" i="18" s="1"/>
  <c r="P322" i="18" a="1"/>
  <c r="P322" i="18" s="1"/>
  <c r="P344" i="18" a="1"/>
  <c r="P344" i="18" s="1"/>
  <c r="P357" i="18" a="1"/>
  <c r="P357" i="18" s="1"/>
  <c r="R357" i="18" s="1"/>
  <c r="U357" i="18" s="1"/>
  <c r="P369" i="18" a="1"/>
  <c r="P369" i="18" s="1"/>
  <c r="R369" i="18" s="1"/>
  <c r="U369" i="18" s="1"/>
  <c r="P393" i="18" a="1"/>
  <c r="P393" i="18" s="1"/>
  <c r="P405" i="18" a="1"/>
  <c r="P405" i="18" s="1"/>
  <c r="P417" i="18" a="1"/>
  <c r="P417" i="18" s="1"/>
  <c r="R417" i="18" s="1"/>
  <c r="U417" i="18" s="1"/>
  <c r="P453" i="18" a="1"/>
  <c r="P453" i="18" s="1"/>
  <c r="R453" i="18" s="1"/>
  <c r="U453" i="18" s="1"/>
  <c r="O7" i="18" a="1"/>
  <c r="O7" i="18" s="1"/>
  <c r="O21" i="18" a="1"/>
  <c r="O21" i="18" s="1"/>
  <c r="O34" i="18" a="1"/>
  <c r="O34" i="18" s="1"/>
  <c r="O48" i="18" a="1"/>
  <c r="O48" i="18" s="1"/>
  <c r="O61" i="18" a="1"/>
  <c r="O61" i="18" s="1"/>
  <c r="O75" i="18" a="1"/>
  <c r="O75" i="18" s="1"/>
  <c r="O88" i="18" a="1"/>
  <c r="O88" i="18" s="1"/>
  <c r="O101" i="18" a="1"/>
  <c r="O101" i="18" s="1"/>
  <c r="O115" i="18" a="1"/>
  <c r="O115" i="18" s="1"/>
  <c r="O141" i="18" a="1"/>
  <c r="O141" i="18" s="1"/>
  <c r="O155" i="18" a="1"/>
  <c r="O155" i="18" s="1"/>
  <c r="O169" i="18" a="1"/>
  <c r="O169" i="18" s="1"/>
  <c r="O193" i="18" a="1"/>
  <c r="O193" i="18" s="1"/>
  <c r="O203" i="18" a="1"/>
  <c r="O203" i="18" s="1"/>
  <c r="O216" i="18" a="1"/>
  <c r="O216" i="18" s="1"/>
  <c r="O227" i="18" a="1"/>
  <c r="O227" i="18" s="1"/>
  <c r="O239" i="18" a="1"/>
  <c r="O239" i="18" s="1"/>
  <c r="O252" i="18" a="1"/>
  <c r="O252" i="18" s="1"/>
  <c r="O264" i="18" a="1"/>
  <c r="O264" i="18" s="1"/>
  <c r="O276" i="18" a="1"/>
  <c r="O276" i="18" s="1"/>
  <c r="O288" i="18" a="1"/>
  <c r="O288" i="18" s="1"/>
  <c r="O301" i="18" a="1"/>
  <c r="O301" i="18" s="1"/>
  <c r="O324" i="18" a="1"/>
  <c r="O324" i="18" s="1"/>
  <c r="O336" i="18" a="1"/>
  <c r="O336" i="18" s="1"/>
  <c r="O360" i="18" a="1"/>
  <c r="O360" i="18" s="1"/>
  <c r="O371" i="18" a="1"/>
  <c r="O371" i="18" s="1"/>
  <c r="O384" i="18" a="1"/>
  <c r="O384" i="18" s="1"/>
  <c r="O409" i="18" a="1"/>
  <c r="O409" i="18" s="1"/>
  <c r="O420" i="18" a="1"/>
  <c r="O420" i="18" s="1"/>
  <c r="O432" i="18" a="1"/>
  <c r="O432" i="18" s="1"/>
  <c r="O444" i="18" a="1"/>
  <c r="O444" i="18" s="1"/>
  <c r="O456" i="18" a="1"/>
  <c r="O456" i="18" s="1"/>
  <c r="O468" i="18" a="1"/>
  <c r="O468" i="18" s="1"/>
  <c r="O480" i="18" a="1"/>
  <c r="O480" i="18" s="1"/>
  <c r="P2" i="18" a="1"/>
  <c r="P2" i="18" s="1"/>
  <c r="R2" i="18" s="1"/>
  <c r="U2" i="18" s="1"/>
  <c r="P14" i="18" a="1"/>
  <c r="P14" i="18" s="1"/>
  <c r="P26" i="18" a="1"/>
  <c r="P26" i="18" s="1"/>
  <c r="R26" i="18" s="1"/>
  <c r="U26" i="18" s="1"/>
  <c r="P38" i="18" a="1"/>
  <c r="P38" i="18" s="1"/>
  <c r="R38" i="18" s="1"/>
  <c r="U38" i="18" s="1"/>
  <c r="P74" i="18" a="1"/>
  <c r="P74" i="18" s="1"/>
  <c r="R74" i="18" s="1"/>
  <c r="U74" i="18" s="1"/>
  <c r="P86" i="18" a="1"/>
  <c r="P86" i="18" s="1"/>
  <c r="P111" i="18" a="1"/>
  <c r="P111" i="18" s="1"/>
  <c r="P122" i="18" a="1"/>
  <c r="P122" i="18" s="1"/>
  <c r="R122" i="18" s="1"/>
  <c r="U122" i="18" s="1"/>
  <c r="P134" i="18" a="1"/>
  <c r="P134" i="18" s="1"/>
  <c r="P147" i="18" a="1"/>
  <c r="P147" i="18" s="1"/>
  <c r="R147" i="18" s="1"/>
  <c r="U147" i="18" s="1"/>
  <c r="P159" i="18" a="1"/>
  <c r="P159" i="18" s="1"/>
  <c r="R159" i="18" s="1"/>
  <c r="U159" i="18" s="1"/>
  <c r="O8" i="18" a="1"/>
  <c r="O8" i="18" s="1"/>
  <c r="O22" i="18" a="1"/>
  <c r="O22" i="18" s="1"/>
  <c r="O35" i="18" a="1"/>
  <c r="O35" i="18" s="1"/>
  <c r="O49" i="18" a="1"/>
  <c r="O49" i="18" s="1"/>
  <c r="O76" i="18" a="1"/>
  <c r="O76" i="18" s="1"/>
  <c r="O89" i="18" a="1"/>
  <c r="O89" i="18" s="1"/>
  <c r="O102" i="18" a="1"/>
  <c r="O102" i="18" s="1"/>
  <c r="O116" i="18" a="1"/>
  <c r="O116" i="18" s="1"/>
  <c r="O129" i="18" a="1"/>
  <c r="O129" i="18" s="1"/>
  <c r="O156" i="18" a="1"/>
  <c r="O156" i="18" s="1"/>
  <c r="O180" i="18" a="1"/>
  <c r="O180" i="18" s="1"/>
  <c r="O204" i="18" a="1"/>
  <c r="O204" i="18" s="1"/>
  <c r="O217" i="18" a="1"/>
  <c r="O217" i="18" s="1"/>
  <c r="O228" i="18" a="1"/>
  <c r="O228" i="18" s="1"/>
  <c r="O240" i="18" a="1"/>
  <c r="O240" i="18" s="1"/>
  <c r="O253" i="18" a="1"/>
  <c r="O253" i="18" s="1"/>
  <c r="O265" i="18" a="1"/>
  <c r="O265" i="18" s="1"/>
  <c r="O277" i="18" a="1"/>
  <c r="O277" i="18" s="1"/>
  <c r="O312" i="18" a="1"/>
  <c r="O312" i="18" s="1"/>
  <c r="O325" i="18" a="1"/>
  <c r="O325" i="18" s="1"/>
  <c r="O349" i="18" a="1"/>
  <c r="O349" i="18" s="1"/>
  <c r="O361" i="18" a="1"/>
  <c r="O361" i="18" s="1"/>
  <c r="O372" i="18" a="1"/>
  <c r="O372" i="18" s="1"/>
  <c r="O385" i="18" a="1"/>
  <c r="O385" i="18" s="1"/>
  <c r="O397" i="18" a="1"/>
  <c r="O397" i="18" s="1"/>
  <c r="O410" i="18" a="1"/>
  <c r="O410" i="18" s="1"/>
  <c r="O421" i="18" a="1"/>
  <c r="O421" i="18" s="1"/>
  <c r="O433" i="18" a="1"/>
  <c r="O433" i="18" s="1"/>
  <c r="O445" i="18" a="1"/>
  <c r="O445" i="18" s="1"/>
  <c r="O469" i="18" a="1"/>
  <c r="O469" i="18" s="1"/>
  <c r="P3" i="18" a="1"/>
  <c r="P3" i="18" s="1"/>
  <c r="R3" i="18" s="1"/>
  <c r="U3" i="18" s="1"/>
  <c r="P51" i="18" a="1"/>
  <c r="P51" i="18" s="1"/>
  <c r="R51" i="18" s="1"/>
  <c r="U51" i="18" s="1"/>
  <c r="P63" i="18" a="1"/>
  <c r="P63" i="18" s="1"/>
  <c r="R63" i="18" s="1"/>
  <c r="U63" i="18" s="1"/>
  <c r="P87" i="18" a="1"/>
  <c r="P87" i="18" s="1"/>
  <c r="R87" i="18" s="1"/>
  <c r="U87" i="18" s="1"/>
  <c r="P99" i="18" a="1"/>
  <c r="P99" i="18" s="1"/>
  <c r="P123" i="18" a="1"/>
  <c r="P123" i="18" s="1"/>
  <c r="P135" i="18" a="1"/>
  <c r="P135" i="18" s="1"/>
  <c r="R135" i="18" s="1"/>
  <c r="U135" i="18" s="1"/>
  <c r="P148" i="18" a="1"/>
  <c r="P148" i="18" s="1"/>
  <c r="R148" i="18" s="1"/>
  <c r="U148" i="18" s="1"/>
  <c r="P183" i="18" a="1"/>
  <c r="P183" i="18" s="1"/>
  <c r="R183" i="18" s="1"/>
  <c r="U183" i="18" s="1"/>
  <c r="P196" i="18" a="1"/>
  <c r="P196" i="18" s="1"/>
  <c r="R196" i="18" s="1"/>
  <c r="U196" i="18" s="1"/>
  <c r="P207" i="18" a="1"/>
  <c r="P207" i="18" s="1"/>
  <c r="R207" i="18" s="1"/>
  <c r="U207" i="18" s="1"/>
  <c r="P231" i="18" a="1"/>
  <c r="P231" i="18" s="1"/>
  <c r="P256" i="18" a="1"/>
  <c r="P256" i="18" s="1"/>
  <c r="R256" i="18" s="1"/>
  <c r="U256" i="18" s="1"/>
  <c r="P267" i="18" a="1"/>
  <c r="P267" i="18" s="1"/>
  <c r="R267" i="18" s="1"/>
  <c r="U267" i="18" s="1"/>
  <c r="P279" i="18" a="1"/>
  <c r="P279" i="18" s="1"/>
  <c r="R279" i="18" s="1"/>
  <c r="U279" i="18" s="1"/>
  <c r="P291" i="18" a="1"/>
  <c r="P291" i="18" s="1"/>
  <c r="R291" i="18" s="1"/>
  <c r="U291" i="18" s="1"/>
  <c r="P312" i="18" a="1"/>
  <c r="P312" i="18" s="1"/>
  <c r="P324" i="18" a="1"/>
  <c r="P324" i="18" s="1"/>
  <c r="P335" i="18" a="1"/>
  <c r="P335" i="18" s="1"/>
  <c r="R335" i="18" s="1"/>
  <c r="U335" i="18" s="1"/>
  <c r="P347" i="18" a="1"/>
  <c r="P347" i="18" s="1"/>
  <c r="R347" i="18" s="1"/>
  <c r="U347" i="18" s="1"/>
  <c r="P359" i="18" a="1"/>
  <c r="P359" i="18" s="1"/>
  <c r="R359" i="18" s="1"/>
  <c r="U359" i="18" s="1"/>
  <c r="O9" i="18" a="1"/>
  <c r="O9" i="18" s="1"/>
  <c r="O23" i="18" a="1"/>
  <c r="O23" i="18" s="1"/>
  <c r="O36" i="18" a="1"/>
  <c r="O36" i="18" s="1"/>
  <c r="O63" i="18" a="1"/>
  <c r="O63" i="18" s="1"/>
  <c r="O77" i="18" a="1"/>
  <c r="O77" i="18" s="1"/>
  <c r="O90" i="18" a="1"/>
  <c r="O90" i="18" s="1"/>
  <c r="O103" i="18" a="1"/>
  <c r="O103" i="18" s="1"/>
  <c r="O117" i="18" a="1"/>
  <c r="O117" i="18" s="1"/>
  <c r="O143" i="18" a="1"/>
  <c r="O143" i="18" s="1"/>
  <c r="O157" i="18" a="1"/>
  <c r="O157" i="18" s="1"/>
  <c r="O170" i="18" a="1"/>
  <c r="O170" i="18" s="1"/>
  <c r="O181" i="18" a="1"/>
  <c r="O181" i="18" s="1"/>
  <c r="O194" i="18" a="1"/>
  <c r="O194" i="18" s="1"/>
  <c r="O205" i="18" a="1"/>
  <c r="O205" i="18" s="1"/>
  <c r="O229" i="18" a="1"/>
  <c r="O229" i="18" s="1"/>
  <c r="O241" i="18" a="1"/>
  <c r="O241" i="18" s="1"/>
  <c r="O289" i="18" a="1"/>
  <c r="O289" i="18" s="1"/>
  <c r="O313" i="18" a="1"/>
  <c r="O313" i="18" s="1"/>
  <c r="O337" i="18" a="1"/>
  <c r="O337" i="18" s="1"/>
  <c r="O362" i="18" a="1"/>
  <c r="O362" i="18" s="1"/>
  <c r="O373" i="18" a="1"/>
  <c r="O373" i="18" s="1"/>
  <c r="O386" i="18" a="1"/>
  <c r="O386" i="18" s="1"/>
  <c r="O422" i="18" a="1"/>
  <c r="O422" i="18" s="1"/>
  <c r="O457" i="18" a="1"/>
  <c r="O457" i="18" s="1"/>
  <c r="O470" i="18" a="1"/>
  <c r="O470" i="18" s="1"/>
  <c r="O481" i="18" a="1"/>
  <c r="O481" i="18" s="1"/>
  <c r="P15" i="18" a="1"/>
  <c r="P15" i="18" s="1"/>
  <c r="R15" i="18" s="1"/>
  <c r="U15" i="18" s="1"/>
  <c r="P27" i="18" a="1"/>
  <c r="P27" i="18" s="1"/>
  <c r="P39" i="18" a="1"/>
  <c r="P39" i="18" s="1"/>
  <c r="R39" i="18" s="1"/>
  <c r="U39" i="18" s="1"/>
  <c r="P64" i="18" a="1"/>
  <c r="P64" i="18" s="1"/>
  <c r="P75" i="18" a="1"/>
  <c r="P75" i="18" s="1"/>
  <c r="R75" i="18" s="1"/>
  <c r="U75" i="18" s="1"/>
  <c r="P88" i="18" a="1"/>
  <c r="P88" i="18" s="1"/>
  <c r="R88" i="18" s="1"/>
  <c r="U88" i="18" s="1"/>
  <c r="P100" i="18" a="1"/>
  <c r="P100" i="18" s="1"/>
  <c r="R100" i="18" s="1"/>
  <c r="U100" i="18" s="1"/>
  <c r="P112" i="18" a="1"/>
  <c r="P112" i="18" s="1"/>
  <c r="P124" i="18" a="1"/>
  <c r="P124" i="18" s="1"/>
  <c r="R124" i="18" s="1"/>
  <c r="U124" i="18" s="1"/>
  <c r="P160" i="18" a="1"/>
  <c r="P160" i="18" s="1"/>
  <c r="R160" i="18" s="1"/>
  <c r="U160" i="18" s="1"/>
  <c r="P172" i="18" a="1"/>
  <c r="P172" i="18" s="1"/>
  <c r="P208" i="18" a="1"/>
  <c r="P208" i="18" s="1"/>
  <c r="P220" i="18" a="1"/>
  <c r="P220" i="18" s="1"/>
  <c r="R220" i="18" s="1"/>
  <c r="U220" i="18" s="1"/>
  <c r="P232" i="18" a="1"/>
  <c r="P232" i="18" s="1"/>
  <c r="R232" i="18" s="1"/>
  <c r="U232" i="18" s="1"/>
  <c r="P244" i="18" a="1"/>
  <c r="P244" i="18" s="1"/>
  <c r="P268" i="18" a="1"/>
  <c r="P268" i="18" s="1"/>
  <c r="P280" i="18" a="1"/>
  <c r="P280" i="18" s="1"/>
  <c r="P303" i="18" a="1"/>
  <c r="P303" i="18" s="1"/>
  <c r="R303" i="18" s="1"/>
  <c r="U303" i="18" s="1"/>
  <c r="P313" i="18" a="1"/>
  <c r="P313" i="18" s="1"/>
  <c r="P325" i="18" a="1"/>
  <c r="P325" i="18" s="1"/>
  <c r="R325" i="18" s="1"/>
  <c r="U325" i="18" s="1"/>
  <c r="P336" i="18" a="1"/>
  <c r="P336" i="18" s="1"/>
  <c r="R336" i="18" s="1"/>
  <c r="U336" i="18" s="1"/>
  <c r="P348" i="18" a="1"/>
  <c r="P348" i="18" s="1"/>
  <c r="R348" i="18" s="1"/>
  <c r="U348" i="18" s="1"/>
  <c r="P360" i="18" a="1"/>
  <c r="P360" i="18" s="1"/>
  <c r="P372" i="18" a="1"/>
  <c r="P372" i="18" s="1"/>
  <c r="P396" i="18" a="1"/>
  <c r="P396" i="18" s="1"/>
  <c r="R396" i="18" s="1"/>
  <c r="U396" i="18" s="1"/>
  <c r="S22" i="18" a="1"/>
  <c r="S22" i="18" s="1"/>
  <c r="S10" i="18" a="1"/>
  <c r="S10" i="18" s="1"/>
  <c r="R366" i="18"/>
  <c r="U366" i="18" s="1"/>
  <c r="R356" i="18"/>
  <c r="U356" i="18" s="1"/>
  <c r="R293" i="18"/>
  <c r="U293" i="18" s="1"/>
  <c r="R168" i="18"/>
  <c r="U168" i="18" s="1"/>
  <c r="R123" i="18"/>
  <c r="U123" i="18" s="1"/>
  <c r="R92" i="18"/>
  <c r="U92" i="18" s="1"/>
  <c r="R80" i="18"/>
  <c r="U80" i="18" s="1"/>
  <c r="R69" i="18"/>
  <c r="U69" i="18" s="1"/>
  <c r="P486" i="18" a="1"/>
  <c r="P486" i="18" s="1"/>
  <c r="R486" i="18" s="1"/>
  <c r="U486" i="18" s="1"/>
  <c r="P475" i="18" a="1"/>
  <c r="P475" i="18" s="1"/>
  <c r="R475" i="18" s="1"/>
  <c r="U475" i="18" s="1"/>
  <c r="P450" i="18" a="1"/>
  <c r="P450" i="18" s="1"/>
  <c r="R450" i="18" s="1"/>
  <c r="U450" i="18" s="1"/>
  <c r="P435" i="18" a="1"/>
  <c r="P435" i="18" s="1"/>
  <c r="R435" i="18" s="1"/>
  <c r="U435" i="18" s="1"/>
  <c r="P420" i="18" a="1"/>
  <c r="P420" i="18" s="1"/>
  <c r="R420" i="18" s="1"/>
  <c r="U420" i="18" s="1"/>
  <c r="P404" i="18" a="1"/>
  <c r="P404" i="18" s="1"/>
  <c r="R404" i="18" s="1"/>
  <c r="U404" i="18" s="1"/>
  <c r="P386" i="18" a="1"/>
  <c r="P386" i="18" s="1"/>
  <c r="R386" i="18" s="1"/>
  <c r="U386" i="18" s="1"/>
  <c r="P363" i="18" a="1"/>
  <c r="P363" i="18" s="1"/>
  <c r="R363" i="18" s="1"/>
  <c r="U363" i="18" s="1"/>
  <c r="P332" i="18" a="1"/>
  <c r="P332" i="18" s="1"/>
  <c r="P219" i="18" a="1"/>
  <c r="P219" i="18" s="1"/>
  <c r="R219" i="18" s="1"/>
  <c r="U219" i="18" s="1"/>
  <c r="O10" i="18" a="1"/>
  <c r="O10" i="18" s="1"/>
  <c r="R430" i="18"/>
  <c r="U430" i="18" s="1"/>
  <c r="R365" i="18"/>
  <c r="U365" i="18" s="1"/>
  <c r="R344" i="18"/>
  <c r="U344" i="18" s="1"/>
  <c r="R324" i="18"/>
  <c r="U324" i="18" s="1"/>
  <c r="R314" i="18"/>
  <c r="U314" i="18" s="1"/>
  <c r="R292" i="18"/>
  <c r="U292" i="18" s="1"/>
  <c r="R261" i="18"/>
  <c r="U261" i="18" s="1"/>
  <c r="R227" i="18"/>
  <c r="U227" i="18" s="1"/>
  <c r="R214" i="18"/>
  <c r="U214" i="18" s="1"/>
  <c r="R190" i="18"/>
  <c r="U190" i="18" s="1"/>
  <c r="R134" i="18"/>
  <c r="U134" i="18" s="1"/>
  <c r="R91" i="18"/>
  <c r="U91" i="18" s="1"/>
  <c r="R27" i="18"/>
  <c r="U27" i="18" s="1"/>
  <c r="R16" i="18"/>
  <c r="U16" i="18" s="1"/>
  <c r="R5" i="18"/>
  <c r="U5" i="18" s="1"/>
  <c r="P485" i="18" a="1"/>
  <c r="P485" i="18" s="1"/>
  <c r="R485" i="18" s="1"/>
  <c r="U485" i="18" s="1"/>
  <c r="P474" i="18" a="1"/>
  <c r="P474" i="18" s="1"/>
  <c r="R474" i="18" s="1"/>
  <c r="U474" i="18" s="1"/>
  <c r="P463" i="18" a="1"/>
  <c r="P463" i="18" s="1"/>
  <c r="R463" i="18" s="1"/>
  <c r="U463" i="18" s="1"/>
  <c r="P449" i="18" a="1"/>
  <c r="P449" i="18" s="1"/>
  <c r="R449" i="18" s="1"/>
  <c r="U449" i="18" s="1"/>
  <c r="P434" i="18" a="1"/>
  <c r="P434" i="18" s="1"/>
  <c r="R434" i="18" s="1"/>
  <c r="U434" i="18" s="1"/>
  <c r="P419" i="18" a="1"/>
  <c r="P419" i="18" s="1"/>
  <c r="R419" i="18" s="1"/>
  <c r="U419" i="18" s="1"/>
  <c r="P403" i="18" a="1"/>
  <c r="P403" i="18" s="1"/>
  <c r="R403" i="18" s="1"/>
  <c r="U403" i="18" s="1"/>
  <c r="P385" i="18" a="1"/>
  <c r="P385" i="18" s="1"/>
  <c r="R385" i="18" s="1"/>
  <c r="U385" i="18" s="1"/>
  <c r="P361" i="18" a="1"/>
  <c r="P361" i="18" s="1"/>
  <c r="P331" i="18" a="1"/>
  <c r="P331" i="18" s="1"/>
  <c r="R331" i="18" s="1"/>
  <c r="U331" i="18" s="1"/>
  <c r="P290" i="18" a="1"/>
  <c r="P290" i="18" s="1"/>
  <c r="R290" i="18" s="1"/>
  <c r="U290" i="18" s="1"/>
  <c r="P218" i="18" a="1"/>
  <c r="P218" i="18" s="1"/>
  <c r="R218" i="18" s="1"/>
  <c r="U218" i="18" s="1"/>
  <c r="P73" i="18" a="1"/>
  <c r="P73" i="18" s="1"/>
  <c r="R73" i="18" s="1"/>
  <c r="U73" i="18" s="1"/>
  <c r="O179" i="18" a="1"/>
  <c r="O179" i="18" s="1"/>
  <c r="S61" i="18" a="1"/>
  <c r="S61" i="18" s="1"/>
  <c r="S47" i="18" a="1"/>
  <c r="S47" i="18" s="1"/>
  <c r="S35" i="18" a="1"/>
  <c r="S35" i="18" s="1"/>
  <c r="S21" i="18" a="1"/>
  <c r="S21" i="18" s="1"/>
  <c r="S9" i="18" a="1"/>
  <c r="S9" i="18" s="1"/>
  <c r="R313" i="18"/>
  <c r="U313" i="18" s="1"/>
  <c r="R281" i="18"/>
  <c r="U281" i="18" s="1"/>
  <c r="R203" i="18"/>
  <c r="U203" i="18" s="1"/>
  <c r="R112" i="18"/>
  <c r="U112" i="18" s="1"/>
  <c r="R36" i="18"/>
  <c r="U36" i="18" s="1"/>
  <c r="P473" i="18" a="1"/>
  <c r="P473" i="18" s="1"/>
  <c r="R473" i="18" s="1"/>
  <c r="U473" i="18" s="1"/>
  <c r="P462" i="18" a="1"/>
  <c r="P462" i="18" s="1"/>
  <c r="R462" i="18" s="1"/>
  <c r="U462" i="18" s="1"/>
  <c r="P447" i="18" a="1"/>
  <c r="P447" i="18" s="1"/>
  <c r="R447" i="18" s="1"/>
  <c r="U447" i="18" s="1"/>
  <c r="P433" i="18" a="1"/>
  <c r="P433" i="18" s="1"/>
  <c r="R433" i="18" s="1"/>
  <c r="U433" i="18" s="1"/>
  <c r="P418" i="18" a="1"/>
  <c r="P418" i="18" s="1"/>
  <c r="R418" i="18" s="1"/>
  <c r="U418" i="18" s="1"/>
  <c r="P402" i="18" a="1"/>
  <c r="P402" i="18" s="1"/>
  <c r="P383" i="18" a="1"/>
  <c r="P383" i="18" s="1"/>
  <c r="P286" i="18" a="1"/>
  <c r="P286" i="18" s="1"/>
  <c r="P206" i="18" a="1"/>
  <c r="P206" i="18" s="1"/>
  <c r="R206" i="18" s="1"/>
  <c r="U206" i="18" s="1"/>
  <c r="P61" i="18" a="1"/>
  <c r="P61" i="18" s="1"/>
  <c r="R61" i="18" s="1"/>
  <c r="U61" i="18" s="1"/>
  <c r="O168" i="18" a="1"/>
  <c r="O168" i="18" s="1"/>
  <c r="S8" i="18" a="1"/>
  <c r="S8" i="18" s="1"/>
  <c r="R406" i="18"/>
  <c r="U406" i="18" s="1"/>
  <c r="R333" i="18"/>
  <c r="U333" i="18" s="1"/>
  <c r="R323" i="18"/>
  <c r="U323" i="18" s="1"/>
  <c r="R312" i="18"/>
  <c r="U312" i="18" s="1"/>
  <c r="R280" i="18"/>
  <c r="U280" i="18" s="1"/>
  <c r="R249" i="18"/>
  <c r="U249" i="18" s="1"/>
  <c r="R237" i="18"/>
  <c r="U237" i="18" s="1"/>
  <c r="R202" i="18"/>
  <c r="U202" i="18" s="1"/>
  <c r="R189" i="18"/>
  <c r="U189" i="18" s="1"/>
  <c r="R178" i="18"/>
  <c r="U178" i="18" s="1"/>
  <c r="R166" i="18"/>
  <c r="U166" i="18" s="1"/>
  <c r="R144" i="18"/>
  <c r="U144" i="18" s="1"/>
  <c r="R133" i="18"/>
  <c r="U133" i="18" s="1"/>
  <c r="R121" i="18"/>
  <c r="U121" i="18" s="1"/>
  <c r="R111" i="18"/>
  <c r="U111" i="18" s="1"/>
  <c r="R90" i="18"/>
  <c r="U90" i="18" s="1"/>
  <c r="R78" i="18"/>
  <c r="U78" i="18" s="1"/>
  <c r="R67" i="18"/>
  <c r="U67" i="18" s="1"/>
  <c r="R45" i="18"/>
  <c r="U45" i="18" s="1"/>
  <c r="P484" i="18" a="1"/>
  <c r="P484" i="18" s="1"/>
  <c r="R484" i="18" s="1"/>
  <c r="U484" i="18" s="1"/>
  <c r="P472" i="18" a="1"/>
  <c r="P472" i="18" s="1"/>
  <c r="R472" i="18" s="1"/>
  <c r="U472" i="18" s="1"/>
  <c r="P461" i="18" a="1"/>
  <c r="P461" i="18" s="1"/>
  <c r="R461" i="18" s="1"/>
  <c r="U461" i="18" s="1"/>
  <c r="P432" i="18" a="1"/>
  <c r="P432" i="18" s="1"/>
  <c r="R432" i="18" s="1"/>
  <c r="U432" i="18" s="1"/>
  <c r="P401" i="18" a="1"/>
  <c r="P401" i="18" s="1"/>
  <c r="R401" i="18" s="1"/>
  <c r="U401" i="18" s="1"/>
  <c r="P382" i="18" a="1"/>
  <c r="P382" i="18" s="1"/>
  <c r="R382" i="18" s="1"/>
  <c r="U382" i="18" s="1"/>
  <c r="P358" i="18" a="1"/>
  <c r="P358" i="18" s="1"/>
  <c r="R358" i="18" s="1"/>
  <c r="U358" i="18" s="1"/>
  <c r="P278" i="18" a="1"/>
  <c r="P278" i="18" s="1"/>
  <c r="R278" i="18" s="1"/>
  <c r="U278" i="18" s="1"/>
  <c r="P50" i="18" a="1"/>
  <c r="P50" i="18" s="1"/>
  <c r="R50" i="18" s="1"/>
  <c r="U50" i="18" s="1"/>
  <c r="O348" i="18" a="1"/>
  <c r="O348" i="18" s="1"/>
  <c r="O154" i="18" a="1"/>
  <c r="O154" i="18" s="1"/>
  <c r="S111" i="18" a="1"/>
  <c r="S111" i="18" s="1"/>
  <c r="S84" i="18" a="1"/>
  <c r="S84" i="18" s="1"/>
  <c r="S71" i="18" a="1"/>
  <c r="S71" i="18" s="1"/>
  <c r="S59" i="18" a="1"/>
  <c r="S59" i="18" s="1"/>
  <c r="S45" i="18" a="1"/>
  <c r="S45" i="18" s="1"/>
  <c r="S33" i="18" a="1"/>
  <c r="S33" i="18" s="1"/>
  <c r="S19" i="18" a="1"/>
  <c r="S19" i="18" s="1"/>
  <c r="R301" i="18"/>
  <c r="U301" i="18" s="1"/>
  <c r="R269" i="18"/>
  <c r="U269" i="18" s="1"/>
  <c r="R248" i="18"/>
  <c r="U248" i="18" s="1"/>
  <c r="R236" i="18"/>
  <c r="U236" i="18" s="1"/>
  <c r="R225" i="18"/>
  <c r="U225" i="18" s="1"/>
  <c r="R155" i="18"/>
  <c r="U155" i="18" s="1"/>
  <c r="R89" i="18"/>
  <c r="U89" i="18" s="1"/>
  <c r="R56" i="18"/>
  <c r="U56" i="18" s="1"/>
  <c r="R14" i="18"/>
  <c r="U14" i="18" s="1"/>
  <c r="P446" i="18" a="1"/>
  <c r="P446" i="18" s="1"/>
  <c r="R446" i="18" s="1"/>
  <c r="U446" i="18" s="1"/>
  <c r="P416" i="18" a="1"/>
  <c r="P416" i="18" s="1"/>
  <c r="R416" i="18" s="1"/>
  <c r="U416" i="18" s="1"/>
  <c r="P399" i="18" a="1"/>
  <c r="P399" i="18" s="1"/>
  <c r="R399" i="18" s="1"/>
  <c r="U399" i="18" s="1"/>
  <c r="P381" i="18" a="1"/>
  <c r="P381" i="18" s="1"/>
  <c r="P355" i="18" a="1"/>
  <c r="P355" i="18" s="1"/>
  <c r="R355" i="18" s="1"/>
  <c r="U355" i="18" s="1"/>
  <c r="P323" i="18" a="1"/>
  <c r="P323" i="18" s="1"/>
  <c r="O140" i="18" a="1"/>
  <c r="O140" i="18" s="1"/>
  <c r="R405" i="18"/>
  <c r="U405" i="18" s="1"/>
  <c r="R384" i="18"/>
  <c r="U384" i="18" s="1"/>
  <c r="R374" i="18"/>
  <c r="U374" i="18" s="1"/>
  <c r="R332" i="18"/>
  <c r="U332" i="18" s="1"/>
  <c r="R322" i="18"/>
  <c r="U322" i="18" s="1"/>
  <c r="R268" i="18"/>
  <c r="U268" i="18" s="1"/>
  <c r="R224" i="18"/>
  <c r="U224" i="18" s="1"/>
  <c r="R212" i="18"/>
  <c r="U212" i="18" s="1"/>
  <c r="R110" i="18"/>
  <c r="U110" i="18" s="1"/>
  <c r="R99" i="18"/>
  <c r="U99" i="18" s="1"/>
  <c r="R77" i="18"/>
  <c r="U77" i="18" s="1"/>
  <c r="R55" i="18"/>
  <c r="U55" i="18" s="1"/>
  <c r="R44" i="18"/>
  <c r="U44" i="18" s="1"/>
  <c r="R24" i="18"/>
  <c r="U24" i="18" s="1"/>
  <c r="P483" i="18" a="1"/>
  <c r="P483" i="18" s="1"/>
  <c r="R483" i="18" s="1"/>
  <c r="U483" i="18" s="1"/>
  <c r="P471" i="18" a="1"/>
  <c r="P471" i="18" s="1"/>
  <c r="R471" i="18" s="1"/>
  <c r="U471" i="18" s="1"/>
  <c r="P460" i="18" a="1"/>
  <c r="P460" i="18" s="1"/>
  <c r="R460" i="18" s="1"/>
  <c r="U460" i="18" s="1"/>
  <c r="P445" i="18" a="1"/>
  <c r="P445" i="18" s="1"/>
  <c r="P431" i="18" a="1"/>
  <c r="P431" i="18" s="1"/>
  <c r="R431" i="18" s="1"/>
  <c r="U431" i="18" s="1"/>
  <c r="P398" i="18" a="1"/>
  <c r="P398" i="18" s="1"/>
  <c r="R398" i="18" s="1"/>
  <c r="U398" i="18" s="1"/>
  <c r="P378" i="18" a="1"/>
  <c r="P378" i="18" s="1"/>
  <c r="R378" i="18" s="1"/>
  <c r="U378" i="18" s="1"/>
  <c r="P354" i="18" a="1"/>
  <c r="P354" i="18" s="1"/>
  <c r="R354" i="18" s="1"/>
  <c r="U354" i="18" s="1"/>
  <c r="P320" i="18" a="1"/>
  <c r="P320" i="18" s="1"/>
  <c r="P195" i="18" a="1"/>
  <c r="P195" i="18" s="1"/>
  <c r="R195" i="18" s="1"/>
  <c r="U195" i="18" s="1"/>
  <c r="P25" i="18" a="1"/>
  <c r="P25" i="18" s="1"/>
  <c r="R25" i="18" s="1"/>
  <c r="U25" i="18" s="1"/>
  <c r="O323" i="18" a="1"/>
  <c r="O323" i="18" s="1"/>
  <c r="O128" i="18" a="1"/>
  <c r="O128" i="18" s="1"/>
  <c r="S70" i="18" a="1"/>
  <c r="S70" i="18" s="1"/>
  <c r="S31" i="18" a="1"/>
  <c r="S31" i="18" s="1"/>
  <c r="R438" i="18"/>
  <c r="U438" i="18" s="1"/>
  <c r="R352" i="18"/>
  <c r="U352" i="18" s="1"/>
  <c r="R310" i="18"/>
  <c r="U310" i="18" s="1"/>
  <c r="R289" i="18"/>
  <c r="U289" i="18" s="1"/>
  <c r="R258" i="18"/>
  <c r="U258" i="18" s="1"/>
  <c r="R223" i="18"/>
  <c r="U223" i="18" s="1"/>
  <c r="R211" i="18"/>
  <c r="U211" i="18" s="1"/>
  <c r="R187" i="18"/>
  <c r="U187" i="18" s="1"/>
  <c r="R176" i="18"/>
  <c r="U176" i="18" s="1"/>
  <c r="R142" i="18"/>
  <c r="U142" i="18" s="1"/>
  <c r="P482" i="18" a="1"/>
  <c r="P482" i="18" s="1"/>
  <c r="R482" i="18" s="1"/>
  <c r="U482" i="18" s="1"/>
  <c r="P470" i="18" a="1"/>
  <c r="P470" i="18" s="1"/>
  <c r="R470" i="18" s="1"/>
  <c r="U470" i="18" s="1"/>
  <c r="P459" i="18" a="1"/>
  <c r="P459" i="18" s="1"/>
  <c r="R459" i="18" s="1"/>
  <c r="U459" i="18" s="1"/>
  <c r="P444" i="18" a="1"/>
  <c r="P444" i="18" s="1"/>
  <c r="R444" i="18" s="1"/>
  <c r="U444" i="18" s="1"/>
  <c r="P430" i="18" a="1"/>
  <c r="P430" i="18" s="1"/>
  <c r="P414" i="18" a="1"/>
  <c r="P414" i="18" s="1"/>
  <c r="R414" i="18" s="1"/>
  <c r="U414" i="18" s="1"/>
  <c r="P353" i="18" a="1"/>
  <c r="P353" i="18" s="1"/>
  <c r="R353" i="18" s="1"/>
  <c r="U353" i="18" s="1"/>
  <c r="P319" i="18" a="1"/>
  <c r="P319" i="18" s="1"/>
  <c r="R319" i="18" s="1"/>
  <c r="U319" i="18" s="1"/>
  <c r="P266" i="18" a="1"/>
  <c r="P266" i="18" s="1"/>
  <c r="R266" i="18" s="1"/>
  <c r="U266" i="18" s="1"/>
  <c r="P13" i="18" a="1"/>
  <c r="P13" i="18" s="1"/>
  <c r="O311" i="18" a="1"/>
  <c r="O311" i="18" s="1"/>
  <c r="O114" i="18" a="1"/>
  <c r="O114" i="18" s="1"/>
  <c r="S6" i="18" a="1"/>
  <c r="S6" i="18" s="1"/>
  <c r="R383" i="18"/>
  <c r="U383" i="18" s="1"/>
  <c r="R320" i="18"/>
  <c r="U320" i="18" s="1"/>
  <c r="R309" i="18"/>
  <c r="U309" i="18" s="1"/>
  <c r="R288" i="18"/>
  <c r="U288" i="18" s="1"/>
  <c r="R257" i="18"/>
  <c r="U257" i="18" s="1"/>
  <c r="R175" i="18"/>
  <c r="U175" i="18" s="1"/>
  <c r="R153" i="18"/>
  <c r="U153" i="18" s="1"/>
  <c r="R141" i="18"/>
  <c r="U141" i="18" s="1"/>
  <c r="R86" i="18"/>
  <c r="U86" i="18" s="1"/>
  <c r="R54" i="18"/>
  <c r="U54" i="18" s="1"/>
  <c r="R22" i="18"/>
  <c r="U22" i="18" s="1"/>
  <c r="P481" i="18" a="1"/>
  <c r="P481" i="18" s="1"/>
  <c r="R481" i="18" s="1"/>
  <c r="U481" i="18" s="1"/>
  <c r="P458" i="18" a="1"/>
  <c r="P458" i="18" s="1"/>
  <c r="R458" i="18" s="1"/>
  <c r="U458" i="18" s="1"/>
  <c r="P429" i="18" a="1"/>
  <c r="P429" i="18" s="1"/>
  <c r="R429" i="18" s="1"/>
  <c r="U429" i="18" s="1"/>
  <c r="P413" i="18" a="1"/>
  <c r="P413" i="18" s="1"/>
  <c r="R413" i="18" s="1"/>
  <c r="U413" i="18" s="1"/>
  <c r="P397" i="18" a="1"/>
  <c r="P397" i="18" s="1"/>
  <c r="R397" i="18" s="1"/>
  <c r="U397" i="18" s="1"/>
  <c r="P377" i="18" a="1"/>
  <c r="P377" i="18" s="1"/>
  <c r="R377" i="18" s="1"/>
  <c r="U377" i="18" s="1"/>
  <c r="P318" i="18" a="1"/>
  <c r="P318" i="18" s="1"/>
  <c r="P265" i="18" a="1"/>
  <c r="P265" i="18" s="1"/>
  <c r="R265" i="18" s="1"/>
  <c r="U265" i="18" s="1"/>
  <c r="P182" i="18" a="1"/>
  <c r="P182" i="18" s="1"/>
  <c r="R182" i="18" s="1"/>
  <c r="U182" i="18" s="1"/>
  <c r="O491" i="18" a="1"/>
  <c r="O491" i="18" s="1"/>
  <c r="O300" i="18" a="1"/>
  <c r="O300" i="18" s="1"/>
  <c r="O100" i="18" a="1"/>
  <c r="O100" i="18" s="1"/>
  <c r="R372" i="18"/>
  <c r="U372" i="18" s="1"/>
  <c r="R361" i="18"/>
  <c r="U361" i="18" s="1"/>
  <c r="R130" i="18"/>
  <c r="U130" i="18" s="1"/>
  <c r="R108" i="18"/>
  <c r="U108" i="18" s="1"/>
  <c r="R64" i="18"/>
  <c r="U64" i="18" s="1"/>
  <c r="P491" i="18" a="1"/>
  <c r="P491" i="18" s="1"/>
  <c r="R491" i="18" s="1"/>
  <c r="U491" i="18" s="1"/>
  <c r="P469" i="18" a="1"/>
  <c r="P469" i="18" s="1"/>
  <c r="R469" i="18" s="1"/>
  <c r="U469" i="18" s="1"/>
  <c r="P457" i="18" a="1"/>
  <c r="P457" i="18" s="1"/>
  <c r="P443" i="18" a="1"/>
  <c r="P443" i="18" s="1"/>
  <c r="R443" i="18" s="1"/>
  <c r="U443" i="18" s="1"/>
  <c r="P428" i="18" a="1"/>
  <c r="P428" i="18" s="1"/>
  <c r="R428" i="18" s="1"/>
  <c r="U428" i="18" s="1"/>
  <c r="P411" i="18" a="1"/>
  <c r="P411" i="18" s="1"/>
  <c r="R411" i="18" s="1"/>
  <c r="U411" i="18" s="1"/>
  <c r="P375" i="18" a="1"/>
  <c r="P375" i="18" s="1"/>
  <c r="R375" i="18" s="1"/>
  <c r="U375" i="18" s="1"/>
  <c r="P346" i="18" a="1"/>
  <c r="P346" i="18" s="1"/>
  <c r="R346" i="18" s="1"/>
  <c r="U346" i="18" s="1"/>
  <c r="P262" i="18" a="1"/>
  <c r="P262" i="18" s="1"/>
  <c r="R262" i="18" s="1"/>
  <c r="U262" i="18" s="1"/>
  <c r="P171" i="18" a="1"/>
  <c r="P171" i="18" s="1"/>
  <c r="R171" i="18" s="1"/>
  <c r="U171" i="18" s="1"/>
  <c r="O479" i="18" a="1"/>
  <c r="O479" i="18" s="1"/>
  <c r="O287" i="18" a="1"/>
  <c r="O287" i="18" s="1"/>
  <c r="O87" i="18" a="1"/>
  <c r="O87" i="18" s="1"/>
  <c r="R477" i="18"/>
  <c r="U477" i="18" s="1"/>
  <c r="R392" i="18"/>
  <c r="U392" i="18" s="1"/>
  <c r="R360" i="18"/>
  <c r="U360" i="18" s="1"/>
  <c r="R307" i="18"/>
  <c r="U307" i="18" s="1"/>
  <c r="R245" i="18"/>
  <c r="U245" i="18" s="1"/>
  <c r="R221" i="18"/>
  <c r="U221" i="18" s="1"/>
  <c r="R209" i="18"/>
  <c r="U209" i="18" s="1"/>
  <c r="R197" i="18"/>
  <c r="U197" i="18" s="1"/>
  <c r="R185" i="18"/>
  <c r="U185" i="18" s="1"/>
  <c r="R173" i="18"/>
  <c r="U173" i="18" s="1"/>
  <c r="R151" i="18"/>
  <c r="U151" i="18" s="1"/>
  <c r="R129" i="18"/>
  <c r="U129" i="18" s="1"/>
  <c r="R107" i="18"/>
  <c r="U107" i="18" s="1"/>
  <c r="R41" i="18"/>
  <c r="U41" i="18" s="1"/>
  <c r="R32" i="18"/>
  <c r="U32" i="18" s="1"/>
  <c r="P490" i="18" a="1"/>
  <c r="P490" i="18" s="1"/>
  <c r="R490" i="18" s="1"/>
  <c r="U490" i="18" s="1"/>
  <c r="P480" i="18" a="1"/>
  <c r="P480" i="18" s="1"/>
  <c r="R480" i="18" s="1"/>
  <c r="U480" i="18" s="1"/>
  <c r="P468" i="18" a="1"/>
  <c r="P468" i="18" s="1"/>
  <c r="R468" i="18" s="1"/>
  <c r="U468" i="18" s="1"/>
  <c r="P456" i="18" a="1"/>
  <c r="P456" i="18" s="1"/>
  <c r="P442" i="18" a="1"/>
  <c r="P442" i="18" s="1"/>
  <c r="R442" i="18" s="1"/>
  <c r="U442" i="18" s="1"/>
  <c r="P427" i="18" a="1"/>
  <c r="P427" i="18" s="1"/>
  <c r="R427" i="18" s="1"/>
  <c r="U427" i="18" s="1"/>
  <c r="P410" i="18" a="1"/>
  <c r="P410" i="18" s="1"/>
  <c r="R410" i="18" s="1"/>
  <c r="U410" i="18" s="1"/>
  <c r="P395" i="18" a="1"/>
  <c r="P395" i="18" s="1"/>
  <c r="R395" i="18" s="1"/>
  <c r="U395" i="18" s="1"/>
  <c r="P345" i="18" a="1"/>
  <c r="P345" i="18" s="1"/>
  <c r="P311" i="18" a="1"/>
  <c r="P311" i="18" s="1"/>
  <c r="R311" i="18" s="1"/>
  <c r="U311" i="18" s="1"/>
  <c r="P255" i="18" a="1"/>
  <c r="P255" i="18" s="1"/>
  <c r="R255" i="18" s="1"/>
  <c r="U255" i="18" s="1"/>
  <c r="P170" i="18" a="1"/>
  <c r="P170" i="18" s="1"/>
  <c r="R170" i="18" s="1"/>
  <c r="U170" i="18" s="1"/>
  <c r="O467" i="18" a="1"/>
  <c r="O467" i="18" s="1"/>
  <c r="O275" i="18" a="1"/>
  <c r="O275" i="18" s="1"/>
  <c r="O74" i="18" a="1"/>
  <c r="O74" i="18" s="1"/>
  <c r="R456" i="18"/>
  <c r="U456" i="18" s="1"/>
  <c r="R424" i="18"/>
  <c r="U424" i="18" s="1"/>
  <c r="R412" i="18"/>
  <c r="U412" i="18" s="1"/>
  <c r="R381" i="18"/>
  <c r="U381" i="18" s="1"/>
  <c r="R329" i="18"/>
  <c r="U329" i="18" s="1"/>
  <c r="R318" i="18"/>
  <c r="U318" i="18" s="1"/>
  <c r="R297" i="18"/>
  <c r="U297" i="18" s="1"/>
  <c r="R286" i="18"/>
  <c r="U286" i="18" s="1"/>
  <c r="R276" i="18"/>
  <c r="U276" i="18" s="1"/>
  <c r="R244" i="18"/>
  <c r="U244" i="18" s="1"/>
  <c r="R150" i="18"/>
  <c r="U150" i="18" s="1"/>
  <c r="R128" i="18"/>
  <c r="U128" i="18" s="1"/>
  <c r="R96" i="18"/>
  <c r="U96" i="18" s="1"/>
  <c r="R84" i="18"/>
  <c r="U84" i="18" s="1"/>
  <c r="R20" i="18"/>
  <c r="U20" i="18" s="1"/>
  <c r="R10" i="18"/>
  <c r="U10" i="18" s="1"/>
  <c r="P489" i="18" a="1"/>
  <c r="P489" i="18" s="1"/>
  <c r="R489" i="18" s="1"/>
  <c r="U489" i="18" s="1"/>
  <c r="P479" i="18" a="1"/>
  <c r="P479" i="18" s="1"/>
  <c r="R479" i="18" s="1"/>
  <c r="U479" i="18" s="1"/>
  <c r="P455" i="18" a="1"/>
  <c r="P455" i="18" s="1"/>
  <c r="R455" i="18" s="1"/>
  <c r="U455" i="18" s="1"/>
  <c r="P441" i="18" a="1"/>
  <c r="P441" i="18" s="1"/>
  <c r="R441" i="18" s="1"/>
  <c r="U441" i="18" s="1"/>
  <c r="P426" i="18" a="1"/>
  <c r="P426" i="18" s="1"/>
  <c r="R426" i="18" s="1"/>
  <c r="U426" i="18" s="1"/>
  <c r="P394" i="18" a="1"/>
  <c r="P394" i="18" s="1"/>
  <c r="R394" i="18" s="1"/>
  <c r="U394" i="18" s="1"/>
  <c r="P371" i="18" a="1"/>
  <c r="P371" i="18" s="1"/>
  <c r="R371" i="18" s="1"/>
  <c r="U371" i="18" s="1"/>
  <c r="P342" i="18" a="1"/>
  <c r="P342" i="18" s="1"/>
  <c r="R342" i="18" s="1"/>
  <c r="U342" i="18" s="1"/>
  <c r="P254" i="18" a="1"/>
  <c r="P254" i="18" s="1"/>
  <c r="R254" i="18" s="1"/>
  <c r="U254" i="18" s="1"/>
  <c r="P158" i="18" a="1"/>
  <c r="P158" i="18" s="1"/>
  <c r="R158" i="18" s="1"/>
  <c r="U158" i="18" s="1"/>
  <c r="O455" i="18" a="1"/>
  <c r="O455" i="18" s="1"/>
  <c r="O263" i="18" a="1"/>
  <c r="O263" i="18" s="1"/>
  <c r="O60" i="18" a="1"/>
  <c r="O60" i="18" s="1"/>
  <c r="S14" i="18" a="1"/>
  <c r="S14" i="18" s="1"/>
  <c r="R488" i="18"/>
  <c r="U488" i="18" s="1"/>
  <c r="R476" i="18"/>
  <c r="U476" i="18" s="1"/>
  <c r="R445" i="18"/>
  <c r="U445" i="18" s="1"/>
  <c r="R402" i="18"/>
  <c r="U402" i="18" s="1"/>
  <c r="R390" i="18"/>
  <c r="U390" i="18" s="1"/>
  <c r="R349" i="18"/>
  <c r="U349" i="18" s="1"/>
  <c r="R296" i="18"/>
  <c r="U296" i="18" s="1"/>
  <c r="R231" i="18"/>
  <c r="U231" i="18" s="1"/>
  <c r="R208" i="18"/>
  <c r="U208" i="18" s="1"/>
  <c r="R172" i="18"/>
  <c r="U172" i="18" s="1"/>
  <c r="R138" i="18"/>
  <c r="U138" i="18" s="1"/>
  <c r="R127" i="18"/>
  <c r="U127" i="18" s="1"/>
  <c r="R106" i="18"/>
  <c r="U106" i="18" s="1"/>
  <c r="R40" i="18"/>
  <c r="U40" i="18" s="1"/>
  <c r="P467" i="18" a="1"/>
  <c r="P467" i="18" s="1"/>
  <c r="R467" i="18" s="1"/>
  <c r="U467" i="18" s="1"/>
  <c r="P440" i="18" a="1"/>
  <c r="P440" i="18" s="1"/>
  <c r="R440" i="18" s="1"/>
  <c r="U440" i="18" s="1"/>
  <c r="P425" i="18" a="1"/>
  <c r="P425" i="18" s="1"/>
  <c r="R425" i="18" s="1"/>
  <c r="U425" i="18" s="1"/>
  <c r="P409" i="18" a="1"/>
  <c r="P409" i="18" s="1"/>
  <c r="R409" i="18" s="1"/>
  <c r="U409" i="18" s="1"/>
  <c r="P370" i="18" a="1"/>
  <c r="P370" i="18" s="1"/>
  <c r="R370" i="18" s="1"/>
  <c r="U370" i="18" s="1"/>
  <c r="P308" i="18" a="1"/>
  <c r="P308" i="18" s="1"/>
  <c r="R308" i="18" s="1"/>
  <c r="U308" i="18" s="1"/>
  <c r="P250" i="18" a="1"/>
  <c r="P250" i="18" s="1"/>
  <c r="R250" i="18" s="1"/>
  <c r="U250" i="18" s="1"/>
  <c r="P146" i="18" a="1"/>
  <c r="P146" i="18" s="1"/>
  <c r="R146" i="18" s="1"/>
  <c r="U146" i="18" s="1"/>
  <c r="O443" i="18" a="1"/>
  <c r="O443" i="18" s="1"/>
  <c r="O251" i="18" a="1"/>
  <c r="O251" i="18" s="1"/>
  <c r="O47" i="18" a="1"/>
  <c r="O47" i="18" s="1"/>
  <c r="O13" i="18" a="1"/>
  <c r="O13" i="18" s="1"/>
  <c r="O12" i="18" a="1"/>
  <c r="O12" i="18" s="1"/>
  <c r="O25" i="18" a="1"/>
  <c r="O25" i="18" s="1"/>
  <c r="O11" i="18" a="1"/>
  <c r="O11" i="18" s="1"/>
  <c r="R345" i="18"/>
  <c r="U345" i="18" s="1"/>
  <c r="R13" i="18"/>
  <c r="U13" i="18" s="1"/>
  <c r="R457" i="18"/>
  <c r="U457" i="18" s="1"/>
  <c r="R393" i="18"/>
  <c r="U393" i="18" s="1"/>
  <c r="Q139" i="17"/>
  <c r="W139" i="17" s="1"/>
  <c r="Y126" i="17"/>
  <c r="Y74" i="17"/>
  <c r="Y3" i="17"/>
  <c r="Q51" i="17"/>
  <c r="W51" i="17" s="1"/>
  <c r="U159" i="17" a="1"/>
  <c r="U159" i="17" s="1"/>
  <c r="U54" i="17" a="1"/>
  <c r="U54" i="17" s="1"/>
  <c r="U51" i="17" a="1"/>
  <c r="U51" i="17" s="1"/>
  <c r="U155" i="17" a="1"/>
  <c r="U155" i="17" s="1"/>
  <c r="U93" i="17" a="1"/>
  <c r="U93" i="17" s="1"/>
  <c r="U142" i="17" a="1"/>
  <c r="U142" i="17" s="1"/>
  <c r="U2" i="17" a="1"/>
  <c r="U2" i="17" s="1"/>
  <c r="T68" i="17" a="1"/>
  <c r="T68" i="17" s="1"/>
  <c r="T80" i="17" a="1"/>
  <c r="T80" i="17" s="1"/>
  <c r="T129" i="17" a="1"/>
  <c r="T129" i="17" s="1"/>
  <c r="T108" i="17" a="1"/>
  <c r="T108" i="17" s="1"/>
  <c r="T137" i="17" a="1"/>
  <c r="T137" i="17" s="1"/>
  <c r="T166" i="17" a="1"/>
  <c r="T166" i="17" s="1"/>
  <c r="T135" i="17" a="1"/>
  <c r="T135" i="17" s="1"/>
  <c r="T124" i="17" a="1"/>
  <c r="T124" i="17" s="1"/>
  <c r="T93" i="17" a="1"/>
  <c r="T93" i="17" s="1"/>
  <c r="S151" i="17" a="1"/>
  <c r="S151" i="17" s="1"/>
  <c r="S62" i="17" a="1"/>
  <c r="S62" i="17" s="1"/>
  <c r="S107" i="17" a="1"/>
  <c r="S107" i="17" s="1"/>
  <c r="S85" i="17" a="1"/>
  <c r="S85" i="17" s="1"/>
  <c r="S20" i="17" a="1"/>
  <c r="S20" i="17" s="1"/>
  <c r="R69" i="17" a="1"/>
  <c r="R69" i="17" s="1"/>
  <c r="R56" i="17" a="1"/>
  <c r="R56" i="17" s="1"/>
  <c r="R43" i="17" a="1"/>
  <c r="R43" i="17" s="1"/>
  <c r="R124" i="17" a="1"/>
  <c r="R124" i="17" s="1"/>
  <c r="O107" i="17" a="1"/>
  <c r="O107" i="17" s="1"/>
  <c r="U28" i="17" a="1"/>
  <c r="U28" i="17" s="1"/>
  <c r="U123" i="17" a="1"/>
  <c r="U123" i="17" s="1"/>
  <c r="U132" i="17" a="1"/>
  <c r="U132" i="17" s="1"/>
  <c r="T171" i="17" a="1"/>
  <c r="T171" i="17" s="1"/>
  <c r="T67" i="17" a="1"/>
  <c r="T67" i="17" s="1"/>
  <c r="T65" i="17" a="1"/>
  <c r="T65" i="17" s="1"/>
  <c r="T98" i="17" a="1"/>
  <c r="T98" i="17" s="1"/>
  <c r="T117" i="17" a="1"/>
  <c r="T117" i="17" s="1"/>
  <c r="T146" i="17" a="1"/>
  <c r="T146" i="17" s="1"/>
  <c r="T115" i="17" a="1"/>
  <c r="T115" i="17" s="1"/>
  <c r="T84" i="17" a="1"/>
  <c r="T84" i="17" s="1"/>
  <c r="T123" i="17" a="1"/>
  <c r="T123" i="17" s="1"/>
  <c r="S141" i="17" a="1"/>
  <c r="S141" i="17" s="1"/>
  <c r="S169" i="17" a="1"/>
  <c r="S169" i="17" s="1"/>
  <c r="S87" i="17" a="1"/>
  <c r="S87" i="17" s="1"/>
  <c r="S75" i="17" a="1"/>
  <c r="S75" i="17" s="1"/>
  <c r="S18" i="17" a="1"/>
  <c r="S18" i="17" s="1"/>
  <c r="R66" i="17" a="1"/>
  <c r="R66" i="17" s="1"/>
  <c r="R55" i="17" a="1"/>
  <c r="R55" i="17" s="1"/>
  <c r="R42" i="17" a="1"/>
  <c r="R42" i="17" s="1"/>
  <c r="R74" i="17" a="1"/>
  <c r="R74" i="17" s="1"/>
  <c r="O64" i="17" a="1"/>
  <c r="O64" i="17" s="1"/>
  <c r="Q64" i="17" s="1"/>
  <c r="W64" i="17" s="1"/>
  <c r="N114" i="17" a="1"/>
  <c r="N114" i="17" s="1"/>
  <c r="Y9" i="17"/>
  <c r="Q129" i="17"/>
  <c r="W129" i="17" s="1"/>
  <c r="Y155" i="17"/>
  <c r="U87" i="17" a="1"/>
  <c r="U87" i="17" s="1"/>
  <c r="U96" i="17" a="1"/>
  <c r="U96" i="17" s="1"/>
  <c r="U135" i="17" a="1"/>
  <c r="U135" i="17" s="1"/>
  <c r="U30" i="17" a="1"/>
  <c r="U30" i="17" s="1"/>
  <c r="U112" i="17" a="1"/>
  <c r="U112" i="17" s="1"/>
  <c r="T161" i="17" a="1"/>
  <c r="T161" i="17" s="1"/>
  <c r="T66" i="17" a="1"/>
  <c r="T66" i="17" s="1"/>
  <c r="T89" i="17" a="1"/>
  <c r="T89" i="17" s="1"/>
  <c r="T128" i="17" a="1"/>
  <c r="T128" i="17" s="1"/>
  <c r="T107" i="17" a="1"/>
  <c r="T107" i="17" s="1"/>
  <c r="T136" i="17" a="1"/>
  <c r="T136" i="17" s="1"/>
  <c r="T105" i="17" a="1"/>
  <c r="T105" i="17" s="1"/>
  <c r="T29" i="17" a="1"/>
  <c r="T29" i="17" s="1"/>
  <c r="T83" i="17" a="1"/>
  <c r="T83" i="17" s="1"/>
  <c r="S111" i="17" a="1"/>
  <c r="S111" i="17" s="1"/>
  <c r="S109" i="17" a="1"/>
  <c r="S109" i="17" s="1"/>
  <c r="S47" i="17" a="1"/>
  <c r="S47" i="17" s="1"/>
  <c r="S142" i="17" a="1"/>
  <c r="S142" i="17" s="1"/>
  <c r="R150" i="17" a="1"/>
  <c r="R150" i="17" s="1"/>
  <c r="R168" i="17" a="1"/>
  <c r="R168" i="17" s="1"/>
  <c r="R28" i="17" a="1"/>
  <c r="R28" i="17" s="1"/>
  <c r="O43" i="17" a="1"/>
  <c r="O43" i="17" s="1"/>
  <c r="R25" i="17" a="1"/>
  <c r="R25" i="17" s="1"/>
  <c r="O169" i="17" a="1"/>
  <c r="O169" i="17" s="1"/>
  <c r="Q169" i="17" s="1"/>
  <c r="W169" i="17" s="1"/>
  <c r="O76" i="17" a="1"/>
  <c r="O76" i="17" s="1"/>
  <c r="Q76" i="17" s="1"/>
  <c r="W76" i="17" s="1"/>
  <c r="N58" i="17" a="1"/>
  <c r="N58" i="17" s="1"/>
  <c r="N32" i="17" a="1"/>
  <c r="N32" i="17" s="1"/>
  <c r="N86" i="17" a="1"/>
  <c r="N86" i="17" s="1"/>
  <c r="N125" i="17" a="1"/>
  <c r="N125" i="17" s="1"/>
  <c r="Q62" i="17"/>
  <c r="W62" i="17" s="1"/>
  <c r="S45" i="17" a="1"/>
  <c r="S45" i="17" s="1"/>
  <c r="S33" i="17" a="1"/>
  <c r="S33" i="17" s="1"/>
  <c r="S102" i="17" a="1"/>
  <c r="S102" i="17" s="1"/>
  <c r="R110" i="17" a="1"/>
  <c r="R110" i="17" s="1"/>
  <c r="R138" i="17" a="1"/>
  <c r="R138" i="17" s="1"/>
  <c r="R96" i="17" a="1"/>
  <c r="R96" i="17" s="1"/>
  <c r="R4" i="17" a="1"/>
  <c r="R4" i="17" s="1"/>
  <c r="O40" i="17" a="1"/>
  <c r="O40" i="17" s="1"/>
  <c r="N47" i="17" a="1"/>
  <c r="N47" i="17" s="1"/>
  <c r="N85" i="17" a="1"/>
  <c r="N85" i="17" s="1"/>
  <c r="N124" i="17" a="1"/>
  <c r="N124" i="17" s="1"/>
  <c r="Y164" i="17"/>
  <c r="U95" i="17" a="1"/>
  <c r="U95" i="17" s="1"/>
  <c r="U154" i="17" a="1"/>
  <c r="U154" i="17" s="1"/>
  <c r="U26" i="17" a="1"/>
  <c r="U26" i="17" s="1"/>
  <c r="U23" i="17" a="1"/>
  <c r="U23" i="17" s="1"/>
  <c r="U122" i="17" a="1"/>
  <c r="U122" i="17" s="1"/>
  <c r="T141" i="17" a="1"/>
  <c r="T141" i="17" s="1"/>
  <c r="T170" i="17" a="1"/>
  <c r="T170" i="17" s="1"/>
  <c r="T61" i="17" a="1"/>
  <c r="T61" i="17" s="1"/>
  <c r="T59" i="17" a="1"/>
  <c r="T59" i="17" s="1"/>
  <c r="T53" i="17" a="1"/>
  <c r="T53" i="17" s="1"/>
  <c r="T87" i="17" a="1"/>
  <c r="T87" i="17" s="1"/>
  <c r="T96" i="17" a="1"/>
  <c r="T96" i="17" s="1"/>
  <c r="T125" i="17" a="1"/>
  <c r="T125" i="17" s="1"/>
  <c r="T18" i="17" a="1"/>
  <c r="T18" i="17" s="1"/>
  <c r="S81" i="17" a="1"/>
  <c r="S81" i="17" s="1"/>
  <c r="S59" i="17" a="1"/>
  <c r="S59" i="17" s="1"/>
  <c r="S7" i="17" a="1"/>
  <c r="S7" i="17" s="1"/>
  <c r="S164" i="17" a="1"/>
  <c r="S164" i="17" s="1"/>
  <c r="S92" i="17" a="1"/>
  <c r="S92" i="17" s="1"/>
  <c r="R100" i="17" a="1"/>
  <c r="R100" i="17" s="1"/>
  <c r="R118" i="17" a="1"/>
  <c r="R118" i="17" s="1"/>
  <c r="R86" i="17" a="1"/>
  <c r="R86" i="17" s="1"/>
  <c r="R153" i="17" a="1"/>
  <c r="R153" i="17" s="1"/>
  <c r="O85" i="17" a="1"/>
  <c r="O85" i="17" s="1"/>
  <c r="Q45" i="17"/>
  <c r="W45" i="17" s="1"/>
  <c r="Y86" i="17"/>
  <c r="T60" i="17" a="1"/>
  <c r="T60" i="17" s="1"/>
  <c r="T58" i="17" a="1"/>
  <c r="T58" i="17" s="1"/>
  <c r="T51" i="17" a="1"/>
  <c r="T51" i="17" s="1"/>
  <c r="T77" i="17" a="1"/>
  <c r="T77" i="17" s="1"/>
  <c r="T126" i="17" a="1"/>
  <c r="T126" i="17" s="1"/>
  <c r="T85" i="17" a="1"/>
  <c r="T85" i="17" s="1"/>
  <c r="T26" i="17" a="1"/>
  <c r="T26" i="17" s="1"/>
  <c r="T162" i="17" a="1"/>
  <c r="T162" i="17" s="1"/>
  <c r="S58" i="17" a="1"/>
  <c r="S58" i="17" s="1"/>
  <c r="S146" i="17" a="1"/>
  <c r="S146" i="17" s="1"/>
  <c r="S134" i="17" a="1"/>
  <c r="S134" i="17" s="1"/>
  <c r="S122" i="17" a="1"/>
  <c r="S122" i="17" s="1"/>
  <c r="R130" i="17" a="1"/>
  <c r="R130" i="17" s="1"/>
  <c r="R98" i="17" a="1"/>
  <c r="R98" i="17" s="1"/>
  <c r="R38" i="17" a="1"/>
  <c r="R38" i="17" s="1"/>
  <c r="R133" i="17" a="1"/>
  <c r="R133" i="17" s="1"/>
  <c r="O161" i="17" a="1"/>
  <c r="O161" i="17" s="1"/>
  <c r="Q161" i="17" s="1"/>
  <c r="W161" i="17" s="1"/>
  <c r="O119" i="17" a="1"/>
  <c r="O119" i="17" s="1"/>
  <c r="Q119" i="17" s="1"/>
  <c r="W119" i="17" s="1"/>
  <c r="O31" i="17" a="1"/>
  <c r="O31" i="17" s="1"/>
  <c r="Q31" i="17" s="1"/>
  <c r="W31" i="17" s="1"/>
  <c r="N84" i="17" a="1"/>
  <c r="N84" i="17" s="1"/>
  <c r="N60" i="17" a="1"/>
  <c r="N60" i="17" s="1"/>
  <c r="N35" i="17" a="1"/>
  <c r="N35" i="17" s="1"/>
  <c r="N74" i="17" a="1"/>
  <c r="N74" i="17" s="1"/>
  <c r="Q43" i="17"/>
  <c r="W43" i="17" s="1"/>
  <c r="Y4" i="17"/>
  <c r="U72" i="17" a="1"/>
  <c r="U72" i="17" s="1"/>
  <c r="T111" i="17" a="1"/>
  <c r="T111" i="17" s="1"/>
  <c r="T150" i="17" a="1"/>
  <c r="T150" i="17" s="1"/>
  <c r="T10" i="17" a="1"/>
  <c r="T10" i="17" s="1"/>
  <c r="T57" i="17" a="1"/>
  <c r="T57" i="17" s="1"/>
  <c r="T50" i="17" a="1"/>
  <c r="T50" i="17" s="1"/>
  <c r="T47" i="17" a="1"/>
  <c r="T47" i="17" s="1"/>
  <c r="T86" i="17" a="1"/>
  <c r="T86" i="17" s="1"/>
  <c r="T75" i="17" a="1"/>
  <c r="T75" i="17" s="1"/>
  <c r="T152" i="17" a="1"/>
  <c r="T152" i="17" s="1"/>
  <c r="S71" i="17" a="1"/>
  <c r="S71" i="17" s="1"/>
  <c r="S57" i="17" a="1"/>
  <c r="S57" i="17" s="1"/>
  <c r="S136" i="17" a="1"/>
  <c r="S136" i="17" s="1"/>
  <c r="S114" i="17" a="1"/>
  <c r="S114" i="17" s="1"/>
  <c r="S82" i="17" a="1"/>
  <c r="S82" i="17" s="1"/>
  <c r="R80" i="17" a="1"/>
  <c r="R80" i="17" s="1"/>
  <c r="R88" i="17" a="1"/>
  <c r="R88" i="17" s="1"/>
  <c r="R6" i="17" a="1"/>
  <c r="R6" i="17" s="1"/>
  <c r="R103" i="17" a="1"/>
  <c r="R103" i="17" s="1"/>
  <c r="O99" i="17" a="1"/>
  <c r="O99" i="17" s="1"/>
  <c r="Q99" i="17" s="1"/>
  <c r="W99" i="17" s="1"/>
  <c r="O144" i="17" a="1"/>
  <c r="O144" i="17" s="1"/>
  <c r="Q144" i="17" s="1"/>
  <c r="W144" i="17" s="1"/>
  <c r="Q98" i="17"/>
  <c r="W98" i="17" s="1"/>
  <c r="Q40" i="17"/>
  <c r="W40" i="17" s="1"/>
  <c r="Y125" i="17"/>
  <c r="U85" i="17" a="1"/>
  <c r="U85" i="17" s="1"/>
  <c r="U114" i="17" a="1"/>
  <c r="U114" i="17" s="1"/>
  <c r="U21" i="17" a="1"/>
  <c r="U21" i="17" s="1"/>
  <c r="U17" i="17" a="1"/>
  <c r="U17" i="17" s="1"/>
  <c r="T101" i="17" a="1"/>
  <c r="T101" i="17" s="1"/>
  <c r="T169" i="17" a="1"/>
  <c r="T169" i="17" s="1"/>
  <c r="T56" i="17" a="1"/>
  <c r="T56" i="17" s="1"/>
  <c r="T49" i="17" a="1"/>
  <c r="T49" i="17" s="1"/>
  <c r="T76" i="17" a="1"/>
  <c r="T76" i="17" s="1"/>
  <c r="T33" i="17" a="1"/>
  <c r="T33" i="17" s="1"/>
  <c r="T24" i="17" a="1"/>
  <c r="T24" i="17" s="1"/>
  <c r="T92" i="17" a="1"/>
  <c r="T92" i="17" s="1"/>
  <c r="S66" i="17" a="1"/>
  <c r="S66" i="17" s="1"/>
  <c r="S54" i="17" a="1"/>
  <c r="S54" i="17" s="1"/>
  <c r="S96" i="17" a="1"/>
  <c r="S96" i="17" s="1"/>
  <c r="S25" i="17" a="1"/>
  <c r="S25" i="17" s="1"/>
  <c r="S14" i="17" a="1"/>
  <c r="S14" i="17" s="1"/>
  <c r="R63" i="17" a="1"/>
  <c r="R63" i="17" s="1"/>
  <c r="R51" i="17" a="1"/>
  <c r="R51" i="17" s="1"/>
  <c r="R165" i="17" a="1"/>
  <c r="R165" i="17" s="1"/>
  <c r="R83" i="17" a="1"/>
  <c r="R83" i="17" s="1"/>
  <c r="O121" i="17" a="1"/>
  <c r="O121" i="17" s="1"/>
  <c r="Q121" i="17" s="1"/>
  <c r="W121" i="17" s="1"/>
  <c r="O74" i="17" a="1"/>
  <c r="O74" i="17" s="1"/>
  <c r="N87" i="17" a="1"/>
  <c r="N87" i="17" s="1"/>
  <c r="Q157" i="17"/>
  <c r="W157" i="17" s="1"/>
  <c r="Q91" i="17"/>
  <c r="W91" i="17" s="1"/>
  <c r="Y128" i="17"/>
  <c r="Q85" i="17"/>
  <c r="W85" i="17" s="1"/>
  <c r="U75" i="17" a="1"/>
  <c r="U75" i="17" s="1"/>
  <c r="U4" i="17" a="1"/>
  <c r="U4" i="17" s="1"/>
  <c r="U20" i="17" a="1"/>
  <c r="U20" i="17" s="1"/>
  <c r="U16" i="17" a="1"/>
  <c r="U16" i="17" s="1"/>
  <c r="T131" i="17" a="1"/>
  <c r="T131" i="17" s="1"/>
  <c r="T120" i="17" a="1"/>
  <c r="T120" i="17" s="1"/>
  <c r="T55" i="17" a="1"/>
  <c r="T55" i="17" s="1"/>
  <c r="T48" i="17" a="1"/>
  <c r="T48" i="17" s="1"/>
  <c r="T46" i="17" a="1"/>
  <c r="T46" i="17" s="1"/>
  <c r="T41" i="17" a="1"/>
  <c r="T41" i="17" s="1"/>
  <c r="T32" i="17" a="1"/>
  <c r="T32" i="17" s="1"/>
  <c r="T122" i="17" a="1"/>
  <c r="T122" i="17" s="1"/>
  <c r="S11" i="17" a="1"/>
  <c r="S11" i="17" s="1"/>
  <c r="S158" i="17" a="1"/>
  <c r="S158" i="17" s="1"/>
  <c r="S126" i="17" a="1"/>
  <c r="S126" i="17" s="1"/>
  <c r="S24" i="17" a="1"/>
  <c r="S24" i="17" s="1"/>
  <c r="S2" i="17" a="1"/>
  <c r="S2" i="17" s="1"/>
  <c r="R60" i="17" a="1"/>
  <c r="R60" i="17" s="1"/>
  <c r="R48" i="17" a="1"/>
  <c r="R48" i="17" s="1"/>
  <c r="O101" i="17" a="1"/>
  <c r="O101" i="17" s="1"/>
  <c r="Q101" i="17" s="1"/>
  <c r="W101" i="17" s="1"/>
  <c r="O59" i="17" a="1"/>
  <c r="O59" i="17" s="1"/>
  <c r="Q59" i="17" s="1"/>
  <c r="W59" i="17" s="1"/>
  <c r="O153" i="17" a="1"/>
  <c r="O153" i="17" s="1"/>
  <c r="Q153" i="17" s="1"/>
  <c r="W153" i="17" s="1"/>
  <c r="Q107" i="17"/>
  <c r="W107" i="17" s="1"/>
  <c r="R169" i="17" a="1"/>
  <c r="R169" i="17" s="1"/>
  <c r="R147" i="17" a="1"/>
  <c r="R147" i="17" s="1"/>
  <c r="R34" i="17" a="1"/>
  <c r="R34" i="17" s="1"/>
  <c r="R20" i="17" a="1"/>
  <c r="R20" i="17" s="1"/>
  <c r="O91" i="17" a="1"/>
  <c r="O91" i="17" s="1"/>
  <c r="O158" i="17" a="1"/>
  <c r="O158" i="17" s="1"/>
  <c r="Q158" i="17" s="1"/>
  <c r="W158" i="17" s="1"/>
  <c r="N61" i="17" a="1"/>
  <c r="N61" i="17" s="1"/>
  <c r="Y75" i="17"/>
  <c r="Y78" i="17"/>
  <c r="U34" i="17" a="1"/>
  <c r="U34" i="17" s="1"/>
  <c r="U124" i="17" a="1"/>
  <c r="U124" i="17" s="1"/>
  <c r="U143" i="17" a="1"/>
  <c r="U143" i="17" s="1"/>
  <c r="U14" i="17" a="1"/>
  <c r="U14" i="17" s="1"/>
  <c r="T81" i="17" a="1"/>
  <c r="T81" i="17" s="1"/>
  <c r="T100" i="17" a="1"/>
  <c r="T100" i="17" s="1"/>
  <c r="T139" i="17" a="1"/>
  <c r="T139" i="17" s="1"/>
  <c r="T148" i="17" a="1"/>
  <c r="T148" i="17" s="1"/>
  <c r="T157" i="17" a="1"/>
  <c r="T157" i="17" s="1"/>
  <c r="T44" i="17" a="1"/>
  <c r="T44" i="17" s="1"/>
  <c r="T37" i="17" a="1"/>
  <c r="T37" i="17" s="1"/>
  <c r="T164" i="17" a="1"/>
  <c r="T164" i="17" s="1"/>
  <c r="T133" i="17" a="1"/>
  <c r="T133" i="17" s="1"/>
  <c r="T16" i="17" a="1"/>
  <c r="T16" i="17" s="1"/>
  <c r="S120" i="17" a="1"/>
  <c r="S120" i="17" s="1"/>
  <c r="S128" i="17" a="1"/>
  <c r="S128" i="17" s="1"/>
  <c r="S6" i="17" a="1"/>
  <c r="S6" i="17" s="1"/>
  <c r="S93" i="17" a="1"/>
  <c r="S93" i="17" s="1"/>
  <c r="R141" i="17" a="1"/>
  <c r="R141" i="17" s="1"/>
  <c r="R159" i="17" a="1"/>
  <c r="R159" i="17" s="1"/>
  <c r="R31" i="17" a="1"/>
  <c r="R31" i="17" s="1"/>
  <c r="R102" i="17" a="1"/>
  <c r="R102" i="17" s="1"/>
  <c r="O69" i="17" a="1"/>
  <c r="O69" i="17" s="1"/>
  <c r="Q69" i="17" s="1"/>
  <c r="W69" i="17" s="1"/>
  <c r="N49" i="17" a="1"/>
  <c r="N49" i="17" s="1"/>
  <c r="Y84" i="17"/>
  <c r="U78" i="17" a="1"/>
  <c r="U78" i="17" s="1"/>
  <c r="U146" i="17" a="1"/>
  <c r="U146" i="17" s="1"/>
  <c r="U33" i="17" a="1"/>
  <c r="U33" i="17" s="1"/>
  <c r="U84" i="17" a="1"/>
  <c r="U84" i="17" s="1"/>
  <c r="U133" i="17" a="1"/>
  <c r="U133" i="17" s="1"/>
  <c r="U3" i="17" a="1"/>
  <c r="U3" i="17" s="1"/>
  <c r="U13" i="17" a="1"/>
  <c r="U13" i="17" s="1"/>
  <c r="T71" i="17" a="1"/>
  <c r="T71" i="17" s="1"/>
  <c r="T119" i="17" a="1"/>
  <c r="T119" i="17" s="1"/>
  <c r="T43" i="17" a="1"/>
  <c r="T43" i="17" s="1"/>
  <c r="T165" i="17" a="1"/>
  <c r="T165" i="17" s="1"/>
  <c r="T154" i="17" a="1"/>
  <c r="T154" i="17" s="1"/>
  <c r="T113" i="17" a="1"/>
  <c r="T113" i="17" s="1"/>
  <c r="T14" i="17" a="1"/>
  <c r="T14" i="17" s="1"/>
  <c r="S65" i="17" a="1"/>
  <c r="S65" i="17" s="1"/>
  <c r="S50" i="17" a="1"/>
  <c r="S50" i="17" s="1"/>
  <c r="S155" i="17" a="1"/>
  <c r="S155" i="17" s="1"/>
  <c r="S83" i="17" a="1"/>
  <c r="S83" i="17" s="1"/>
  <c r="R121" i="17" a="1"/>
  <c r="R121" i="17" s="1"/>
  <c r="R79" i="17" a="1"/>
  <c r="R79" i="17" s="1"/>
  <c r="R30" i="17" a="1"/>
  <c r="R30" i="17" s="1"/>
  <c r="R92" i="17" a="1"/>
  <c r="R92" i="17" s="1"/>
  <c r="O66" i="17" a="1"/>
  <c r="O66" i="17" s="1"/>
  <c r="O53" i="17" a="1"/>
  <c r="O53" i="17" s="1"/>
  <c r="Q53" i="17" s="1"/>
  <c r="W53" i="17" s="1"/>
  <c r="N156" i="17" a="1"/>
  <c r="N156" i="17" s="1"/>
  <c r="T13" i="17" a="1"/>
  <c r="T13" i="17" s="1"/>
  <c r="S8" i="17" a="1"/>
  <c r="S8" i="17" s="1"/>
  <c r="S145" i="17" a="1"/>
  <c r="S145" i="17" s="1"/>
  <c r="S73" i="17" a="1"/>
  <c r="S73" i="17" s="1"/>
  <c r="R47" i="17" a="1"/>
  <c r="R47" i="17" s="1"/>
  <c r="R154" i="17" a="1"/>
  <c r="R154" i="17" s="1"/>
  <c r="O170" i="17" a="1"/>
  <c r="O170" i="17" s="1"/>
  <c r="Q170" i="17" s="1"/>
  <c r="W170" i="17" s="1"/>
  <c r="O51" i="17" a="1"/>
  <c r="O51" i="17" s="1"/>
  <c r="Y88" i="17"/>
  <c r="Q90" i="17"/>
  <c r="W90" i="17" s="1"/>
  <c r="O2" i="17" a="1"/>
  <c r="O2" i="17" s="1"/>
  <c r="Q2" i="17" s="1"/>
  <c r="W2" i="17" s="1"/>
  <c r="N120" i="17" a="1"/>
  <c r="N120" i="17" s="1"/>
  <c r="N103" i="17" a="1"/>
  <c r="N103" i="17" s="1"/>
  <c r="N93" i="17" a="1"/>
  <c r="N93" i="17" s="1"/>
  <c r="Q74" i="17"/>
  <c r="W74" i="17" s="1"/>
  <c r="N138" i="17" a="1"/>
  <c r="N138" i="17" s="1"/>
  <c r="N83" i="17" a="1"/>
  <c r="N83" i="17" s="1"/>
  <c r="O30" i="17" a="1"/>
  <c r="O30" i="17" s="1"/>
  <c r="Q30" i="17" s="1"/>
  <c r="W30" i="17" s="1"/>
  <c r="N139" i="17" a="1"/>
  <c r="N139" i="17" s="1"/>
  <c r="N68" i="17" a="1"/>
  <c r="N68" i="17" s="1"/>
  <c r="O152" i="17" a="1"/>
  <c r="O152" i="17" s="1"/>
  <c r="O83" i="17" a="1"/>
  <c r="O83" i="17" s="1"/>
  <c r="R117" i="17" a="1"/>
  <c r="R117" i="17" s="1"/>
  <c r="R52" i="17" a="1"/>
  <c r="R52" i="17" s="1"/>
  <c r="R109" i="17" a="1"/>
  <c r="R109" i="17" s="1"/>
  <c r="R64" i="17" a="1"/>
  <c r="R64" i="17" s="1"/>
  <c r="S15" i="17" a="1"/>
  <c r="S15" i="17" s="1"/>
  <c r="S152" i="17" a="1"/>
  <c r="S152" i="17" s="1"/>
  <c r="S29" i="17" a="1"/>
  <c r="S29" i="17" s="1"/>
  <c r="S5" i="17" a="1"/>
  <c r="S5" i="17" s="1"/>
  <c r="S41" i="17" a="1"/>
  <c r="S41" i="17" s="1"/>
  <c r="S42" i="17" a="1"/>
  <c r="S42" i="17" s="1"/>
  <c r="S117" i="17" a="1"/>
  <c r="S117" i="17" s="1"/>
  <c r="S53" i="17" a="1"/>
  <c r="S53" i="17" s="1"/>
  <c r="S119" i="17" a="1"/>
  <c r="S119" i="17" s="1"/>
  <c r="S80" i="17" a="1"/>
  <c r="S80" i="17" s="1"/>
  <c r="S67" i="17" a="1"/>
  <c r="S67" i="17" s="1"/>
  <c r="S103" i="17" a="1"/>
  <c r="S103" i="17" s="1"/>
  <c r="S74" i="17" a="1"/>
  <c r="S74" i="17" s="1"/>
  <c r="S30" i="17" a="1"/>
  <c r="S30" i="17" s="1"/>
  <c r="S105" i="17" a="1"/>
  <c r="S105" i="17" s="1"/>
  <c r="S76" i="17" a="1"/>
  <c r="S76" i="17" s="1"/>
  <c r="S43" i="17" a="1"/>
  <c r="S43" i="17" s="1"/>
  <c r="S137" i="17" a="1"/>
  <c r="S137" i="17" s="1"/>
  <c r="S55" i="17" a="1"/>
  <c r="S55" i="17" s="1"/>
  <c r="S139" i="17" a="1"/>
  <c r="S139" i="17" s="1"/>
  <c r="S90" i="17" a="1"/>
  <c r="S90" i="17" s="1"/>
  <c r="S171" i="17" a="1"/>
  <c r="S171" i="17" s="1"/>
  <c r="T102" i="17" a="1"/>
  <c r="T102" i="17" s="1"/>
  <c r="T22" i="17" a="1"/>
  <c r="T22" i="17" s="1"/>
  <c r="T163" i="17" a="1"/>
  <c r="T163" i="17" s="1"/>
  <c r="T94" i="17" a="1"/>
  <c r="T94" i="17" s="1"/>
  <c r="T34" i="17" a="1"/>
  <c r="T34" i="17" s="1"/>
  <c r="N151" i="17" a="1"/>
  <c r="N151" i="17" s="1"/>
  <c r="R170" i="17" a="1"/>
  <c r="R170" i="17" s="1"/>
  <c r="S17" i="17" a="1"/>
  <c r="S17" i="17" s="1"/>
  <c r="S162" i="17" a="1"/>
  <c r="S162" i="17" s="1"/>
  <c r="S113" i="17" a="1"/>
  <c r="S113" i="17" s="1"/>
  <c r="S31" i="17" a="1"/>
  <c r="S31" i="17" s="1"/>
  <c r="S115" i="17" a="1"/>
  <c r="S115" i="17" s="1"/>
  <c r="S86" i="17" a="1"/>
  <c r="S86" i="17" s="1"/>
  <c r="S147" i="17" a="1"/>
  <c r="S147" i="17" s="1"/>
  <c r="S78" i="17" a="1"/>
  <c r="S78" i="17" s="1"/>
  <c r="S149" i="17" a="1"/>
  <c r="S149" i="17" s="1"/>
  <c r="S130" i="17" a="1"/>
  <c r="S130" i="17" s="1"/>
  <c r="S68" i="17" a="1"/>
  <c r="S68" i="17" s="1"/>
  <c r="T112" i="17" a="1"/>
  <c r="T112" i="17" s="1"/>
  <c r="T4" i="17" a="1"/>
  <c r="T4" i="17" s="1"/>
  <c r="T104" i="17" a="1"/>
  <c r="T104" i="17" s="1"/>
  <c r="T6" i="17" a="1"/>
  <c r="T6" i="17" s="1"/>
  <c r="S32" i="17" a="1"/>
  <c r="S32" i="17" s="1"/>
  <c r="S135" i="17" a="1"/>
  <c r="S135" i="17" s="1"/>
  <c r="S44" i="17" a="1"/>
  <c r="S44" i="17" s="1"/>
  <c r="S88" i="17" a="1"/>
  <c r="S88" i="17" s="1"/>
  <c r="S56" i="17" a="1"/>
  <c r="S56" i="17" s="1"/>
  <c r="S159" i="17" a="1"/>
  <c r="S159" i="17" s="1"/>
  <c r="S100" i="17" a="1"/>
  <c r="S100" i="17" s="1"/>
  <c r="S69" i="17" a="1"/>
  <c r="S69" i="17" s="1"/>
  <c r="T2" i="17" a="1"/>
  <c r="T2" i="17" s="1"/>
  <c r="T132" i="17" a="1"/>
  <c r="T132" i="17" s="1"/>
  <c r="T23" i="17" a="1"/>
  <c r="T23" i="17" s="1"/>
  <c r="T114" i="17" a="1"/>
  <c r="T114" i="17" s="1"/>
  <c r="T35" i="17" a="1"/>
  <c r="T35" i="17" s="1"/>
  <c r="T36" i="17" a="1"/>
  <c r="T36" i="17" s="1"/>
  <c r="T158" i="17" a="1"/>
  <c r="T158" i="17" s="1"/>
  <c r="T62" i="17" a="1"/>
  <c r="T62" i="17" s="1"/>
  <c r="N13" i="17" a="1"/>
  <c r="N13" i="17" s="1"/>
  <c r="N153" i="17" a="1"/>
  <c r="N153" i="17" s="1"/>
  <c r="N104" i="17" a="1"/>
  <c r="N104" i="17" s="1"/>
  <c r="N37" i="17" a="1"/>
  <c r="N37" i="17" s="1"/>
  <c r="N77" i="17" a="1"/>
  <c r="N77" i="17" s="1"/>
  <c r="N48" i="17" a="1"/>
  <c r="N48" i="17" s="1"/>
  <c r="N108" i="17" a="1"/>
  <c r="N108" i="17" s="1"/>
  <c r="N10" i="17" a="1"/>
  <c r="N10" i="17" s="1"/>
  <c r="N110" i="17" a="1"/>
  <c r="N110" i="17" s="1"/>
  <c r="N161" i="17" a="1"/>
  <c r="N161" i="17" s="1"/>
  <c r="O72" i="17" a="1"/>
  <c r="O72" i="17" s="1"/>
  <c r="Q72" i="17" s="1"/>
  <c r="W72" i="17" s="1"/>
  <c r="O18" i="17" a="1"/>
  <c r="O18" i="17" s="1"/>
  <c r="Q18" i="17" s="1"/>
  <c r="W18" i="17" s="1"/>
  <c r="O103" i="17" a="1"/>
  <c r="O103" i="17" s="1"/>
  <c r="Q103" i="17" s="1"/>
  <c r="W103" i="17" s="1"/>
  <c r="O29" i="17" a="1"/>
  <c r="O29" i="17" s="1"/>
  <c r="Q29" i="17" s="1"/>
  <c r="W29" i="17" s="1"/>
  <c r="O5" i="17" a="1"/>
  <c r="O5" i="17" s="1"/>
  <c r="Q5" i="17" s="1"/>
  <c r="W5" i="17" s="1"/>
  <c r="O115" i="17" a="1"/>
  <c r="O115" i="17" s="1"/>
  <c r="Q115" i="17" s="1"/>
  <c r="W115" i="17" s="1"/>
  <c r="S19" i="17" a="1"/>
  <c r="S19" i="17" s="1"/>
  <c r="S143" i="17" a="1"/>
  <c r="S143" i="17" s="1"/>
  <c r="S124" i="17" a="1"/>
  <c r="S124" i="17" s="1"/>
  <c r="S167" i="17" a="1"/>
  <c r="S167" i="17" s="1"/>
  <c r="S98" i="17" a="1"/>
  <c r="S98" i="17" s="1"/>
  <c r="S10" i="17" a="1"/>
  <c r="S10" i="17" s="1"/>
  <c r="S110" i="17" a="1"/>
  <c r="S110" i="17" s="1"/>
  <c r="S70" i="17" a="1"/>
  <c r="S70" i="17" s="1"/>
  <c r="T12" i="17" a="1"/>
  <c r="T12" i="17" s="1"/>
  <c r="T142" i="17" a="1"/>
  <c r="T142" i="17" s="1"/>
  <c r="T73" i="17" a="1"/>
  <c r="T73" i="17" s="1"/>
  <c r="T38" i="17" a="1"/>
  <c r="T38" i="17" s="1"/>
  <c r="T156" i="17" a="1"/>
  <c r="T156" i="17" s="1"/>
  <c r="T52" i="17" a="1"/>
  <c r="T52" i="17" s="1"/>
  <c r="T168" i="17" a="1"/>
  <c r="T168" i="17" s="1"/>
  <c r="R126" i="17" a="1"/>
  <c r="R126" i="17" s="1"/>
  <c r="R44" i="17" a="1"/>
  <c r="R44" i="17" s="1"/>
  <c r="R167" i="17" a="1"/>
  <c r="R167" i="17" s="1"/>
  <c r="R108" i="17" a="1"/>
  <c r="R108" i="17" s="1"/>
  <c r="R57" i="17" a="1"/>
  <c r="R57" i="17" s="1"/>
  <c r="R68" i="17" a="1"/>
  <c r="R68" i="17" s="1"/>
  <c r="S21" i="17" a="1"/>
  <c r="S21" i="17" s="1"/>
  <c r="S153" i="17" a="1"/>
  <c r="S153" i="17" s="1"/>
  <c r="S94" i="17" a="1"/>
  <c r="S94" i="17" s="1"/>
  <c r="S165" i="17" a="1"/>
  <c r="S165" i="17" s="1"/>
  <c r="S106" i="17" a="1"/>
  <c r="S106" i="17" s="1"/>
  <c r="S48" i="17" a="1"/>
  <c r="S48" i="17" s="1"/>
  <c r="S118" i="17" a="1"/>
  <c r="S118" i="17" s="1"/>
  <c r="S60" i="17" a="1"/>
  <c r="S60" i="17" s="1"/>
  <c r="S140" i="17" a="1"/>
  <c r="S140" i="17" s="1"/>
  <c r="N63" i="17" a="1"/>
  <c r="N63" i="17" s="1"/>
  <c r="N150" i="17" a="1"/>
  <c r="N150" i="17" s="1"/>
  <c r="O12" i="17" a="1"/>
  <c r="O12" i="17" s="1"/>
  <c r="Q12" i="17" s="1"/>
  <c r="W12" i="17" s="1"/>
  <c r="O20" i="17" a="1"/>
  <c r="O20" i="17" s="1"/>
  <c r="Q20" i="17" s="1"/>
  <c r="W20" i="17" s="1"/>
  <c r="R8" i="17" a="1"/>
  <c r="R8" i="17" s="1"/>
  <c r="R70" i="17" a="1"/>
  <c r="R70" i="17" s="1"/>
  <c r="R161" i="17" a="1"/>
  <c r="R161" i="17" s="1"/>
  <c r="S23" i="17" a="1"/>
  <c r="S23" i="17" s="1"/>
  <c r="S4" i="17" a="1"/>
  <c r="S4" i="17" s="1"/>
  <c r="S104" i="17" a="1"/>
  <c r="S104" i="17" s="1"/>
  <c r="S36" i="17" a="1"/>
  <c r="S36" i="17" s="1"/>
  <c r="S116" i="17" a="1"/>
  <c r="S116" i="17" s="1"/>
  <c r="S77" i="17" a="1"/>
  <c r="S77" i="17" s="1"/>
  <c r="S49" i="17" a="1"/>
  <c r="S49" i="17" s="1"/>
  <c r="S148" i="17" a="1"/>
  <c r="S148" i="17" s="1"/>
  <c r="S61" i="17" a="1"/>
  <c r="S61" i="17" s="1"/>
  <c r="S150" i="17" a="1"/>
  <c r="S150" i="17" s="1"/>
  <c r="S91" i="17" a="1"/>
  <c r="S91" i="17" s="1"/>
  <c r="T15" i="17" a="1"/>
  <c r="T15" i="17" s="1"/>
  <c r="T3" i="17" a="1"/>
  <c r="T3" i="17" s="1"/>
  <c r="O13" i="17" a="1"/>
  <c r="O13" i="17" s="1"/>
  <c r="Q13" i="17" s="1"/>
  <c r="W13" i="17" s="1"/>
  <c r="O94" i="17" a="1"/>
  <c r="O94" i="17" s="1"/>
  <c r="Q94" i="17" s="1"/>
  <c r="W94" i="17" s="1"/>
  <c r="O165" i="17" a="1"/>
  <c r="O165" i="17" s="1"/>
  <c r="Q165" i="17" s="1"/>
  <c r="W165" i="17" s="1"/>
  <c r="O96" i="17" a="1"/>
  <c r="O96" i="17" s="1"/>
  <c r="Q96" i="17" s="1"/>
  <c r="W96" i="17" s="1"/>
  <c r="O128" i="17" a="1"/>
  <c r="O128" i="17" s="1"/>
  <c r="O55" i="17" a="1"/>
  <c r="O55" i="17" s="1"/>
  <c r="Q55" i="17" s="1"/>
  <c r="W55" i="17" s="1"/>
  <c r="N170" i="17" a="1"/>
  <c r="N170" i="17" s="1"/>
  <c r="O112" i="17" a="1"/>
  <c r="O112" i="17" s="1"/>
  <c r="O22" i="17" a="1"/>
  <c r="O22" i="17" s="1"/>
  <c r="O4" i="17" a="1"/>
  <c r="O4" i="17" s="1"/>
  <c r="Q4" i="17" s="1"/>
  <c r="W4" i="17" s="1"/>
  <c r="O104" i="17" a="1"/>
  <c r="O104" i="17" s="1"/>
  <c r="Q104" i="17" s="1"/>
  <c r="W104" i="17" s="1"/>
  <c r="O33" i="17" a="1"/>
  <c r="O33" i="17" s="1"/>
  <c r="Q33" i="17" s="1"/>
  <c r="W33" i="17" s="1"/>
  <c r="R22" i="17" a="1"/>
  <c r="R22" i="17" s="1"/>
  <c r="R114" i="17" a="1"/>
  <c r="R114" i="17" s="1"/>
  <c r="R35" i="17" a="1"/>
  <c r="R35" i="17" s="1"/>
  <c r="R36" i="17" a="1"/>
  <c r="R36" i="17" s="1"/>
  <c r="R87" i="17" a="1"/>
  <c r="R87" i="17" s="1"/>
  <c r="R148" i="17" a="1"/>
  <c r="R148" i="17" s="1"/>
  <c r="R89" i="17" a="1"/>
  <c r="R89" i="17" s="1"/>
  <c r="R61" i="17" a="1"/>
  <c r="R61" i="17" s="1"/>
  <c r="R81" i="17" a="1"/>
  <c r="R81" i="17" s="1"/>
  <c r="S12" i="17" a="1"/>
  <c r="S12" i="17" s="1"/>
  <c r="S26" i="17" a="1"/>
  <c r="S26" i="17" s="1"/>
  <c r="S144" i="17" a="1"/>
  <c r="S144" i="17" s="1"/>
  <c r="S39" i="17" a="1"/>
  <c r="S39" i="17" s="1"/>
  <c r="S51" i="17" a="1"/>
  <c r="S51" i="17" s="1"/>
  <c r="S168" i="17" a="1"/>
  <c r="S168" i="17" s="1"/>
  <c r="S129" i="17" a="1"/>
  <c r="S129" i="17" s="1"/>
  <c r="S13" i="17" a="1"/>
  <c r="S13" i="17" s="1"/>
  <c r="S132" i="17" a="1"/>
  <c r="S132" i="17" s="1"/>
  <c r="S123" i="17" a="1"/>
  <c r="S123" i="17" s="1"/>
  <c r="S27" i="17" a="1"/>
  <c r="S27" i="17" s="1"/>
  <c r="S154" i="17" a="1"/>
  <c r="S154" i="17" s="1"/>
  <c r="S125" i="17" a="1"/>
  <c r="S125" i="17" s="1"/>
  <c r="S156" i="17" a="1"/>
  <c r="S156" i="17" s="1"/>
  <c r="S127" i="17" a="1"/>
  <c r="S127" i="17" s="1"/>
  <c r="S9" i="17" a="1"/>
  <c r="S9" i="17" s="1"/>
  <c r="S99" i="17" a="1"/>
  <c r="S99" i="17" s="1"/>
  <c r="S64" i="17" a="1"/>
  <c r="S64" i="17" s="1"/>
  <c r="S121" i="17" a="1"/>
  <c r="S121" i="17" s="1"/>
  <c r="T72" i="17" a="1"/>
  <c r="T72" i="17" s="1"/>
  <c r="T19" i="17" a="1"/>
  <c r="T19" i="17" s="1"/>
  <c r="T74" i="17" a="1"/>
  <c r="T74" i="17" s="1"/>
  <c r="T31" i="17" a="1"/>
  <c r="T31" i="17" s="1"/>
  <c r="O151" i="17" a="1"/>
  <c r="O151" i="17" s="1"/>
  <c r="R132" i="17" a="1"/>
  <c r="R132" i="17" s="1"/>
  <c r="R73" i="17" a="1"/>
  <c r="R73" i="17" s="1"/>
  <c r="R144" i="17" a="1"/>
  <c r="R144" i="17" s="1"/>
  <c r="R75" i="17" a="1"/>
  <c r="R75" i="17" s="1"/>
  <c r="R37" i="17" a="1"/>
  <c r="R37" i="17" s="1"/>
  <c r="R156" i="17" a="1"/>
  <c r="R156" i="17" s="1"/>
  <c r="R97" i="17" a="1"/>
  <c r="R97" i="17" s="1"/>
  <c r="R50" i="17" a="1"/>
  <c r="R50" i="17" s="1"/>
  <c r="R158" i="17" a="1"/>
  <c r="R158" i="17" s="1"/>
  <c r="R99" i="17" a="1"/>
  <c r="R99" i="17" s="1"/>
  <c r="R62" i="17" a="1"/>
  <c r="R62" i="17" s="1"/>
  <c r="S28" i="17" a="1"/>
  <c r="S28" i="17" s="1"/>
  <c r="S40" i="17" a="1"/>
  <c r="S40" i="17" s="1"/>
  <c r="S166" i="17" a="1"/>
  <c r="S166" i="17" s="1"/>
  <c r="S97" i="17" a="1"/>
  <c r="S97" i="17" s="1"/>
  <c r="S52" i="17" a="1"/>
  <c r="S52" i="17" s="1"/>
  <c r="R160" i="17" a="1"/>
  <c r="R160" i="17" s="1"/>
  <c r="Q171" i="17"/>
  <c r="W171" i="17" s="1"/>
  <c r="Q58" i="17"/>
  <c r="W58" i="17" s="1"/>
  <c r="Y152" i="17"/>
  <c r="Q152" i="17" s="1"/>
  <c r="W152" i="17" s="1"/>
  <c r="O124" i="17" a="1"/>
  <c r="O124" i="17" s="1"/>
  <c r="N38" i="17" a="1"/>
  <c r="N38" i="17" s="1"/>
  <c r="Q6" i="17"/>
  <c r="W6" i="17" s="1"/>
  <c r="Q83" i="17"/>
  <c r="W83" i="17" s="1"/>
  <c r="N155" i="17" a="1"/>
  <c r="N155" i="17" s="1"/>
  <c r="O140" i="17" a="1"/>
  <c r="O140" i="17" s="1"/>
  <c r="Q140" i="17" s="1"/>
  <c r="W140" i="17" s="1"/>
  <c r="Q151" i="17"/>
  <c r="W151" i="17" s="1"/>
  <c r="O26" i="17" a="1"/>
  <c r="O26" i="17" s="1"/>
  <c r="Q26" i="17" s="1"/>
  <c r="W26" i="17" s="1"/>
  <c r="N4" i="17" a="1"/>
  <c r="N4" i="17" s="1"/>
  <c r="Q56" i="17"/>
  <c r="W56" i="17" s="1"/>
  <c r="N92" i="17" a="1"/>
  <c r="N92" i="17" s="1"/>
  <c r="Q128" i="17"/>
  <c r="W128" i="17" s="1"/>
  <c r="Q112" i="17"/>
  <c r="W112" i="17" s="1"/>
  <c r="Q124" i="17"/>
  <c r="W124" i="17" s="1"/>
  <c r="O86" i="17" a="1"/>
  <c r="O86" i="17" s="1"/>
  <c r="Q86" i="17" s="1"/>
  <c r="W86" i="17" s="1"/>
  <c r="O19" i="17" a="1"/>
  <c r="O19" i="17" s="1"/>
  <c r="Q19" i="17" s="1"/>
  <c r="W19" i="17" s="1"/>
  <c r="Q22" i="17"/>
  <c r="W22" i="17" s="1"/>
  <c r="Q66" i="17"/>
  <c r="W66" i="17" s="1"/>
  <c r="Q147" i="17"/>
  <c r="W147" i="17" s="1"/>
  <c r="O122" i="17" a="1"/>
  <c r="O122" i="17" s="1"/>
  <c r="Q122" i="17" s="1"/>
  <c r="W122" i="17" s="1"/>
  <c r="N3" i="17" a="1"/>
  <c r="N3" i="17" s="1"/>
  <c r="R15" i="17" a="1"/>
  <c r="R15" i="17" s="1"/>
  <c r="O68" i="17" a="1"/>
  <c r="O68" i="17" s="1"/>
  <c r="Q68" i="17" s="1"/>
  <c r="W68" i="17" s="1"/>
  <c r="O100" i="17" a="1"/>
  <c r="O100" i="17" s="1"/>
  <c r="Q100" i="17" s="1"/>
  <c r="W100" i="17" s="1"/>
  <c r="O159" i="17" a="1"/>
  <c r="O159" i="17" s="1"/>
  <c r="Q159" i="17" s="1"/>
  <c r="W159" i="17" s="1"/>
  <c r="O58" i="17" a="1"/>
  <c r="O58" i="17" s="1"/>
  <c r="O118" i="17" a="1"/>
  <c r="O118" i="17" s="1"/>
  <c r="Q118" i="17" s="1"/>
  <c r="W118" i="17" s="1"/>
  <c r="O8" i="17" a="1"/>
  <c r="O8" i="17" s="1"/>
  <c r="Q8" i="17" s="1"/>
  <c r="W8" i="17" s="1"/>
  <c r="O77" i="17" a="1"/>
  <c r="O77" i="17" s="1"/>
  <c r="Q77" i="17" s="1"/>
  <c r="W77" i="17" s="1"/>
  <c r="O136" i="17" a="1"/>
  <c r="O136" i="17" s="1"/>
  <c r="Q136" i="17" s="1"/>
  <c r="W136" i="17" s="1"/>
  <c r="O36" i="17" a="1"/>
  <c r="O36" i="17" s="1"/>
  <c r="Q36" i="17" s="1"/>
  <c r="W36" i="17" s="1"/>
  <c r="O75" i="17" a="1"/>
  <c r="O75" i="17" s="1"/>
  <c r="Q75" i="17" s="1"/>
  <c r="W75" i="17" s="1"/>
  <c r="O134" i="17" a="1"/>
  <c r="O134" i="17" s="1"/>
  <c r="Q134" i="17" s="1"/>
  <c r="W134" i="17" s="1"/>
  <c r="O25" i="17" a="1"/>
  <c r="O25" i="17" s="1"/>
  <c r="Q25" i="17" s="1"/>
  <c r="W25" i="17" s="1"/>
  <c r="O73" i="17" a="1"/>
  <c r="O73" i="17" s="1"/>
  <c r="Q73" i="17" s="1"/>
  <c r="W73" i="17" s="1"/>
  <c r="O15" i="17" a="1"/>
  <c r="O15" i="17" s="1"/>
  <c r="Q15" i="17" s="1"/>
  <c r="W15" i="17" s="1"/>
  <c r="N111" i="17" a="1"/>
  <c r="N111" i="17" s="1"/>
  <c r="N67" i="17" a="1"/>
  <c r="N67" i="17" s="1"/>
  <c r="N80" i="17" a="1"/>
  <c r="N80" i="17" s="1"/>
  <c r="N119" i="17" a="1"/>
  <c r="N119" i="17" s="1"/>
  <c r="N78" i="17" a="1"/>
  <c r="N78" i="17" s="1"/>
  <c r="N137" i="17" a="1"/>
  <c r="N137" i="17" s="1"/>
  <c r="N44" i="17" a="1"/>
  <c r="N44" i="17" s="1"/>
  <c r="N145" i="17" a="1"/>
  <c r="N145" i="17" s="1"/>
  <c r="N73" i="17" a="1"/>
  <c r="N73" i="17" s="1"/>
  <c r="N134" i="17" a="1"/>
  <c r="N134" i="17" s="1"/>
  <c r="R91" i="17" a="1"/>
  <c r="R91" i="17" s="1"/>
  <c r="R140" i="17" a="1"/>
  <c r="R140" i="17" s="1"/>
  <c r="R129" i="17" a="1"/>
  <c r="R129" i="17" s="1"/>
  <c r="R49" i="17" a="1"/>
  <c r="R49" i="17" s="1"/>
  <c r="R127" i="17" a="1"/>
  <c r="R127" i="17" s="1"/>
  <c r="R146" i="17" a="1"/>
  <c r="R146" i="17" s="1"/>
  <c r="R134" i="17" a="1"/>
  <c r="R134" i="17" s="1"/>
  <c r="R24" i="17" a="1"/>
  <c r="R24" i="17" s="1"/>
  <c r="R23" i="17" a="1"/>
  <c r="R23" i="17" s="1"/>
  <c r="O57" i="17" a="1"/>
  <c r="O57" i="17" s="1"/>
  <c r="Q57" i="17" s="1"/>
  <c r="W57" i="17" s="1"/>
  <c r="O47" i="17" a="1"/>
  <c r="O47" i="17" s="1"/>
  <c r="Q47" i="17" s="1"/>
  <c r="W47" i="17" s="1"/>
  <c r="O116" i="17" a="1"/>
  <c r="O116" i="17" s="1"/>
  <c r="Q116" i="17" s="1"/>
  <c r="W116" i="17" s="1"/>
  <c r="O35" i="17" a="1"/>
  <c r="O35" i="17" s="1"/>
  <c r="O114" i="17" a="1"/>
  <c r="O114" i="17" s="1"/>
  <c r="Q114" i="17" s="1"/>
  <c r="W114" i="17" s="1"/>
  <c r="O24" i="17" a="1"/>
  <c r="O24" i="17" s="1"/>
  <c r="Q24" i="17" s="1"/>
  <c r="W24" i="17" s="1"/>
  <c r="O23" i="17" a="1"/>
  <c r="O23" i="17" s="1"/>
  <c r="Q23" i="17" s="1"/>
  <c r="W23" i="17" s="1"/>
  <c r="O142" i="17" a="1"/>
  <c r="O142" i="17" s="1"/>
  <c r="Q142" i="17" s="1"/>
  <c r="W142" i="17" s="1"/>
  <c r="N66" i="17" a="1"/>
  <c r="N66" i="17" s="1"/>
  <c r="N109" i="17" a="1"/>
  <c r="N109" i="17" s="1"/>
  <c r="N54" i="17" a="1"/>
  <c r="N54" i="17" s="1"/>
  <c r="N117" i="17" a="1"/>
  <c r="N117" i="17" s="1"/>
  <c r="N31" i="17" a="1"/>
  <c r="N31" i="17" s="1"/>
  <c r="N29" i="17" a="1"/>
  <c r="N29" i="17" s="1"/>
  <c r="N23" i="17" a="1"/>
  <c r="N23" i="17" s="1"/>
  <c r="N133" i="17" a="1"/>
  <c r="N133" i="17" s="1"/>
  <c r="N142" i="17" a="1"/>
  <c r="N142" i="17" s="1"/>
  <c r="R112" i="17" a="1"/>
  <c r="R112" i="17" s="1"/>
  <c r="R14" i="17" a="1"/>
  <c r="R14" i="17" s="1"/>
  <c r="O141" i="17" a="1"/>
  <c r="O141" i="17" s="1"/>
  <c r="Q141" i="17" s="1"/>
  <c r="W141" i="17" s="1"/>
  <c r="O67" i="17" a="1"/>
  <c r="O67" i="17" s="1"/>
  <c r="Q67" i="17" s="1"/>
  <c r="W67" i="17" s="1"/>
  <c r="O130" i="17" a="1"/>
  <c r="O130" i="17" s="1"/>
  <c r="Q130" i="17" s="1"/>
  <c r="W130" i="17" s="1"/>
  <c r="O149" i="17" a="1"/>
  <c r="O149" i="17" s="1"/>
  <c r="Q149" i="17" s="1"/>
  <c r="W149" i="17" s="1"/>
  <c r="O56" i="17" a="1"/>
  <c r="O56" i="17" s="1"/>
  <c r="O108" i="17" a="1"/>
  <c r="O108" i="17" s="1"/>
  <c r="Q108" i="17" s="1"/>
  <c r="W108" i="17" s="1"/>
  <c r="O167" i="17" a="1"/>
  <c r="O167" i="17" s="1"/>
  <c r="Q167" i="17" s="1"/>
  <c r="W167" i="17" s="1"/>
  <c r="O46" i="17" a="1"/>
  <c r="O46" i="17" s="1"/>
  <c r="Q46" i="17" s="1"/>
  <c r="W46" i="17" s="1"/>
  <c r="O106" i="17" a="1"/>
  <c r="O106" i="17" s="1"/>
  <c r="Q106" i="17" s="1"/>
  <c r="W106" i="17" s="1"/>
  <c r="O6" i="17" a="1"/>
  <c r="O6" i="17" s="1"/>
  <c r="O34" i="17" a="1"/>
  <c r="O34" i="17" s="1"/>
  <c r="Q34" i="17" s="1"/>
  <c r="W34" i="17" s="1"/>
  <c r="O132" i="17" a="1"/>
  <c r="O132" i="17" s="1"/>
  <c r="Q132" i="17" s="1"/>
  <c r="W132" i="17" s="1"/>
  <c r="O14" i="17" a="1"/>
  <c r="O14" i="17" s="1"/>
  <c r="Q14" i="17" s="1"/>
  <c r="W14" i="17" s="1"/>
  <c r="N101" i="17" a="1"/>
  <c r="N101" i="17" s="1"/>
  <c r="N11" i="17" a="1"/>
  <c r="N11" i="17" s="1"/>
  <c r="N65" i="17" a="1"/>
  <c r="N65" i="17" s="1"/>
  <c r="N99" i="17" a="1"/>
  <c r="N99" i="17" s="1"/>
  <c r="N53" i="17" a="1"/>
  <c r="N53" i="17" s="1"/>
  <c r="N43" i="17" a="1"/>
  <c r="N43" i="17" s="1"/>
  <c r="N115" i="17" a="1"/>
  <c r="N115" i="17" s="1"/>
  <c r="N30" i="17" a="1"/>
  <c r="N30" i="17" s="1"/>
  <c r="N28" i="17" a="1"/>
  <c r="N28" i="17" s="1"/>
  <c r="N22" i="17" a="1"/>
  <c r="N22" i="17" s="1"/>
  <c r="N132" i="17" a="1"/>
  <c r="N132" i="17" s="1"/>
  <c r="N129" i="17" a="1"/>
  <c r="N129" i="17" s="1"/>
  <c r="N9" i="17" a="1"/>
  <c r="N9" i="17" s="1"/>
  <c r="N107" i="17" a="1"/>
  <c r="N107" i="17" s="1"/>
  <c r="N76" i="17" a="1"/>
  <c r="N76" i="17" s="1"/>
  <c r="N5" i="17" a="1"/>
  <c r="N5" i="17" s="1"/>
  <c r="N27" i="17" a="1"/>
  <c r="N27" i="17" s="1"/>
  <c r="N20" i="17" a="1"/>
  <c r="N20" i="17" s="1"/>
  <c r="N21" i="17" a="1"/>
  <c r="N21" i="17" s="1"/>
  <c r="N102" i="17" a="1"/>
  <c r="N102" i="17" s="1"/>
  <c r="N15" i="17" a="1"/>
  <c r="N15" i="17" s="1"/>
  <c r="N131" i="17" a="1"/>
  <c r="N131" i="17" s="1"/>
  <c r="N160" i="17" a="1"/>
  <c r="N160" i="17" s="1"/>
  <c r="N64" i="17" a="1"/>
  <c r="N64" i="17" s="1"/>
  <c r="N168" i="17" a="1"/>
  <c r="N168" i="17" s="1"/>
  <c r="N52" i="17" a="1"/>
  <c r="N52" i="17" s="1"/>
  <c r="N42" i="17" a="1"/>
  <c r="N42" i="17" s="1"/>
  <c r="N105" i="17" a="1"/>
  <c r="N105" i="17" s="1"/>
  <c r="N164" i="17" a="1"/>
  <c r="N164" i="17" s="1"/>
  <c r="N26" i="17" a="1"/>
  <c r="N26" i="17" s="1"/>
  <c r="N143" i="17" a="1"/>
  <c r="N143" i="17" s="1"/>
  <c r="R46" i="17" a="1"/>
  <c r="R46" i="17" s="1"/>
  <c r="R106" i="17" a="1"/>
  <c r="R106" i="17" s="1"/>
  <c r="R33" i="17" a="1"/>
  <c r="R33" i="17" s="1"/>
  <c r="R94" i="17" a="1"/>
  <c r="R94" i="17" s="1"/>
  <c r="R163" i="17" a="1"/>
  <c r="R163" i="17" s="1"/>
  <c r="R12" i="17" a="1"/>
  <c r="R12" i="17" s="1"/>
  <c r="O111" i="17" a="1"/>
  <c r="O111" i="17" s="1"/>
  <c r="Q111" i="17" s="1"/>
  <c r="W111" i="17" s="1"/>
  <c r="O11" i="17" a="1"/>
  <c r="O11" i="17" s="1"/>
  <c r="Q11" i="17" s="1"/>
  <c r="W11" i="17" s="1"/>
  <c r="O80" i="17" a="1"/>
  <c r="O80" i="17" s="1"/>
  <c r="Q80" i="17" s="1"/>
  <c r="W80" i="17" s="1"/>
  <c r="O88" i="17" a="1"/>
  <c r="O88" i="17" s="1"/>
  <c r="O147" i="17" a="1"/>
  <c r="O147" i="17" s="1"/>
  <c r="O44" i="17" a="1"/>
  <c r="O44" i="17" s="1"/>
  <c r="Q44" i="17" s="1"/>
  <c r="W44" i="17" s="1"/>
  <c r="O126" i="17" a="1"/>
  <c r="O126" i="17" s="1"/>
  <c r="Q126" i="17" s="1"/>
  <c r="W126" i="17" s="1"/>
  <c r="O155" i="17" a="1"/>
  <c r="O155" i="17" s="1"/>
  <c r="Q155" i="17" s="1"/>
  <c r="W155" i="17" s="1"/>
  <c r="O32" i="17" a="1"/>
  <c r="O32" i="17" s="1"/>
  <c r="Q32" i="17" s="1"/>
  <c r="W32" i="17" s="1"/>
  <c r="O163" i="17" a="1"/>
  <c r="O163" i="17" s="1"/>
  <c r="Q163" i="17" s="1"/>
  <c r="W163" i="17" s="1"/>
  <c r="O21" i="17" a="1"/>
  <c r="O21" i="17" s="1"/>
  <c r="Q21" i="17" s="1"/>
  <c r="W21" i="17" s="1"/>
  <c r="O102" i="17" a="1"/>
  <c r="O102" i="17" s="1"/>
  <c r="Q102" i="17" s="1"/>
  <c r="W102" i="17" s="1"/>
  <c r="N91" i="17" a="1"/>
  <c r="N91" i="17" s="1"/>
  <c r="N89" i="17" a="1"/>
  <c r="N89" i="17" s="1"/>
  <c r="N158" i="17" a="1"/>
  <c r="N158" i="17" s="1"/>
  <c r="N97" i="17" a="1"/>
  <c r="N97" i="17" s="1"/>
  <c r="N41" i="17" a="1"/>
  <c r="N41" i="17" s="1"/>
  <c r="N95" i="17" a="1"/>
  <c r="N95" i="17" s="1"/>
  <c r="N154" i="17" a="1"/>
  <c r="N154" i="17" s="1"/>
  <c r="N19" i="17" a="1"/>
  <c r="N19" i="17" s="1"/>
  <c r="N51" i="17" a="1"/>
  <c r="N51" i="17" s="1"/>
  <c r="N127" i="17" a="1"/>
  <c r="N127" i="17" s="1"/>
  <c r="N7" i="17" a="1"/>
  <c r="N7" i="17" s="1"/>
  <c r="N40" i="17" a="1"/>
  <c r="N40" i="17" s="1"/>
  <c r="N25" i="17" a="1"/>
  <c r="N25" i="17" s="1"/>
  <c r="N18" i="17" a="1"/>
  <c r="N18" i="17" s="1"/>
  <c r="N135" i="17" a="1"/>
  <c r="N135" i="17" s="1"/>
  <c r="R155" i="17" a="1"/>
  <c r="R155" i="17" s="1"/>
  <c r="R32" i="17" a="1"/>
  <c r="R32" i="17" s="1"/>
  <c r="R84" i="17" a="1"/>
  <c r="R84" i="17" s="1"/>
  <c r="R143" i="17" a="1"/>
  <c r="R143" i="17" s="1"/>
  <c r="R19" i="17" a="1"/>
  <c r="R19" i="17" s="1"/>
  <c r="R2" i="17" a="1"/>
  <c r="R2" i="17" s="1"/>
  <c r="O160" i="17" a="1"/>
  <c r="O160" i="17" s="1"/>
  <c r="Q160" i="17" s="1"/>
  <c r="W160" i="17" s="1"/>
  <c r="O65" i="17" a="1"/>
  <c r="O65" i="17" s="1"/>
  <c r="Q65" i="17" s="1"/>
  <c r="W65" i="17" s="1"/>
  <c r="O109" i="17" a="1"/>
  <c r="O109" i="17" s="1"/>
  <c r="Q109" i="17" s="1"/>
  <c r="W109" i="17" s="1"/>
  <c r="O9" i="17" a="1"/>
  <c r="O9" i="17" s="1"/>
  <c r="Q9" i="17" s="1"/>
  <c r="W9" i="17" s="1"/>
  <c r="O78" i="17" a="1"/>
  <c r="O78" i="17" s="1"/>
  <c r="Q78" i="17" s="1"/>
  <c r="W78" i="17" s="1"/>
  <c r="O137" i="17" a="1"/>
  <c r="O137" i="17" s="1"/>
  <c r="Q137" i="17" s="1"/>
  <c r="W137" i="17" s="1"/>
  <c r="O42" i="17" a="1"/>
  <c r="O42" i="17" s="1"/>
  <c r="Q42" i="17" s="1"/>
  <c r="W42" i="17" s="1"/>
  <c r="O145" i="17" a="1"/>
  <c r="O145" i="17" s="1"/>
  <c r="Q145" i="17" s="1"/>
  <c r="W145" i="17" s="1"/>
  <c r="O84" i="17" a="1"/>
  <c r="O84" i="17" s="1"/>
  <c r="Q84" i="17" s="1"/>
  <c r="W84" i="17" s="1"/>
  <c r="O143" i="17" a="1"/>
  <c r="O143" i="17" s="1"/>
  <c r="Q143" i="17" s="1"/>
  <c r="W143" i="17" s="1"/>
  <c r="O92" i="17" a="1"/>
  <c r="O92" i="17" s="1"/>
  <c r="Q92" i="17" s="1"/>
  <c r="W92" i="17" s="1"/>
  <c r="N81" i="17" a="1"/>
  <c r="N81" i="17" s="1"/>
  <c r="N140" i="17" a="1"/>
  <c r="N140" i="17" s="1"/>
  <c r="N62" i="17" a="1"/>
  <c r="N62" i="17" s="1"/>
  <c r="N79" i="17" a="1"/>
  <c r="N79" i="17" s="1"/>
  <c r="N148" i="17" a="1"/>
  <c r="N148" i="17" s="1"/>
  <c r="N50" i="17" a="1"/>
  <c r="N50" i="17" s="1"/>
  <c r="N166" i="17" a="1"/>
  <c r="N166" i="17" s="1"/>
  <c r="N39" i="17" a="1"/>
  <c r="N39" i="17" s="1"/>
  <c r="N144" i="17" a="1"/>
  <c r="N144" i="17" s="1"/>
  <c r="N24" i="17" a="1"/>
  <c r="N24" i="17" s="1"/>
  <c r="R67" i="17" a="1"/>
  <c r="R67" i="17" s="1"/>
  <c r="R90" i="17" a="1"/>
  <c r="R90" i="17" s="1"/>
  <c r="R149" i="17" a="1"/>
  <c r="R149" i="17" s="1"/>
  <c r="R128" i="17" a="1"/>
  <c r="R128" i="17" s="1"/>
  <c r="R76" i="17" a="1"/>
  <c r="R76" i="17" s="1"/>
  <c r="R145" i="17" a="1"/>
  <c r="R145" i="17" s="1"/>
  <c r="R29" i="17" a="1"/>
  <c r="R29" i="17" s="1"/>
  <c r="R113" i="17" a="1"/>
  <c r="R113" i="17" s="1"/>
  <c r="R18" i="17" a="1"/>
  <c r="R18" i="17" s="1"/>
  <c r="R82" i="17" a="1"/>
  <c r="R82" i="17" s="1"/>
  <c r="O150" i="17" a="1"/>
  <c r="O150" i="17" s="1"/>
  <c r="Q150" i="17" s="1"/>
  <c r="W150" i="17" s="1"/>
  <c r="O63" i="17" a="1"/>
  <c r="O63" i="17" s="1"/>
  <c r="Q63" i="17" s="1"/>
  <c r="W63" i="17" s="1"/>
  <c r="O168" i="17" a="1"/>
  <c r="O168" i="17" s="1"/>
  <c r="Q168" i="17" s="1"/>
  <c r="W168" i="17" s="1"/>
  <c r="O52" i="17" a="1"/>
  <c r="O52" i="17" s="1"/>
  <c r="Q52" i="17" s="1"/>
  <c r="W52" i="17" s="1"/>
  <c r="O117" i="17" a="1"/>
  <c r="O117" i="17" s="1"/>
  <c r="Q117" i="17" s="1"/>
  <c r="W117" i="17" s="1"/>
  <c r="O7" i="17" a="1"/>
  <c r="O7" i="17" s="1"/>
  <c r="Q7" i="17" s="1"/>
  <c r="W7" i="17" s="1"/>
  <c r="O41" i="17" a="1"/>
  <c r="O41" i="17" s="1"/>
  <c r="Q41" i="17" s="1"/>
  <c r="W41" i="17" s="1"/>
  <c r="O135" i="17" a="1"/>
  <c r="O135" i="17" s="1"/>
  <c r="Q135" i="17" s="1"/>
  <c r="W135" i="17" s="1"/>
  <c r="O113" i="17" a="1"/>
  <c r="O113" i="17" s="1"/>
  <c r="Q113" i="17" s="1"/>
  <c r="W113" i="17" s="1"/>
  <c r="O82" i="17" a="1"/>
  <c r="O82" i="17" s="1"/>
  <c r="Q82" i="17" s="1"/>
  <c r="W82" i="17" s="1"/>
  <c r="N171" i="17" a="1"/>
  <c r="N171" i="17" s="1"/>
  <c r="N71" i="17" a="1"/>
  <c r="N71" i="17" s="1"/>
  <c r="N59" i="17" a="1"/>
  <c r="N59" i="17" s="1"/>
  <c r="N118" i="17" a="1"/>
  <c r="N118" i="17" s="1"/>
  <c r="N146" i="17" a="1"/>
  <c r="N146" i="17" s="1"/>
  <c r="N122" i="17" a="1"/>
  <c r="N122" i="17" s="1"/>
  <c r="S84" i="17" a="1"/>
  <c r="S84" i="17" s="1"/>
  <c r="S3" i="17" a="1"/>
  <c r="S3" i="17" s="1"/>
  <c r="S72" i="17" a="1"/>
  <c r="S72" i="17" s="1"/>
  <c r="R111" i="17" a="1"/>
  <c r="R111" i="17" s="1"/>
  <c r="R11" i="17" a="1"/>
  <c r="R11" i="17" s="1"/>
  <c r="R139" i="17" a="1"/>
  <c r="R139" i="17" s="1"/>
  <c r="R54" i="17" a="1"/>
  <c r="R54" i="17" s="1"/>
  <c r="R78" i="17" a="1"/>
  <c r="R78" i="17" s="1"/>
  <c r="R41" i="17" a="1"/>
  <c r="R41" i="17" s="1"/>
  <c r="R115" i="17" a="1"/>
  <c r="R115" i="17" s="1"/>
  <c r="R3" i="17" a="1"/>
  <c r="R3" i="17" s="1"/>
  <c r="R72" i="17" a="1"/>
  <c r="R72" i="17" s="1"/>
  <c r="O61" i="17" a="1"/>
  <c r="O61" i="17" s="1"/>
  <c r="Q61" i="17" s="1"/>
  <c r="W61" i="17" s="1"/>
  <c r="O89" i="17" a="1"/>
  <c r="O89" i="17" s="1"/>
  <c r="Q89" i="17" s="1"/>
  <c r="W89" i="17" s="1"/>
  <c r="O50" i="17" a="1"/>
  <c r="O50" i="17" s="1"/>
  <c r="Q50" i="17" s="1"/>
  <c r="W50" i="17" s="1"/>
  <c r="O97" i="17" a="1"/>
  <c r="O97" i="17" s="1"/>
  <c r="Q97" i="17" s="1"/>
  <c r="W97" i="17" s="1"/>
  <c r="O166" i="17" a="1"/>
  <c r="O166" i="17" s="1"/>
  <c r="Q166" i="17" s="1"/>
  <c r="W166" i="17" s="1"/>
  <c r="O39" i="17" a="1"/>
  <c r="O39" i="17" s="1"/>
  <c r="Q39" i="17" s="1"/>
  <c r="W39" i="17" s="1"/>
  <c r="O28" i="17" a="1"/>
  <c r="O28" i="17" s="1"/>
  <c r="Q28" i="17" s="1"/>
  <c r="W28" i="17" s="1"/>
  <c r="N70" i="17" a="1"/>
  <c r="N70" i="17" s="1"/>
  <c r="N100" i="17" a="1"/>
  <c r="N100" i="17" s="1"/>
  <c r="N169" i="17" a="1"/>
  <c r="N169" i="17" s="1"/>
  <c r="N98" i="17" a="1"/>
  <c r="N98" i="17" s="1"/>
  <c r="N8" i="17" a="1"/>
  <c r="N8" i="17" s="1"/>
  <c r="N116" i="17" a="1"/>
  <c r="N116" i="17" s="1"/>
  <c r="N75" i="17" a="1"/>
  <c r="N75" i="17" s="1"/>
  <c r="N94" i="17" a="1"/>
  <c r="N94" i="17" s="1"/>
  <c r="R65" i="17" a="1"/>
  <c r="R65" i="17" s="1"/>
  <c r="R53" i="17" a="1"/>
  <c r="R53" i="17" s="1"/>
  <c r="R137" i="17" a="1"/>
  <c r="R137" i="17" s="1"/>
  <c r="R7" i="17" a="1"/>
  <c r="R7" i="17" s="1"/>
  <c r="R40" i="17" a="1"/>
  <c r="R40" i="17" s="1"/>
  <c r="R105" i="17" a="1"/>
  <c r="R105" i="17" s="1"/>
  <c r="R5" i="17" a="1"/>
  <c r="R5" i="17" s="1"/>
  <c r="R27" i="17" a="1"/>
  <c r="R27" i="17" s="1"/>
  <c r="R93" i="17" a="1"/>
  <c r="R93" i="17" s="1"/>
  <c r="R162" i="17" a="1"/>
  <c r="R162" i="17" s="1"/>
  <c r="O81" i="17" a="1"/>
  <c r="O81" i="17" s="1"/>
  <c r="Q81" i="17" s="1"/>
  <c r="W81" i="17" s="1"/>
  <c r="O148" i="17" a="1"/>
  <c r="O148" i="17" s="1"/>
  <c r="Q148" i="17" s="1"/>
  <c r="W148" i="17" s="1"/>
  <c r="O156" i="17" a="1"/>
  <c r="O156" i="17" s="1"/>
  <c r="Q156" i="17" s="1"/>
  <c r="W156" i="17" s="1"/>
  <c r="O38" i="17" a="1"/>
  <c r="O38" i="17" s="1"/>
  <c r="Q38" i="17" s="1"/>
  <c r="W38" i="17" s="1"/>
  <c r="O105" i="17" a="1"/>
  <c r="O105" i="17" s="1"/>
  <c r="Q105" i="17" s="1"/>
  <c r="W105" i="17" s="1"/>
  <c r="O164" i="17" a="1"/>
  <c r="O164" i="17" s="1"/>
  <c r="Q164" i="17" s="1"/>
  <c r="W164" i="17" s="1"/>
  <c r="O93" i="17" a="1"/>
  <c r="O93" i="17" s="1"/>
  <c r="Q93" i="17" s="1"/>
  <c r="W93" i="17" s="1"/>
  <c r="O3" i="17" a="1"/>
  <c r="O3" i="17" s="1"/>
  <c r="Q3" i="17" s="1"/>
  <c r="W3" i="17" s="1"/>
  <c r="O17" i="17" a="1"/>
  <c r="O17" i="17" s="1"/>
  <c r="Q17" i="17" s="1"/>
  <c r="W17" i="17" s="1"/>
  <c r="N130" i="17" a="1"/>
  <c r="N130" i="17" s="1"/>
  <c r="N159" i="17" a="1"/>
  <c r="N159" i="17" s="1"/>
  <c r="N128" i="17" a="1"/>
  <c r="N128" i="17" s="1"/>
  <c r="N167" i="17" a="1"/>
  <c r="N167" i="17" s="1"/>
  <c r="N106" i="17" a="1"/>
  <c r="N106" i="17" s="1"/>
  <c r="N36" i="17" a="1"/>
  <c r="N36" i="17" s="1"/>
  <c r="S16" i="17" a="1"/>
  <c r="S16" i="17" s="1"/>
  <c r="R101" i="17" a="1"/>
  <c r="R101" i="17" s="1"/>
  <c r="R119" i="17" a="1"/>
  <c r="R119" i="17" s="1"/>
  <c r="R9" i="17" a="1"/>
  <c r="R9" i="17" s="1"/>
  <c r="R39" i="17" a="1"/>
  <c r="R39" i="17" s="1"/>
  <c r="R95" i="17" a="1"/>
  <c r="R95" i="17" s="1"/>
  <c r="R123" i="17" a="1"/>
  <c r="R123" i="17" s="1"/>
  <c r="R152" i="17" a="1"/>
  <c r="R152" i="17" s="1"/>
  <c r="R17" i="17" a="1"/>
  <c r="R17" i="17" s="1"/>
  <c r="O171" i="17" a="1"/>
  <c r="O171" i="17" s="1"/>
  <c r="O71" i="17" a="1"/>
  <c r="O71" i="17" s="1"/>
  <c r="Q71" i="17" s="1"/>
  <c r="W71" i="17" s="1"/>
  <c r="O120" i="17" a="1"/>
  <c r="O120" i="17" s="1"/>
  <c r="Q120" i="17" s="1"/>
  <c r="W120" i="17" s="1"/>
  <c r="O60" i="17" a="1"/>
  <c r="O60" i="17" s="1"/>
  <c r="Q60" i="17" s="1"/>
  <c r="W60" i="17" s="1"/>
  <c r="O79" i="17" a="1"/>
  <c r="O79" i="17" s="1"/>
  <c r="Q79" i="17" s="1"/>
  <c r="W79" i="17" s="1"/>
  <c r="O49" i="17" a="1"/>
  <c r="O49" i="17" s="1"/>
  <c r="Q49" i="17" s="1"/>
  <c r="W49" i="17" s="1"/>
  <c r="O127" i="17" a="1"/>
  <c r="O127" i="17" s="1"/>
  <c r="Q127" i="17" s="1"/>
  <c r="W127" i="17" s="1"/>
  <c r="O95" i="17" a="1"/>
  <c r="O95" i="17" s="1"/>
  <c r="Q95" i="17" s="1"/>
  <c r="W95" i="17" s="1"/>
  <c r="O154" i="17" a="1"/>
  <c r="O154" i="17" s="1"/>
  <c r="Q154" i="17" s="1"/>
  <c r="W154" i="17" s="1"/>
  <c r="O27" i="17" a="1"/>
  <c r="O27" i="17" s="1"/>
  <c r="Q27" i="17" s="1"/>
  <c r="W27" i="17" s="1"/>
  <c r="N141" i="17" a="1"/>
  <c r="N141" i="17" s="1"/>
  <c r="N69" i="17" a="1"/>
  <c r="N69" i="17" s="1"/>
  <c r="N57" i="17" a="1"/>
  <c r="N57" i="17" s="1"/>
  <c r="N157" i="17" a="1"/>
  <c r="N157" i="17" s="1"/>
  <c r="N96" i="17" a="1"/>
  <c r="N96" i="17" s="1"/>
  <c r="N6" i="17" a="1"/>
  <c r="N6" i="17" s="1"/>
  <c r="N34" i="17" a="1"/>
  <c r="N34" i="17" s="1"/>
  <c r="R166" i="17" a="1"/>
  <c r="R166" i="17" s="1"/>
  <c r="R125" i="17" a="1"/>
  <c r="R125" i="17" s="1"/>
  <c r="R164" i="17" a="1"/>
  <c r="R164" i="17" s="1"/>
  <c r="R26" i="17" a="1"/>
  <c r="R26" i="17" s="1"/>
  <c r="R142" i="17" a="1"/>
  <c r="R142" i="17" s="1"/>
  <c r="R16" i="17" a="1"/>
  <c r="R16" i="17" s="1"/>
  <c r="O70" i="17" a="1"/>
  <c r="O70" i="17" s="1"/>
  <c r="Q70" i="17" s="1"/>
  <c r="W70" i="17" s="1"/>
  <c r="O110" i="17" a="1"/>
  <c r="O110" i="17" s="1"/>
  <c r="Q110" i="17" s="1"/>
  <c r="W110" i="17" s="1"/>
  <c r="O10" i="17" a="1"/>
  <c r="O10" i="17" s="1"/>
  <c r="Q10" i="17" s="1"/>
  <c r="W10" i="17" s="1"/>
  <c r="O138" i="17" a="1"/>
  <c r="O138" i="17" s="1"/>
  <c r="Q138" i="17" s="1"/>
  <c r="W138" i="17" s="1"/>
  <c r="O48" i="17" a="1"/>
  <c r="O48" i="17" s="1"/>
  <c r="Q48" i="17" s="1"/>
  <c r="W48" i="17" s="1"/>
  <c r="O87" i="17" a="1"/>
  <c r="O87" i="17" s="1"/>
  <c r="Q87" i="17" s="1"/>
  <c r="W87" i="17" s="1"/>
  <c r="O146" i="17" a="1"/>
  <c r="O146" i="17" s="1"/>
  <c r="Q146" i="17" s="1"/>
  <c r="W146" i="17" s="1"/>
  <c r="O37" i="17" a="1"/>
  <c r="O37" i="17" s="1"/>
  <c r="Q37" i="17" s="1"/>
  <c r="W37" i="17" s="1"/>
  <c r="O125" i="17" a="1"/>
  <c r="O125" i="17" s="1"/>
  <c r="Q125" i="17" s="1"/>
  <c r="W125" i="17" s="1"/>
  <c r="O123" i="17" a="1"/>
  <c r="O123" i="17" s="1"/>
  <c r="Q123" i="17" s="1"/>
  <c r="W123" i="17" s="1"/>
  <c r="O162" i="17" a="1"/>
  <c r="O162" i="17" s="1"/>
  <c r="Q162" i="17" s="1"/>
  <c r="W162" i="17" s="1"/>
  <c r="O16" i="17" a="1"/>
  <c r="O16" i="17" s="1"/>
  <c r="Q16" i="17" s="1"/>
  <c r="W16" i="17" s="1"/>
  <c r="N121" i="17" a="1"/>
  <c r="N121" i="17" s="1"/>
  <c r="N90" i="17" a="1"/>
  <c r="N90" i="17" s="1"/>
  <c r="N149" i="17" a="1"/>
  <c r="N149" i="17" s="1"/>
  <c r="N56" i="17" a="1"/>
  <c r="N56" i="17" s="1"/>
  <c r="N88" i="17" a="1"/>
  <c r="N88" i="17" s="1"/>
  <c r="N46" i="17" a="1"/>
  <c r="N46" i="17" s="1"/>
  <c r="N165" i="17" a="1"/>
  <c r="N165" i="17" s="1"/>
  <c r="N33" i="17" a="1"/>
  <c r="N33" i="17" s="1"/>
  <c r="N123" i="17" a="1"/>
  <c r="N123" i="17" s="1"/>
  <c r="N55" i="17" a="1"/>
  <c r="N55" i="17" s="1"/>
  <c r="N147" i="17" a="1"/>
  <c r="N147" i="17" s="1"/>
  <c r="N45" i="17" a="1"/>
  <c r="N45" i="17" s="1"/>
  <c r="N126" i="17" a="1"/>
  <c r="N126" i="17" s="1"/>
  <c r="Q35" i="17"/>
  <c r="W35" i="17" s="1"/>
  <c r="N113" i="17" a="1"/>
  <c r="N113" i="17" s="1"/>
  <c r="N112" i="17" a="1"/>
  <c r="N112" i="17" s="1"/>
  <c r="N14" i="17" a="1"/>
  <c r="N14" i="17" s="1"/>
  <c r="N12" i="17" a="1"/>
  <c r="N12" i="17" s="1"/>
  <c r="N2" i="17" a="1"/>
  <c r="N2" i="17" s="1"/>
  <c r="N82" i="17" a="1"/>
  <c r="N82" i="17" s="1"/>
  <c r="N163" i="17" a="1"/>
  <c r="N163" i="17" s="1"/>
  <c r="N162" i="17" a="1"/>
  <c r="N162" i="17" s="1"/>
  <c r="N72" i="17" a="1"/>
  <c r="N72" i="17" s="1"/>
  <c r="N152" i="17" a="1"/>
  <c r="N152" i="17" s="1"/>
  <c r="N17" i="17" a="1"/>
  <c r="N17" i="17" s="1"/>
  <c r="N16" i="17" a="1"/>
  <c r="N16" i="17" s="1"/>
  <c r="N136" i="17" a="1"/>
  <c r="N136" i="17" s="1"/>
  <c r="Q88" i="17" l="1"/>
  <c r="W88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rossetti\OneDrive - University of Arkansas\mydocuments\teaching\courses\simulation courses\agent based simulation\agv data\p7-13bnew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rossetti\OneDrive - University of Arkansas\mydocuments\teaching\courses\simulation courses\agent based simulation\agv data\p7-13bnew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rossetti\OneDrive - University of Arkansas\mydocuments\teaching\courses\simulation courses\agent based simulation\agv data\p7-13bnew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rossetti\OneDrive - University of Arkansas\mydocuments\teaching\courses\simulation courses\agent based simulation\agv data\p7-13bnew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rossetti\OneDrive - University of Arkansas\mydocuments\teaching\courses\simulation courses\agent based simulation\agv data\p7-13bnew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rossetti\OneDrive - University of Arkansas\mydocuments\teaching\courses\simulation courses\agent based simulation\agv data\p7-13bnew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<sst xmlns="http://schemas.openxmlformats.org/spreadsheetml/2006/main" count="5065" uniqueCount="146">
  <si>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</si>
  <si>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</si>
  <si>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</si>
  <si>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</si>
  <si>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</si>
  <si>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</si>
  <si>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</si>
  <si>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</si>
  <si>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</si>
  <si>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</si>
  <si>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</si>
  <si>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</si>
  <si>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</si>
  <si>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</si>
  <si>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</si>
  <si>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</si>
  <si>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</si>
  <si>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</si>
  <si>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</si>
  <si>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</si>
  <si>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</si>
  <si>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</si>
  <si>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</si>
  <si>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</si>
  <si>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</si>
  <si>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</si>
  <si>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</si>
  <si>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</si>
  <si>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</si>
  <si>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</si>
  <si>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</si>
  <si>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</si>
  <si>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</si>
  <si>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</si>
  <si>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</si>
  <si>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</si>
  <si>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</si>
  <si>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</si>
  <si>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</si>
  <si>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</si>
  <si>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</si>
  <si>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</si>
  <si>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</si>
  <si>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</si>
  <si>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</si>
  <si>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</si>
  <si>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</si>
  <si>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</si>
  <si>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</si>
  <si>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</si>
  <si>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</si>
  <si>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</si>
  <si>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</si>
  <si>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</si>
  <si>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</si>
  <si>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</si>
  <si>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</si>
  <si>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</si>
  <si>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</si>
  <si>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</si>
  <si>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</si>
  <si>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</si>
  <si>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</si>
  <si>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</si>
  <si>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</si>
  <si>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</si>
  <si>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</si>
  <si>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</si>
  <si>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C:\Users\rossetti\OneDrive - University of Arkansas\MyDocuments\Teaching\Courses\Simulation Courses\Agent Based Simulation\AGV Data\P7-13bNew.p</t>
  </si>
  <si>
    <t>2026-08-31 10:10:59</t>
  </si>
  <si>
    <t>Diagnostic Process.Queue</t>
  </si>
  <si>
    <t>Waiting Time</t>
  </si>
  <si>
    <t>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</si>
  <si>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</si>
  <si>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</si>
  <si>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</si>
  <si>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</si>
  <si>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</si>
  <si>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</si>
  <si>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</si>
  <si>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</si>
  <si>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ProbLTContractLimit</t>
  </si>
  <si>
    <t>Expression</t>
  </si>
  <si>
    <t>User Specified</t>
  </si>
  <si>
    <t>Repair Process.Queue</t>
  </si>
  <si>
    <t>Request Transport Worker Test 1.Queue</t>
  </si>
  <si>
    <t>Request Transport Worker at Diagnostics.Queue</t>
  </si>
  <si>
    <t>Request Transport Worker at Test 2.Queue</t>
  </si>
  <si>
    <t>Request Transport Worker at Test 3.Queue</t>
  </si>
  <si>
    <t>SystemTimeStat</t>
  </si>
  <si>
    <t>Testing Process 1.Queue</t>
  </si>
  <si>
    <t>Testing Process 2.Queue</t>
  </si>
  <si>
    <t>Testing Process 3.Queue</t>
  </si>
  <si>
    <t>Number Waiting</t>
  </si>
  <si>
    <t>DiagnosticMachine</t>
  </si>
  <si>
    <t>Instantaneous Utilization</t>
  </si>
  <si>
    <t>Resource</t>
  </si>
  <si>
    <t>Number Busy</t>
  </si>
  <si>
    <t>Number Scheduled</t>
  </si>
  <si>
    <t>DiagnosticWorker1</t>
  </si>
  <si>
    <t>DiagnosticWorker2</t>
  </si>
  <si>
    <t>WIP</t>
  </si>
  <si>
    <t>RepairWorker1</t>
  </si>
  <si>
    <t>RepairWorker2</t>
  </si>
  <si>
    <t>RepairWorker3</t>
  </si>
  <si>
    <t>TestMachine1</t>
  </si>
  <si>
    <t>TestMachine2</t>
  </si>
  <si>
    <t>TestMachine3</t>
  </si>
  <si>
    <t>TestWorker1</t>
  </si>
  <si>
    <t>TestWorker2</t>
  </si>
  <si>
    <t>TestWorker3</t>
  </si>
  <si>
    <t>TransportWorkers</t>
  </si>
  <si>
    <t>Transporter</t>
  </si>
  <si>
    <t>Utilization</t>
  </si>
  <si>
    <t>DiagnosticMachine.NumberSeized</t>
  </si>
  <si>
    <t>Total Number Seized</t>
  </si>
  <si>
    <t>DiagnosticMachine.ScheduledUtilization</t>
  </si>
  <si>
    <t>Scheduled Utilization</t>
  </si>
  <si>
    <t>DiagnosticWorker1.NumberSeized</t>
  </si>
  <si>
    <t>DiagnosticWorker1.ScheduledUtilization</t>
  </si>
  <si>
    <t>DiagnosticWorker2.NumberSeized</t>
  </si>
  <si>
    <t>DiagnosticWorker2.ScheduledUtilization</t>
  </si>
  <si>
    <t>Entity 1.NumberIn</t>
  </si>
  <si>
    <t>Number In</t>
  </si>
  <si>
    <t>Entity 1.NumberOut</t>
  </si>
  <si>
    <t>Number Out</t>
  </si>
  <si>
    <t>RepairWorker1.NumberSeized</t>
  </si>
  <si>
    <t>RepairWorker1.ScheduledUtilization</t>
  </si>
  <si>
    <t>RepairWorker2.NumberSeized</t>
  </si>
  <si>
    <t>RepairWorker2.ScheduledUtilization</t>
  </si>
  <si>
    <t>RepairWorker3.NumberSeized</t>
  </si>
  <si>
    <t>RepairWorker3.ScheduledUtilization</t>
  </si>
  <si>
    <t>System.NumberOut</t>
  </si>
  <si>
    <t>System</t>
  </si>
  <si>
    <t>TestMachine1.NumberSeized</t>
  </si>
  <si>
    <t>TestMachine1.ScheduledUtilization</t>
  </si>
  <si>
    <t>TestMachine2.NumberSeized</t>
  </si>
  <si>
    <t>TestMachine2.ScheduledUtilization</t>
  </si>
  <si>
    <t>TestMachine3.NumberSeized</t>
  </si>
  <si>
    <t>TestMachine3.ScheduledUtilization</t>
  </si>
  <si>
    <t>TestWorker1.NumberSeized</t>
  </si>
  <si>
    <t>TestWorker1.ScheduledUtilization</t>
  </si>
  <si>
    <t>TestWorker2.NumberSeized</t>
  </si>
  <si>
    <t>TestWorker2.ScheduledUtilization</t>
  </si>
  <si>
    <t>TestWorker3.NumberSeized</t>
  </si>
  <si>
    <t>TestWorker3.ScheduledUtilization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</si>
</sst>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4463541669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4463541669" createdVersion="7" refreshedVersion="8" minRefreshableVersion="3" recordCount="17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10">
        <s v="Diagnostic Process.Queue"/>
        <s v="Entity 1"/>
        <s v="ProbLTContractLimit"/>
        <s v="Repair Process.Queue"/>
        <s v="Request Transport Worker at Diagnostics.Queue"/>
        <s v="Request Transport Worker at Test 2.Queue"/>
        <s v="Request Transport Worker at Test 3.Queue"/>
        <s v="Request Transport Worker Test 1.Queue"/>
        <s v="SystemTimeStat"/>
        <s v="Testing Process 1.Queue"/>
        <s v="Testing Process 2.Queue"/>
        <s v="Testing Process 3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3">
        <s v="Waiting Time"/>
        <s v="NVA Time"/>
        <s v="Other Time"/>
        <s v="Total Time"/>
        <s v="Transfer Time"/>
        <s v="VA Time"/>
        <s v="Wait Time"/>
        <s v="Expression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373.76644480526198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93.6241633674654"/>
    </cacheField>
    <cacheField name="Maximum" numFmtId="0">
      <sharedItems containsSemiMixedTypes="0" containsString="0" containsNumber="1" minValue="0" maxValue="1654.1892179890699"/>
    </cacheField>
    <cacheField name="NumberObservations" numFmtId="0">
      <sharedItems containsSemiMixedTypes="0" containsString="0" containsNumber="1" containsInteger="1" minValue="9191" maxValue="14205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353.82556111299817"/>
    </cacheField>
    <cacheField name="StDevOfAverage" numFmtId="0">
      <sharedItems containsSemiMixedTypes="0" containsString="0" containsNumber="1" minValue="0" maxValue="12.11437579470705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8.6661023862675517"/>
    </cacheField>
    <cacheField name="MinimumAverage" numFmtId="0">
      <sharedItems containsSemiMixedTypes="0" containsString="0" containsNumber="1" minValue="0" maxValue="331.355585797689"/>
    </cacheField>
    <cacheField name="MaximumAverage" numFmtId="0">
      <sharedItems containsSemiMixedTypes="0" containsString="0" containsNumber="1" minValue="0" maxValue="373.76644480526198"/>
    </cacheField>
    <cacheField name="OverallMinimum" numFmtId="0">
      <sharedItems containsSemiMixedTypes="0" containsString="0" containsNumber="1" minValue="0" maxValue="82.055383523315001"/>
    </cacheField>
    <cacheField name="OverallMaximum" numFmtId="0">
      <sharedItems containsSemiMixedTypes="0" containsString="0" containsNumber="1" minValue="0" maxValue="1654.1892179890699"/>
    </cacheField>
    <cacheField name="AverageNumberObservations" numFmtId="0">
      <sharedItems containsSemiMixedTypes="0" containsString="0" containsNumber="1" minValue="9366.7000000000007" maxValue="14003.5"/>
    </cacheField>
    <cacheField name="SummaryHalfWidth" numFmtId="0">
      <sharedItems containsSemiMixedTypes="0" containsString="0" containsNumber="1" minValue="0" maxValue="8.6661023862675517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4463657408" createdVersion="7" refreshedVersion="8" minRefreshableVersion="3" recordCount="27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03">
        <s v="DiagnosticMachine.NumberSeized"/>
        <s v="DiagnosticMachine.ScheduledUtilization"/>
        <s v="DiagnosticWorker1.NumberSeized"/>
        <s v="DiagnosticWorker1.ScheduledUtilization"/>
        <s v="DiagnosticWorker2.NumberSeized"/>
        <s v="DiagnosticWorker2.ScheduledUtilization"/>
        <s v="Entity 1.NumberIn"/>
        <s v="Entity 1.NumberOut"/>
        <s v="RepairWorker1.NumberSeized"/>
        <s v="RepairWorker1.ScheduledUtilization"/>
        <s v="RepairWorker2.NumberSeized"/>
        <s v="RepairWorker2.ScheduledUtilization"/>
        <s v="RepairWorker3.NumberSeized"/>
        <s v="RepairWorker3.ScheduledUtilization"/>
        <s v="System.NumberOut"/>
        <s v="TestMachine1.NumberSeized"/>
        <s v="TestMachine1.ScheduledUtilization"/>
        <s v="TestMachine2.NumberSeized"/>
        <s v="TestMachine2.ScheduledUtilization"/>
        <s v="TestMachine3.NumberSeized"/>
        <s v="TestMachine3.ScheduledUtilization"/>
        <s v="TestWorker1.NumberSeized"/>
        <s v="TestWorker1.ScheduledUtilization"/>
        <s v="TestWorker2.NumberSeized"/>
        <s v="TestWorker2.ScheduledUtilization"/>
        <s v="TestWorker3.NumberSeized"/>
        <s v="TestWorker3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73378608347586405" maxValue="1420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75111586075292547" maxValue="14003.5"/>
    </cacheField>
    <cacheField name="StandardDeviation" numFmtId="0">
      <sharedItems containsSemiMixedTypes="0" containsString="0" containsNumber="1" minValue="7.1198499498994544E-3" maxValue="154.7164072316400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5.093233831135466E-3" maxValue="110.67745038012336"/>
    </cacheField>
    <cacheField name="Minimum" numFmtId="0">
      <sharedItems containsSemiMixedTypes="0" containsString="0" containsNumber="1" minValue="0.73378608347586405" maxValue="13729"/>
    </cacheField>
    <cacheField name="Maximum" numFmtId="0">
      <sharedItems containsSemiMixedTypes="0" containsString="0" containsNumber="1" minValue="0.76666045600624" maxValue="142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446388889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4463888892" createdVersion="7" refreshedVersion="8" minRefreshableVersion="3" recordCount="49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46">
        <s v="Diagnostic Process.Queue"/>
        <s v="DiagnosticMachine"/>
        <s v="DiagnosticWorker1"/>
        <s v="DiagnosticWorker2"/>
        <s v="Entity 1"/>
        <s v="Repair Process.Queue"/>
        <s v="RepairWorker1"/>
        <s v="RepairWorker2"/>
        <s v="RepairWorker3"/>
        <s v="Request Transport Worker Test 1.Queue"/>
        <s v="Request Transport Worker at Diagnostics.Queue"/>
        <s v="Request Transport Worker at Test 2.Queue"/>
        <s v="Request Transport Worker at Test 3.Queue"/>
        <s v="TestMachine1"/>
        <s v="TestMachine2"/>
        <s v="TestMachine3"/>
        <s v="TestWorker1"/>
        <s v="TestWorker2"/>
        <s v="TestWorker3"/>
        <s v="Testing Process 1.Queue"/>
        <s v="Testing Process 2.Queue"/>
        <s v="Testing Process 3.Queue"/>
        <s v="TransportWorker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8">
        <s v="Number Waiting"/>
        <s v="Instantaneous Utilization"/>
        <s v="Number Busy"/>
        <s v="Number Scheduled"/>
        <s v="WIP"/>
        <s v="Utilization"/>
        <m u="1"/>
        <s v="Levels" u="1"/>
      </sharedItems>
    </cacheField>
    <cacheField name="Source" numFmtId="0">
      <sharedItems containsBlank="1" count="6">
        <s v="Queue"/>
        <s v="Resource"/>
        <s v="Entity"/>
        <s v="Transporter"/>
        <m u="1"/>
        <s v="User Specified" u="1"/>
      </sharedItems>
    </cacheField>
    <cacheField name="Average" numFmtId="0">
      <sharedItems containsSemiMixedTypes="0" containsString="0" containsNumber="1" minValue="2.6429119389876198E-3" maxValue="18.8479471560706"/>
    </cacheField>
    <cacheField name="BatchMeansHalfWidth" numFmtId="0">
      <sharedItems containsSemiMixedTypes="0" containsString="0" containsNumber="1" minValue="2.51784950752073E-4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66"/>
    </cacheField>
    <cacheField name="LastRecordedValue" numFmtId="0">
      <sharedItems containsSemiMixedTypes="0" containsString="0" containsNumber="1" minValue="0" maxValue="2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2.8613000333574589E-3" maxValue="17.649112520714102"/>
    </cacheField>
    <cacheField name="StDevOfAverage" numFmtId="0">
      <sharedItems containsSemiMixedTypes="0" containsString="0" containsNumber="1" minValue="0" maxValue="0.7245136130661876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51828581657665529"/>
    </cacheField>
    <cacheField name="MinimumAverage" numFmtId="0">
      <sharedItems containsSemiMixedTypes="0" containsString="0" containsNumber="1" minValue="2.6429119389876198E-3" maxValue="16.327634071208799"/>
    </cacheField>
    <cacheField name="MaximumAverage" numFmtId="0">
      <sharedItems containsSemiMixedTypes="0" containsString="0" containsNumber="1" minValue="3.0552991746512601E-3" maxValue="18.8479471560706"/>
    </cacheField>
    <cacheField name="SummaryHalfWidth" numFmtId="0">
      <sharedItems containsSemiMixedTypes="0" containsString="0" containsNumber="1" minValue="0" maxValue="0.518285816576655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s v="2026-08-31 10:10:59"/>
    <n v="1"/>
    <x v="0"/>
    <x v="0"/>
    <x v="0"/>
    <n v="40.460962606576601"/>
    <n v="5.9921104456652401"/>
    <n v="0"/>
    <n v="342.40991241240403"/>
    <n v="12468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2"/>
    <x v="0"/>
    <x v="0"/>
    <x v="0"/>
    <n v="41.279571338945402"/>
    <n v="7.5654485403506699"/>
    <n v="0"/>
    <n v="368.549291035029"/>
    <n v="12489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3"/>
    <x v="0"/>
    <x v="0"/>
    <x v="0"/>
    <n v="45.9584238562989"/>
    <n v="13.510580473208099"/>
    <n v="0"/>
    <n v="587.28081555318204"/>
    <n v="12593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4"/>
    <x v="0"/>
    <x v="0"/>
    <x v="0"/>
    <n v="38.084684754805899"/>
    <n v="5.2506559134667903"/>
    <n v="0"/>
    <n v="333.64278522494698"/>
    <n v="12455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5"/>
    <x v="0"/>
    <x v="0"/>
    <x v="0"/>
    <n v="37.179436768096203"/>
    <n v="5.18012452552155"/>
    <n v="0"/>
    <n v="401.41465153619401"/>
    <n v="12444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6"/>
    <x v="0"/>
    <x v="0"/>
    <x v="0"/>
    <n v="40.5176765634166"/>
    <n v="8.2505457695928008"/>
    <n v="0"/>
    <n v="344.47149501040599"/>
    <n v="12505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7"/>
    <x v="0"/>
    <x v="0"/>
    <x v="0"/>
    <n v="35.2198892420015"/>
    <n v="4.9315769564643102"/>
    <n v="0"/>
    <n v="368.99885784054601"/>
    <n v="12489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8"/>
    <x v="0"/>
    <x v="0"/>
    <x v="0"/>
    <n v="35.842426560475403"/>
    <n v="6.0980718408995598"/>
    <n v="0"/>
    <n v="360.261256942133"/>
    <n v="12306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9"/>
    <x v="0"/>
    <x v="0"/>
    <x v="0"/>
    <n v="39.902828929597497"/>
    <n v="7.0504097343143597"/>
    <n v="0"/>
    <n v="355.86647990059998"/>
    <n v="12562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10"/>
    <x v="0"/>
    <x v="0"/>
    <x v="0"/>
    <n v="37.632020155255397"/>
    <n v="8.3684247746811007"/>
    <n v="0"/>
    <n v="333.49445565412998"/>
    <n v="12234"/>
    <s v="Unnamed ProjectDiagnostic Process.QueueWaiting TimeQueue"/>
    <n v="10"/>
    <n v="39.207792077546941"/>
    <n v="3.1397154019506459"/>
    <n v="0.95"/>
    <n v="2.246017095567856"/>
    <n v="35.2198892420015"/>
    <n v="45.9584238562989"/>
    <n v="0"/>
    <n v="587.28081555318204"/>
    <n v="12454.5"/>
    <n v="2.246017095567856"/>
    <n v="10"/>
    <n v="1"/>
  </r>
  <r>
    <x v="0"/>
    <s v="2026-08-31 10:10:59"/>
    <n v="1"/>
    <x v="1"/>
    <x v="1"/>
    <x v="1"/>
    <n v="0"/>
    <n v="0"/>
    <n v="0"/>
    <n v="0"/>
    <n v="12456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1"/>
    <x v="1"/>
    <x v="2"/>
    <x v="1"/>
    <n v="0"/>
    <n v="0"/>
    <n v="0"/>
    <n v="0"/>
    <n v="12456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1"/>
    <x v="1"/>
    <x v="3"/>
    <x v="1"/>
    <n v="353.50375397057098"/>
    <n v="27.457996223225202"/>
    <n v="85.527899649576298"/>
    <n v="1194.03300748533"/>
    <n v="12456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1"/>
    <x v="1"/>
    <x v="4"/>
    <x v="1"/>
    <n v="15.8043824702132"/>
    <n v="0.16842651727351299"/>
    <n v="4.4999999999417897"/>
    <n v="117.66060489480201"/>
    <n v="12456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1"/>
    <x v="1"/>
    <x v="5"/>
    <x v="1"/>
    <n v="132.58791045373201"/>
    <n v="3E+20"/>
    <n v="66.119406483310698"/>
    <n v="419.19778067682603"/>
    <n v="12456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1"/>
    <x v="1"/>
    <x v="6"/>
    <x v="1"/>
    <n v="205.111461046626"/>
    <n v="27.418382805500499"/>
    <n v="0"/>
    <n v="1053.7372971694299"/>
    <n v="12456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2"/>
    <x v="1"/>
    <x v="1"/>
    <x v="1"/>
    <n v="0"/>
    <n v="0"/>
    <n v="0"/>
    <n v="0"/>
    <n v="12469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2"/>
    <x v="1"/>
    <x v="2"/>
    <x v="1"/>
    <n v="0"/>
    <n v="0"/>
    <n v="0"/>
    <n v="0"/>
    <n v="12469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2"/>
    <x v="1"/>
    <x v="3"/>
    <x v="1"/>
    <n v="355.45500332422898"/>
    <n v="30.680122593966299"/>
    <n v="86.954729547898793"/>
    <n v="1131.4245030823699"/>
    <n v="12469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2"/>
    <x v="1"/>
    <x v="4"/>
    <x v="1"/>
    <n v="15.7637179515723"/>
    <n v="0.164413515707512"/>
    <n v="4.4999999999417897"/>
    <n v="109.71325538971"/>
    <n v="12469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2"/>
    <x v="1"/>
    <x v="5"/>
    <x v="1"/>
    <n v="132.49500469648299"/>
    <n v="0.60668855924060505"/>
    <n v="66.850393735483493"/>
    <n v="352.26093945535803"/>
    <n v="12469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2"/>
    <x v="1"/>
    <x v="6"/>
    <x v="1"/>
    <n v="207.19628067617501"/>
    <n v="30.642781080026701"/>
    <n v="0"/>
    <n v="991.77822305932602"/>
    <n v="12469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3"/>
    <x v="1"/>
    <x v="1"/>
    <x v="1"/>
    <n v="0"/>
    <n v="0"/>
    <n v="0"/>
    <n v="0"/>
    <n v="12584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3"/>
    <x v="1"/>
    <x v="2"/>
    <x v="1"/>
    <n v="0"/>
    <n v="0"/>
    <n v="0"/>
    <n v="0"/>
    <n v="12584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3"/>
    <x v="1"/>
    <x v="3"/>
    <x v="1"/>
    <n v="373.76644480526198"/>
    <n v="32.525676244729098"/>
    <n v="87.379050961870206"/>
    <n v="1493.98332655372"/>
    <n v="12584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3"/>
    <x v="1"/>
    <x v="4"/>
    <x v="1"/>
    <n v="15.752758147786601"/>
    <n v="0.180294189062115"/>
    <n v="4.4999999999417897"/>
    <n v="117.19883588306401"/>
    <n v="12584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3"/>
    <x v="1"/>
    <x v="5"/>
    <x v="1"/>
    <n v="132.642493547773"/>
    <n v="0.682360924938062"/>
    <n v="62.035877327984998"/>
    <n v="388.31871724236402"/>
    <n v="12584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3"/>
    <x v="1"/>
    <x v="6"/>
    <x v="1"/>
    <n v="225.371193109704"/>
    <n v="32.484695111984003"/>
    <n v="0"/>
    <n v="1334.18156601799"/>
    <n v="12584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4"/>
    <x v="1"/>
    <x v="1"/>
    <x v="1"/>
    <n v="0"/>
    <n v="0"/>
    <n v="0"/>
    <n v="0"/>
    <n v="12444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4"/>
    <x v="1"/>
    <x v="2"/>
    <x v="1"/>
    <n v="0"/>
    <n v="0"/>
    <n v="0"/>
    <n v="0"/>
    <n v="12444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4"/>
    <x v="1"/>
    <x v="3"/>
    <x v="1"/>
    <n v="346.95513491517801"/>
    <n v="25.556044289831402"/>
    <n v="93.6241633674654"/>
    <n v="1206.4613012407401"/>
    <n v="12444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4"/>
    <x v="1"/>
    <x v="4"/>
    <x v="1"/>
    <n v="15.8208544350362"/>
    <n v="0.15301521103874199"/>
    <n v="4.4999999999417897"/>
    <n v="88.542678565194393"/>
    <n v="12444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4"/>
    <x v="1"/>
    <x v="5"/>
    <x v="1"/>
    <n v="132.837532878931"/>
    <n v="0.59626219548638204"/>
    <n v="64.661268059891896"/>
    <n v="441.34949113437301"/>
    <n v="12444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4"/>
    <x v="1"/>
    <x v="6"/>
    <x v="1"/>
    <n v="198.296747601211"/>
    <n v="25.811861339535401"/>
    <n v="0"/>
    <n v="979.00599989204795"/>
    <n v="12444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5"/>
    <x v="1"/>
    <x v="1"/>
    <x v="1"/>
    <n v="0"/>
    <n v="0"/>
    <n v="0"/>
    <n v="0"/>
    <n v="12429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5"/>
    <x v="1"/>
    <x v="2"/>
    <x v="1"/>
    <n v="0"/>
    <n v="0"/>
    <n v="0"/>
    <n v="0"/>
    <n v="12429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5"/>
    <x v="1"/>
    <x v="3"/>
    <x v="1"/>
    <n v="366.16133232431599"/>
    <n v="36.139661763248803"/>
    <n v="82.589066395099493"/>
    <n v="1173.51337419264"/>
    <n v="12429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5"/>
    <x v="1"/>
    <x v="4"/>
    <x v="1"/>
    <n v="15.792499083971901"/>
    <n v="0.17361875001113"/>
    <n v="4.3333333333333304"/>
    <n v="104.904734431679"/>
    <n v="12429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5"/>
    <x v="1"/>
    <x v="5"/>
    <x v="1"/>
    <n v="131.721099744529"/>
    <n v="0.59945121282885805"/>
    <n v="64.276324530394007"/>
    <n v="395.44336346784303"/>
    <n v="12429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5"/>
    <x v="1"/>
    <x v="6"/>
    <x v="1"/>
    <n v="218.647733495816"/>
    <n v="36.304772921659399"/>
    <n v="0"/>
    <n v="1058.7908655107001"/>
    <n v="12429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6"/>
    <x v="1"/>
    <x v="1"/>
    <x v="1"/>
    <n v="0"/>
    <n v="0"/>
    <n v="0"/>
    <n v="0"/>
    <n v="12500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6"/>
    <x v="1"/>
    <x v="2"/>
    <x v="1"/>
    <n v="0"/>
    <n v="0"/>
    <n v="0"/>
    <n v="0"/>
    <n v="12500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6"/>
    <x v="1"/>
    <x v="3"/>
    <x v="1"/>
    <n v="353.87159327317403"/>
    <n v="28.715897325001301"/>
    <n v="82.860260434768904"/>
    <n v="1020.97956482487"/>
    <n v="12500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6"/>
    <x v="1"/>
    <x v="4"/>
    <x v="1"/>
    <n v="15.9003815093167"/>
    <n v="0.18368829982854501"/>
    <n v="4.4999999999417897"/>
    <n v="87.780349728614993"/>
    <n v="12500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6"/>
    <x v="1"/>
    <x v="5"/>
    <x v="1"/>
    <n v="132.58111979581199"/>
    <n v="0.85772357005823396"/>
    <n v="63.074551739555297"/>
    <n v="434.68849646954197"/>
    <n v="12500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6"/>
    <x v="1"/>
    <x v="6"/>
    <x v="1"/>
    <n v="205.390091968045"/>
    <n v="28.456634902219601"/>
    <n v="0"/>
    <n v="874.90885056302102"/>
    <n v="12500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7"/>
    <x v="1"/>
    <x v="1"/>
    <x v="1"/>
    <n v="0"/>
    <n v="0"/>
    <n v="0"/>
    <n v="0"/>
    <n v="12474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7"/>
    <x v="1"/>
    <x v="2"/>
    <x v="1"/>
    <n v="0"/>
    <n v="0"/>
    <n v="0"/>
    <n v="0"/>
    <n v="12474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7"/>
    <x v="1"/>
    <x v="3"/>
    <x v="1"/>
    <n v="356.01261901793299"/>
    <n v="27.4138435711608"/>
    <n v="90.192103649103998"/>
    <n v="1095.3487369382301"/>
    <n v="12474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7"/>
    <x v="1"/>
    <x v="4"/>
    <x v="1"/>
    <n v="15.769707335161799"/>
    <n v="0.19212509070025699"/>
    <n v="4.4999999999417897"/>
    <n v="111.710627471984"/>
    <n v="12474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7"/>
    <x v="1"/>
    <x v="5"/>
    <x v="1"/>
    <n v="132.22344754456901"/>
    <n v="0.42895898300132501"/>
    <n v="64.456831761694005"/>
    <n v="379.00566354664602"/>
    <n v="12474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7"/>
    <x v="1"/>
    <x v="6"/>
    <x v="1"/>
    <n v="208.019464138205"/>
    <n v="27.513994486867901"/>
    <n v="0"/>
    <n v="916.36925589069097"/>
    <n v="12474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8"/>
    <x v="1"/>
    <x v="1"/>
    <x v="1"/>
    <n v="0"/>
    <n v="0"/>
    <n v="0"/>
    <n v="0"/>
    <n v="12289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8"/>
    <x v="1"/>
    <x v="2"/>
    <x v="1"/>
    <n v="0"/>
    <n v="0"/>
    <n v="0"/>
    <n v="0"/>
    <n v="12289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8"/>
    <x v="1"/>
    <x v="3"/>
    <x v="1"/>
    <n v="331.355585797689"/>
    <n v="21.3465784817677"/>
    <n v="84.045845785760307"/>
    <n v="1197.1453839313899"/>
    <n v="12289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8"/>
    <x v="1"/>
    <x v="4"/>
    <x v="1"/>
    <n v="15.873251194601099"/>
    <n v="0.177593407589199"/>
    <n v="4.4999999999417897"/>
    <n v="94.783487150917594"/>
    <n v="12289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8"/>
    <x v="1"/>
    <x v="5"/>
    <x v="1"/>
    <n v="132.481937532313"/>
    <n v="0.74986419816365901"/>
    <n v="62.458543498767497"/>
    <n v="363.63312494478299"/>
    <n v="12289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8"/>
    <x v="1"/>
    <x v="6"/>
    <x v="1"/>
    <n v="183.00039707077201"/>
    <n v="21.4081499897841"/>
    <n v="0"/>
    <n v="1000.5277078031"/>
    <n v="12289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9"/>
    <x v="1"/>
    <x v="1"/>
    <x v="1"/>
    <n v="0"/>
    <n v="0"/>
    <n v="0"/>
    <n v="0"/>
    <n v="12550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9"/>
    <x v="1"/>
    <x v="2"/>
    <x v="1"/>
    <n v="0"/>
    <n v="0"/>
    <n v="0"/>
    <n v="0"/>
    <n v="12550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9"/>
    <x v="1"/>
    <x v="3"/>
    <x v="1"/>
    <n v="359.52608690435102"/>
    <n v="31.039966490587702"/>
    <n v="91.302033327403507"/>
    <n v="1438.01674155923"/>
    <n v="12550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9"/>
    <x v="1"/>
    <x v="4"/>
    <x v="1"/>
    <n v="15.783815535909"/>
    <n v="0.159876534655255"/>
    <n v="4.4999999999417897"/>
    <n v="129.82742921769699"/>
    <n v="12550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9"/>
    <x v="1"/>
    <x v="5"/>
    <x v="1"/>
    <n v="132.232561029989"/>
    <n v="0.62462371823260199"/>
    <n v="66.660195543227005"/>
    <n v="404.72482442321802"/>
    <n v="12550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9"/>
    <x v="1"/>
    <x v="6"/>
    <x v="1"/>
    <n v="211.509710338454"/>
    <n v="31.1343020070574"/>
    <n v="0"/>
    <n v="1257.72432182176"/>
    <n v="12550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10"/>
    <x v="1"/>
    <x v="1"/>
    <x v="1"/>
    <n v="0"/>
    <n v="0"/>
    <n v="0"/>
    <n v="0"/>
    <n v="12224"/>
    <s v="Unnamed ProjectEntity 1NVA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10"/>
    <x v="1"/>
    <x v="2"/>
    <x v="1"/>
    <n v="0"/>
    <n v="0"/>
    <n v="0"/>
    <n v="0"/>
    <n v="12224"/>
    <s v="Unnamed ProjectEntity 1Other TimeEntity"/>
    <n v="10"/>
    <n v="0"/>
    <n v="0"/>
    <n v="0.95"/>
    <n v="0"/>
    <n v="0"/>
    <n v="0"/>
    <n v="0"/>
    <n v="0"/>
    <n v="12441.9"/>
    <n v="0"/>
    <n v="10"/>
    <n v="1"/>
  </r>
  <r>
    <x v="0"/>
    <s v="2026-08-31 10:10:59"/>
    <n v="10"/>
    <x v="1"/>
    <x v="3"/>
    <x v="1"/>
    <n v="341.64805679727903"/>
    <n v="50.298241706221503"/>
    <n v="82.055383523315001"/>
    <n v="1654.1892179890699"/>
    <n v="12224"/>
    <s v="Unnamed ProjectEntity 1Total TimeEntity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10"/>
    <x v="1"/>
    <x v="4"/>
    <x v="1"/>
    <n v="15.994532039391199"/>
    <n v="0.203405263131792"/>
    <n v="4.4999999999417897"/>
    <n v="144.84902439031401"/>
    <n v="12224"/>
    <s v="Unnamed ProjectEntity 1Transfer TimeEntity"/>
    <n v="10"/>
    <n v="15.825589970296003"/>
    <n v="7.5993108446364879E-2"/>
    <n v="0.95"/>
    <n v="5.4362194933284765E-2"/>
    <n v="15.752758147786601"/>
    <n v="15.994532039391199"/>
    <n v="4.3333333333333304"/>
    <n v="144.84902439031401"/>
    <n v="12441.9"/>
    <n v="5.4362194933284765E-2"/>
    <n v="10"/>
    <n v="1"/>
  </r>
  <r>
    <x v="0"/>
    <s v="2026-08-31 10:10:59"/>
    <n v="10"/>
    <x v="1"/>
    <x v="5"/>
    <x v="1"/>
    <n v="132.382111381794"/>
    <n v="0.66177992908420502"/>
    <n v="60.758133538780399"/>
    <n v="423.113624589285"/>
    <n v="12224"/>
    <s v="Unnamed ProjectEntity 1VA TimeEntity"/>
    <n v="10"/>
    <n v="132.41852186059251"/>
    <n v="0.30751586336826864"/>
    <n v="0.95"/>
    <n v="0.21998359655602229"/>
    <n v="131.721099744529"/>
    <n v="132.837532878931"/>
    <n v="60.758133538780399"/>
    <n v="441.34949113437301"/>
    <n v="12441.9"/>
    <n v="0.21998359655602229"/>
    <n v="10"/>
    <n v="1"/>
  </r>
  <r>
    <x v="0"/>
    <s v="2026-08-31 10:10:59"/>
    <n v="10"/>
    <x v="1"/>
    <x v="6"/>
    <x v="1"/>
    <n v="193.27141337609601"/>
    <n v="50.0899187269141"/>
    <n v="0"/>
    <n v="1488.6130439000001"/>
    <n v="12224"/>
    <s v="Unnamed ProjectEntity 1Wait TimeEntity"/>
    <n v="10"/>
    <n v="205.58144928211041"/>
    <n v="12.114375794707056"/>
    <n v="0.95"/>
    <n v="8.6661023862675517"/>
    <n v="183.00039707077201"/>
    <n v="225.371193109704"/>
    <n v="0"/>
    <n v="1488.6130439000001"/>
    <n v="12441.9"/>
    <n v="8.6661023862675517"/>
    <n v="10"/>
    <n v="1"/>
  </r>
  <r>
    <x v="0"/>
    <s v="2026-08-31 10:10:59"/>
    <n v="1"/>
    <x v="2"/>
    <x v="7"/>
    <x v="2"/>
    <n v="0.81880218368657698"/>
    <n v="5.9476326456284999E-2"/>
    <n v="0"/>
    <n v="1"/>
    <n v="12456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2"/>
    <x v="2"/>
    <x v="7"/>
    <x v="2"/>
    <n v="0.81137220306359303"/>
    <n v="6.7076643236155697E-2"/>
    <n v="0"/>
    <n v="1"/>
    <n v="12469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3"/>
    <x v="2"/>
    <x v="7"/>
    <x v="2"/>
    <n v="0.78130959949141898"/>
    <n v="6.04666457928816E-2"/>
    <n v="0"/>
    <n v="1"/>
    <n v="12584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4"/>
    <x v="2"/>
    <x v="7"/>
    <x v="2"/>
    <n v="0.83831565413050901"/>
    <n v="5.2863274467005499E-2"/>
    <n v="0"/>
    <n v="1"/>
    <n v="12444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5"/>
    <x v="2"/>
    <x v="7"/>
    <x v="2"/>
    <n v="0.78123742859441703"/>
    <n v="7.4616857367559297E-2"/>
    <n v="0"/>
    <n v="1"/>
    <n v="12429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6"/>
    <x v="2"/>
    <x v="7"/>
    <x v="2"/>
    <n v="0.81032000000000204"/>
    <n v="6.2750524469481497E-2"/>
    <n v="0"/>
    <n v="1"/>
    <n v="12500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7"/>
    <x v="2"/>
    <x v="7"/>
    <x v="2"/>
    <n v="0.82138848805515297"/>
    <n v="5.8811547665769397E-2"/>
    <n v="0"/>
    <n v="1"/>
    <n v="12474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8"/>
    <x v="2"/>
    <x v="7"/>
    <x v="2"/>
    <n v="0.86378061681178198"/>
    <n v="4.6765013438207E-2"/>
    <n v="0"/>
    <n v="1"/>
    <n v="12289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9"/>
    <x v="2"/>
    <x v="7"/>
    <x v="2"/>
    <n v="0.81729083665338598"/>
    <n v="6.25895871838104E-2"/>
    <n v="0"/>
    <n v="1"/>
    <n v="12550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10"/>
    <x v="2"/>
    <x v="7"/>
    <x v="2"/>
    <n v="0.85487565445026403"/>
    <n v="7.5783308165250404E-2"/>
    <n v="0"/>
    <n v="1"/>
    <n v="12224"/>
    <s v="Unnamed ProjectProbLTContractLimitExpressionUser Specified"/>
    <n v="10"/>
    <n v="0.81986926649371017"/>
    <n v="2.7175711169244641E-2"/>
    <n v="0.95"/>
    <n v="1.9440332659583281E-2"/>
    <n v="0.78123742859441703"/>
    <n v="0.86378061681178198"/>
    <n v="0"/>
    <n v="1"/>
    <n v="12441.9"/>
    <n v="1.9440332659583281E-2"/>
    <n v="10"/>
    <n v="1"/>
  </r>
  <r>
    <x v="0"/>
    <s v="2026-08-31 10:10:59"/>
    <n v="1"/>
    <x v="3"/>
    <x v="0"/>
    <x v="0"/>
    <n v="26.6412489284718"/>
    <n v="7.1033202225754497"/>
    <n v="0"/>
    <n v="242.57770276211599"/>
    <n v="12459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2"/>
    <x v="3"/>
    <x v="0"/>
    <x v="0"/>
    <n v="26.951681010715799"/>
    <n v="7.2297547563449296"/>
    <n v="0"/>
    <n v="236.22675280511601"/>
    <n v="12472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3"/>
    <x v="3"/>
    <x v="0"/>
    <x v="0"/>
    <n v="27.905110029988599"/>
    <n v="6.8921202693116301"/>
    <n v="0"/>
    <n v="379.00216561589298"/>
    <n v="12585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4"/>
    <x v="3"/>
    <x v="0"/>
    <x v="0"/>
    <n v="25.0485218710668"/>
    <n v="3E+20"/>
    <n v="0"/>
    <n v="231.46556764168"/>
    <n v="12447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5"/>
    <x v="3"/>
    <x v="0"/>
    <x v="0"/>
    <n v="26.34187651089"/>
    <n v="5.6831373587025098"/>
    <n v="0"/>
    <n v="207.53811345330899"/>
    <n v="12432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6"/>
    <x v="3"/>
    <x v="0"/>
    <x v="0"/>
    <n v="22.228555294842302"/>
    <n v="3.49207943844642"/>
    <n v="0"/>
    <n v="177.616826890895"/>
    <n v="12502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7"/>
    <x v="3"/>
    <x v="0"/>
    <x v="0"/>
    <n v="25.242577566445298"/>
    <n v="5.3045573051511097"/>
    <n v="0"/>
    <n v="225.175336681685"/>
    <n v="12477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8"/>
    <x v="3"/>
    <x v="0"/>
    <x v="0"/>
    <n v="20.219114129714299"/>
    <n v="3.8235589580652198"/>
    <n v="0"/>
    <n v="188.40102674532699"/>
    <n v="12292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9"/>
    <x v="3"/>
    <x v="0"/>
    <x v="0"/>
    <n v="27.972144754713799"/>
    <n v="7.3070465579027601"/>
    <n v="0"/>
    <n v="332.43906023691699"/>
    <n v="12553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10"/>
    <x v="3"/>
    <x v="0"/>
    <x v="0"/>
    <n v="23.970082462107801"/>
    <n v="9.5874410564770898"/>
    <n v="0"/>
    <n v="322.08506914621802"/>
    <n v="12227"/>
    <s v="Unnamed ProjectRepair Process.QueueWaiting TimeQueue"/>
    <n v="10"/>
    <n v="25.252091255895653"/>
    <n v="2.5077856974855068"/>
    <n v="0.95"/>
    <n v="1.7939618173907175"/>
    <n v="20.219114129714299"/>
    <n v="27.972144754713799"/>
    <n v="0"/>
    <n v="379.00216561589298"/>
    <n v="12444.6"/>
    <n v="1.7939618173907175"/>
    <n v="10"/>
    <n v="1"/>
  </r>
  <r>
    <x v="0"/>
    <s v="2026-08-31 10:10:59"/>
    <n v="1"/>
    <x v="4"/>
    <x v="0"/>
    <x v="0"/>
    <n v="0.129434956518654"/>
    <n v="1.1801082148272199E-2"/>
    <n v="0"/>
    <n v="5.5868325634801304"/>
    <n v="12466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2"/>
    <x v="4"/>
    <x v="0"/>
    <x v="0"/>
    <n v="0.14314756151892"/>
    <n v="1.48154198920956E-2"/>
    <n v="0"/>
    <n v="5.01561619955464"/>
    <n v="12487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3"/>
    <x v="4"/>
    <x v="0"/>
    <x v="0"/>
    <n v="0.13738807505901801"/>
    <n v="9.93945484239518E-3"/>
    <n v="0"/>
    <n v="5.4095282128255304"/>
    <n v="12591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4"/>
    <x v="4"/>
    <x v="0"/>
    <x v="0"/>
    <n v="0.14350934755359199"/>
    <n v="1.06591150866837E-2"/>
    <n v="0"/>
    <n v="6.0351730465772597"/>
    <n v="12453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5"/>
    <x v="4"/>
    <x v="0"/>
    <x v="0"/>
    <n v="0.14362527886974299"/>
    <n v="9.2067976345618693E-3"/>
    <n v="0"/>
    <n v="5.5255394642590501"/>
    <n v="12442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6"/>
    <x v="4"/>
    <x v="0"/>
    <x v="0"/>
    <n v="0.142583444011294"/>
    <n v="1.08480382156522E-2"/>
    <n v="0"/>
    <n v="4.6772430074779496"/>
    <n v="12503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7"/>
    <x v="4"/>
    <x v="0"/>
    <x v="0"/>
    <n v="0.13948226702326899"/>
    <n v="1.17125911071047E-2"/>
    <n v="0"/>
    <n v="4.7389501302968702"/>
    <n v="12488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8"/>
    <x v="4"/>
    <x v="0"/>
    <x v="0"/>
    <n v="0.131815903226639"/>
    <n v="1.06036381760114E-2"/>
    <n v="0"/>
    <n v="4.4886919833661496"/>
    <n v="12305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9"/>
    <x v="4"/>
    <x v="0"/>
    <x v="0"/>
    <n v="0.14004346975462201"/>
    <n v="9.7006905349873093E-3"/>
    <n v="0"/>
    <n v="5.3247533698750003"/>
    <n v="12560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10"/>
    <x v="4"/>
    <x v="0"/>
    <x v="0"/>
    <n v="0.138944525852045"/>
    <n v="9.5579884363727503E-3"/>
    <n v="0"/>
    <n v="5.9401316914590998"/>
    <n v="12232"/>
    <s v="Unnamed ProjectRequest Transport Worker at Diagnostics.QueueWaiting TimeQueue"/>
    <n v="10"/>
    <n v="0.13899748293877962"/>
    <n v="4.930571157103633E-3"/>
    <n v="0.95"/>
    <n v="3.5271181276138549E-3"/>
    <n v="0.129434956518654"/>
    <n v="0.14362527886974299"/>
    <n v="0"/>
    <n v="6.0351730465772597"/>
    <n v="12452.7"/>
    <n v="3.5271181276138549E-3"/>
    <n v="10"/>
    <n v="1"/>
  </r>
  <r>
    <x v="0"/>
    <s v="2026-08-31 10:10:59"/>
    <n v="1"/>
    <x v="5"/>
    <x v="0"/>
    <x v="0"/>
    <n v="7.9045407998993997E-2"/>
    <n v="6.9383621746125102E-3"/>
    <n v="0"/>
    <n v="3.6370971092255799"/>
    <n v="9253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2"/>
    <x v="5"/>
    <x v="0"/>
    <x v="0"/>
    <n v="8.0818426663094203E-2"/>
    <n v="7.9201359992323393E-3"/>
    <n v="0"/>
    <n v="3.48560666225967"/>
    <n v="9436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3"/>
    <x v="5"/>
    <x v="0"/>
    <x v="0"/>
    <n v="7.7150100257278406E-2"/>
    <n v="6.9240927535886704E-3"/>
    <n v="0"/>
    <n v="5.1270063897536602"/>
    <n v="9495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4"/>
    <x v="5"/>
    <x v="0"/>
    <x v="0"/>
    <n v="7.9874741042908398E-2"/>
    <n v="6.1003706309251003E-3"/>
    <n v="0"/>
    <n v="4.2948456964222697"/>
    <n v="9519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5"/>
    <x v="5"/>
    <x v="0"/>
    <x v="0"/>
    <n v="7.3072770942536197E-2"/>
    <n v="6.24412169973604E-3"/>
    <n v="0"/>
    <n v="4.4183871805726103"/>
    <n v="9191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6"/>
    <x v="5"/>
    <x v="0"/>
    <x v="0"/>
    <n v="7.4046904071615002E-2"/>
    <n v="7.1275241187736997E-3"/>
    <n v="0"/>
    <n v="3.64195868613024"/>
    <n v="9577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7"/>
    <x v="5"/>
    <x v="0"/>
    <x v="0"/>
    <n v="7.3925748449201398E-2"/>
    <n v="6.9532317770860897E-3"/>
    <n v="0"/>
    <n v="3.8866666214016701"/>
    <n v="9359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8"/>
    <x v="5"/>
    <x v="0"/>
    <x v="0"/>
    <n v="7.4901601827616002E-2"/>
    <n v="6.2722701315331602E-3"/>
    <n v="0"/>
    <n v="3.5217962047608999"/>
    <n v="9253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9"/>
    <x v="5"/>
    <x v="0"/>
    <x v="0"/>
    <n v="7.7703879825034503E-2"/>
    <n v="6.8549138608955899E-3"/>
    <n v="0"/>
    <n v="4.8186062801978604"/>
    <n v="9389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10"/>
    <x v="5"/>
    <x v="0"/>
    <x v="0"/>
    <n v="7.1742340399272395E-2"/>
    <n v="5.7749150916657204E-3"/>
    <n v="0"/>
    <n v="4.4431338535796403"/>
    <n v="9195"/>
    <s v="Unnamed ProjectRequest Transport Worker at Test 2.QueueWaiting TimeQueue"/>
    <n v="10"/>
    <n v="7.6228192147755031E-2"/>
    <n v="3.1132423436315252E-3"/>
    <n v="0.95"/>
    <n v="2.2270794104771088E-3"/>
    <n v="7.1742340399272395E-2"/>
    <n v="8.0818426663094203E-2"/>
    <n v="0"/>
    <n v="5.1270063897536602"/>
    <n v="9366.7000000000007"/>
    <n v="2.2270794104771088E-3"/>
    <n v="10"/>
    <n v="1"/>
  </r>
  <r>
    <x v="0"/>
    <s v="2026-08-31 10:10:59"/>
    <n v="1"/>
    <x v="6"/>
    <x v="0"/>
    <x v="0"/>
    <n v="7.8697564896520106E-2"/>
    <n v="6.8932348161944296E-3"/>
    <n v="0"/>
    <n v="3.24472608999349"/>
    <n v="12462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2"/>
    <x v="6"/>
    <x v="0"/>
    <x v="0"/>
    <n v="7.8685347481564999E-2"/>
    <n v="4.5258284491513897E-3"/>
    <n v="0"/>
    <n v="3.4203804038261301"/>
    <n v="12478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3"/>
    <x v="6"/>
    <x v="0"/>
    <x v="0"/>
    <n v="8.0575203785087701E-2"/>
    <n v="7.2521467546410598E-3"/>
    <n v="0"/>
    <n v="3.2998560717969698"/>
    <n v="12589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4"/>
    <x v="6"/>
    <x v="0"/>
    <x v="0"/>
    <n v="8.7244240810121595E-2"/>
    <n v="6.9785571044804597E-3"/>
    <n v="0"/>
    <n v="3.0338080750661902"/>
    <n v="12449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5"/>
    <x v="6"/>
    <x v="0"/>
    <x v="0"/>
    <n v="8.2976529539985702E-2"/>
    <n v="6.0094507260532101E-3"/>
    <n v="0"/>
    <n v="4.4334092335702699"/>
    <n v="12438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6"/>
    <x v="6"/>
    <x v="0"/>
    <x v="0"/>
    <n v="7.9567768894977298E-2"/>
    <n v="5.5610352080727602E-3"/>
    <n v="0"/>
    <n v="3.6188094366661998"/>
    <n v="12502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7"/>
    <x v="6"/>
    <x v="0"/>
    <x v="0"/>
    <n v="7.8588375196516902E-2"/>
    <n v="6.9753271232880498E-3"/>
    <n v="0"/>
    <n v="4.3595803001408102"/>
    <n v="12480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8"/>
    <x v="6"/>
    <x v="0"/>
    <x v="0"/>
    <n v="7.5584474439310295E-2"/>
    <n v="5.3567995055484397E-3"/>
    <n v="0"/>
    <n v="3.0804780012113002"/>
    <n v="12299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9"/>
    <x v="6"/>
    <x v="0"/>
    <x v="0"/>
    <n v="8.3507817640751894E-2"/>
    <n v="6.6073001433109299E-3"/>
    <n v="0"/>
    <n v="3.8531593165680502"/>
    <n v="12557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10"/>
    <x v="6"/>
    <x v="0"/>
    <x v="0"/>
    <n v="8.0860048130915796E-2"/>
    <n v="5.0057119535952396E-3"/>
    <n v="0"/>
    <n v="3.3464792461163602"/>
    <n v="12230"/>
    <s v="Unnamed ProjectRequest Transport Worker at Test 3.QueueWaiting TimeQueue"/>
    <n v="10"/>
    <n v="8.0628737081575225E-2"/>
    <n v="3.2636380408758675E-3"/>
    <n v="0.95"/>
    <n v="2.3346660111291224E-3"/>
    <n v="7.5584474439310295E-2"/>
    <n v="8.7244240810121595E-2"/>
    <n v="0"/>
    <n v="4.4334092335702699"/>
    <n v="12448.4"/>
    <n v="2.3346660111291224E-3"/>
    <n v="10"/>
    <n v="1"/>
  </r>
  <r>
    <x v="0"/>
    <s v="2026-08-31 10:10:59"/>
    <n v="1"/>
    <x v="7"/>
    <x v="0"/>
    <x v="0"/>
    <n v="8.5695618315994398E-2"/>
    <n v="6.8265990520519999E-3"/>
    <n v="0"/>
    <n v="5.0055172938518799"/>
    <n v="14017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2"/>
    <x v="7"/>
    <x v="0"/>
    <x v="0"/>
    <n v="8.6095384590998802E-2"/>
    <n v="3E+20"/>
    <n v="0"/>
    <n v="4.9182168449933696"/>
    <n v="13979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3"/>
    <x v="7"/>
    <x v="0"/>
    <x v="0"/>
    <n v="8.5902046773397606E-2"/>
    <n v="7.2234332054493498E-3"/>
    <n v="0"/>
    <n v="5.8757957259949798"/>
    <n v="14204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4"/>
    <x v="7"/>
    <x v="0"/>
    <x v="0"/>
    <n v="8.3093859825107599E-2"/>
    <n v="6.2466956081230797E-3"/>
    <n v="0"/>
    <n v="4.9089672130212403"/>
    <n v="13996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5"/>
    <x v="7"/>
    <x v="0"/>
    <x v="0"/>
    <n v="7.8738833794348206E-2"/>
    <n v="7.0393488567293203E-3"/>
    <n v="0"/>
    <n v="4.6024304929014797"/>
    <n v="14169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6"/>
    <x v="7"/>
    <x v="0"/>
    <x v="0"/>
    <n v="8.9558937636777303E-2"/>
    <n v="6.5258717768608802E-3"/>
    <n v="0"/>
    <n v="5.4673958867060701"/>
    <n v="13958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7"/>
    <x v="7"/>
    <x v="0"/>
    <x v="0"/>
    <n v="8.4704185598601406E-2"/>
    <n v="5.67231915803548E-3"/>
    <n v="0"/>
    <n v="5.2237459896277896"/>
    <n v="14111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8"/>
    <x v="7"/>
    <x v="0"/>
    <x v="0"/>
    <n v="8.3466497970051207E-2"/>
    <n v="5.9503226102607196E-3"/>
    <n v="0"/>
    <n v="5.1160275040019796"/>
    <n v="13779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9"/>
    <x v="7"/>
    <x v="0"/>
    <x v="0"/>
    <n v="9.1983612971957507E-2"/>
    <n v="3E+20"/>
    <n v="0"/>
    <n v="5.0462168199592297"/>
    <n v="14087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10"/>
    <x v="7"/>
    <x v="0"/>
    <x v="0"/>
    <n v="8.37176725344351E-2"/>
    <n v="6.6623042227441504E-3"/>
    <n v="0"/>
    <n v="5.1985297062783502"/>
    <n v="13728"/>
    <s v="Unnamed ProjectRequest Transport Worker Test 1.QueueWaiting TimeQueue"/>
    <n v="10"/>
    <n v="8.5295665001166893E-2"/>
    <n v="3.6224162623573336E-3"/>
    <n v="0.95"/>
    <n v="2.5913204895777618E-3"/>
    <n v="7.8738833794348206E-2"/>
    <n v="9.1983612971957507E-2"/>
    <n v="0"/>
    <n v="5.8757957259949798"/>
    <n v="14002.8"/>
    <n v="2.5913204895777618E-3"/>
    <n v="10"/>
    <n v="1"/>
  </r>
  <r>
    <x v="0"/>
    <s v="2026-08-31 10:10:59"/>
    <n v="1"/>
    <x v="8"/>
    <x v="7"/>
    <x v="2"/>
    <n v="353.50375397057098"/>
    <n v="27.457996223225202"/>
    <n v="85.527899649576298"/>
    <n v="1194.03300748533"/>
    <n v="12456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2"/>
    <x v="8"/>
    <x v="7"/>
    <x v="2"/>
    <n v="355.45500332422898"/>
    <n v="30.680122593966299"/>
    <n v="86.954729547898793"/>
    <n v="1131.4245030823699"/>
    <n v="12469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3"/>
    <x v="8"/>
    <x v="7"/>
    <x v="2"/>
    <n v="373.76644480526198"/>
    <n v="32.525676244729098"/>
    <n v="87.379050961870206"/>
    <n v="1493.98332655372"/>
    <n v="12584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4"/>
    <x v="8"/>
    <x v="7"/>
    <x v="2"/>
    <n v="346.95513491517801"/>
    <n v="25.556044289831402"/>
    <n v="93.6241633674654"/>
    <n v="1206.4613012407401"/>
    <n v="12444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5"/>
    <x v="8"/>
    <x v="7"/>
    <x v="2"/>
    <n v="366.16133232431599"/>
    <n v="36.139661763248803"/>
    <n v="82.589066395099493"/>
    <n v="1173.51337419264"/>
    <n v="12429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6"/>
    <x v="8"/>
    <x v="7"/>
    <x v="2"/>
    <n v="353.87159327317403"/>
    <n v="28.715897325001301"/>
    <n v="82.860260434768904"/>
    <n v="1020.97956482487"/>
    <n v="12500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7"/>
    <x v="8"/>
    <x v="7"/>
    <x v="2"/>
    <n v="356.01261901793299"/>
    <n v="27.4138435711608"/>
    <n v="90.192103649103998"/>
    <n v="1095.3487369382301"/>
    <n v="12474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8"/>
    <x v="8"/>
    <x v="7"/>
    <x v="2"/>
    <n v="331.355585797689"/>
    <n v="21.3465784817677"/>
    <n v="84.045845785760307"/>
    <n v="1197.1453839313899"/>
    <n v="12289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9"/>
    <x v="8"/>
    <x v="7"/>
    <x v="2"/>
    <n v="359.52608690435102"/>
    <n v="31.039966490587702"/>
    <n v="91.302033327403507"/>
    <n v="1438.01674155923"/>
    <n v="12550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10"/>
    <x v="8"/>
    <x v="7"/>
    <x v="2"/>
    <n v="341.64805679727903"/>
    <n v="50.298241706221503"/>
    <n v="82.055383523315001"/>
    <n v="1654.1892179890699"/>
    <n v="12224"/>
    <s v="Unnamed ProjectSystemTimeStatExpressionUser Specified"/>
    <n v="10"/>
    <n v="353.82556111299817"/>
    <n v="11.97332326127022"/>
    <n v="0.95"/>
    <n v="8.565199482368854"/>
    <n v="331.355585797689"/>
    <n v="373.76644480526198"/>
    <n v="82.055383523315001"/>
    <n v="1654.1892179890699"/>
    <n v="12441.9"/>
    <n v="8.565199482368854"/>
    <n v="10"/>
    <n v="1"/>
  </r>
  <r>
    <x v="0"/>
    <s v="2026-08-31 10:10:59"/>
    <n v="1"/>
    <x v="9"/>
    <x v="0"/>
    <x v="0"/>
    <n v="48.069963792044199"/>
    <n v="3E+20"/>
    <n v="0"/>
    <n v="320.242170872109"/>
    <n v="14017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2"/>
    <x v="9"/>
    <x v="0"/>
    <x v="0"/>
    <n v="50.501371525181199"/>
    <n v="9.7330759310698802"/>
    <n v="0"/>
    <n v="309.757191296332"/>
    <n v="13979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3"/>
    <x v="9"/>
    <x v="0"/>
    <x v="0"/>
    <n v="61.140164693765499"/>
    <n v="11.6413906488363"/>
    <n v="0"/>
    <n v="493.31646563750098"/>
    <n v="14205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4"/>
    <x v="9"/>
    <x v="0"/>
    <x v="0"/>
    <n v="49.085633811269901"/>
    <n v="11.0448642811815"/>
    <n v="0"/>
    <n v="320.12780990876502"/>
    <n v="13997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5"/>
    <x v="9"/>
    <x v="0"/>
    <x v="0"/>
    <n v="65.916175752948106"/>
    <n v="18.7900625866449"/>
    <n v="0"/>
    <n v="514.11792190253595"/>
    <n v="14170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6"/>
    <x v="9"/>
    <x v="0"/>
    <x v="0"/>
    <n v="52.110259335601498"/>
    <n v="8.5028576458470297"/>
    <n v="0"/>
    <n v="332.20568890578602"/>
    <n v="13958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7"/>
    <x v="9"/>
    <x v="0"/>
    <x v="0"/>
    <n v="58.678790388129997"/>
    <n v="13.169719805058699"/>
    <n v="0"/>
    <n v="403.01721695045097"/>
    <n v="14112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8"/>
    <x v="9"/>
    <x v="0"/>
    <x v="0"/>
    <n v="49.017101901800203"/>
    <n v="9.4949558369674598"/>
    <n v="0"/>
    <n v="322.46923451418098"/>
    <n v="13780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9"/>
    <x v="9"/>
    <x v="0"/>
    <x v="0"/>
    <n v="49.364025813666601"/>
    <n v="9.7699382972922795"/>
    <n v="0"/>
    <n v="291.84372402016697"/>
    <n v="14088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10"/>
    <x v="9"/>
    <x v="0"/>
    <x v="0"/>
    <n v="43.495770958635802"/>
    <n v="7.6285591845454199"/>
    <n v="0"/>
    <n v="374.54917529643001"/>
    <n v="13729"/>
    <s v="Unnamed ProjectTesting Process 1.QueueWaiting TimeQueue"/>
    <n v="10"/>
    <n v="52.7379257973043"/>
    <n v="6.9179971917787419"/>
    <n v="0.95"/>
    <n v="4.9488370666245878"/>
    <n v="43.495770958635802"/>
    <n v="65.916175752948106"/>
    <n v="0"/>
    <n v="514.11792190253595"/>
    <n v="14003.5"/>
    <n v="4.9488370666245878"/>
    <n v="10"/>
    <n v="1"/>
  </r>
  <r>
    <x v="0"/>
    <s v="2026-08-31 10:10:59"/>
    <n v="1"/>
    <x v="10"/>
    <x v="0"/>
    <x v="0"/>
    <n v="40.161858336083"/>
    <n v="3E+20"/>
    <n v="0"/>
    <n v="425.61887125659302"/>
    <n v="9254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2"/>
    <x v="10"/>
    <x v="0"/>
    <x v="0"/>
    <n v="40.359182808923897"/>
    <n v="8.2134503218746797"/>
    <n v="0"/>
    <n v="296.36078363298998"/>
    <n v="9437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3"/>
    <x v="10"/>
    <x v="0"/>
    <x v="0"/>
    <n v="36.788270123744198"/>
    <n v="4.6841316924013796"/>
    <n v="0"/>
    <n v="249.224249026709"/>
    <n v="9496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4"/>
    <x v="10"/>
    <x v="0"/>
    <x v="0"/>
    <n v="43.255389147758699"/>
    <n v="7.0019244417191802"/>
    <n v="0"/>
    <n v="430.36369029829098"/>
    <n v="9520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5"/>
    <x v="10"/>
    <x v="0"/>
    <x v="0"/>
    <n v="33.696632190626602"/>
    <n v="4.1394478397408596"/>
    <n v="0"/>
    <n v="337.54866516337597"/>
    <n v="9192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6"/>
    <x v="10"/>
    <x v="0"/>
    <x v="0"/>
    <n v="45.6635730425958"/>
    <n v="7.4314895291943701"/>
    <n v="0"/>
    <n v="348.67404400469201"/>
    <n v="9577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7"/>
    <x v="10"/>
    <x v="0"/>
    <x v="0"/>
    <n v="36.8792630675892"/>
    <n v="5.2518166069236196"/>
    <n v="0"/>
    <n v="276.98333446317702"/>
    <n v="9360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8"/>
    <x v="10"/>
    <x v="0"/>
    <x v="0"/>
    <n v="36.5439094996565"/>
    <n v="5.4616062694844496"/>
    <n v="0"/>
    <n v="346.33120229117401"/>
    <n v="9254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9"/>
    <x v="10"/>
    <x v="0"/>
    <x v="0"/>
    <n v="46.257815451767698"/>
    <n v="10.914217369186099"/>
    <n v="0"/>
    <n v="379.231852158999"/>
    <n v="9390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10"/>
    <x v="10"/>
    <x v="0"/>
    <x v="0"/>
    <n v="42.9819478128043"/>
    <n v="16.457904470185401"/>
    <n v="0"/>
    <n v="509.78708232535399"/>
    <n v="9195"/>
    <s v="Unnamed ProjectTesting Process 2.QueueWaiting TimeQueue"/>
    <n v="10"/>
    <n v="40.258784148154987"/>
    <n v="4.241889231132923"/>
    <n v="0.95"/>
    <n v="3.0344647558535294"/>
    <n v="33.696632190626602"/>
    <n v="46.257815451767698"/>
    <n v="0"/>
    <n v="509.78708232535399"/>
    <n v="9367.5"/>
    <n v="3.0344647558535294"/>
    <n v="10"/>
    <n v="1"/>
  </r>
  <r>
    <x v="0"/>
    <s v="2026-08-31 10:10:59"/>
    <n v="1"/>
    <x v="11"/>
    <x v="0"/>
    <x v="0"/>
    <n v="53.684497189183404"/>
    <n v="9.7291599902386103"/>
    <n v="0"/>
    <n v="403.67661667427501"/>
    <n v="12462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2"/>
    <x v="11"/>
    <x v="0"/>
    <x v="0"/>
    <n v="51.502584345467199"/>
    <n v="9.9467744318858404"/>
    <n v="0"/>
    <n v="324.85596628941101"/>
    <n v="12479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3"/>
    <x v="11"/>
    <x v="0"/>
    <x v="0"/>
    <n v="54.325123253629499"/>
    <n v="10.3422770244663"/>
    <n v="0"/>
    <n v="355.80749085613201"/>
    <n v="12589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4"/>
    <x v="11"/>
    <x v="0"/>
    <x v="0"/>
    <n v="46.441670203951603"/>
    <n v="8.9379290368007904"/>
    <n v="0"/>
    <n v="318.91610314042202"/>
    <n v="12450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5"/>
    <x v="11"/>
    <x v="0"/>
    <x v="0"/>
    <n v="54.683770930027002"/>
    <n v="10.8691849702124"/>
    <n v="0"/>
    <n v="395.93803644589201"/>
    <n v="12439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6"/>
    <x v="11"/>
    <x v="0"/>
    <x v="0"/>
    <n v="49.061217338184903"/>
    <n v="8.9488207981760404"/>
    <n v="0"/>
    <n v="362.04924056311597"/>
    <n v="12503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7"/>
    <x v="11"/>
    <x v="0"/>
    <x v="0"/>
    <n v="53.143393892346602"/>
    <n v="10.5425232925634"/>
    <n v="0"/>
    <n v="477.98431457352098"/>
    <n v="12481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8"/>
    <x v="11"/>
    <x v="0"/>
    <x v="0"/>
    <n v="44.162725321833697"/>
    <n v="7.0861823465645299"/>
    <n v="0"/>
    <n v="400.89207025043999"/>
    <n v="12300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9"/>
    <x v="11"/>
    <x v="0"/>
    <x v="0"/>
    <n v="53.219401823506601"/>
    <n v="12.3615775576442"/>
    <n v="0"/>
    <n v="444.18521191657101"/>
    <n v="12558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  <r>
    <x v="0"/>
    <s v="2026-08-31 10:10:59"/>
    <n v="10"/>
    <x v="11"/>
    <x v="0"/>
    <x v="0"/>
    <n v="50.0840229433053"/>
    <n v="19.6088298635744"/>
    <n v="0"/>
    <n v="460.34426550147299"/>
    <n v="12231"/>
    <s v="Unnamed ProjectTesting Process 3.QueueWaiting TimeQueue"/>
    <n v="10"/>
    <n v="51.030840724143573"/>
    <n v="3.5546634027466997"/>
    <n v="0.95"/>
    <n v="2.5428530135560337"/>
    <n v="44.162725321833697"/>
    <n v="54.683770930027002"/>
    <n v="0"/>
    <n v="477.98431457352098"/>
    <n v="12449.2"/>
    <n v="2.5428530135560337"/>
    <n v="1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x v="0"/>
    <s v="2026-08-31 10:10:59"/>
    <n v="1"/>
    <x v="0"/>
    <x v="0"/>
    <x v="0"/>
    <n v="12468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1"/>
    <x v="1"/>
    <x v="1"/>
    <x v="0"/>
    <n v="0.75941584946369001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1"/>
    <x v="2"/>
    <x v="0"/>
    <x v="0"/>
    <n v="6280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1"/>
    <x v="3"/>
    <x v="1"/>
    <x v="0"/>
    <n v="0.75525335881657396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1"/>
    <x v="4"/>
    <x v="0"/>
    <x v="0"/>
    <n v="6188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1"/>
    <x v="5"/>
    <x v="1"/>
    <x v="0"/>
    <n v="0.76357834011080805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1"/>
    <x v="6"/>
    <x v="2"/>
    <x v="1"/>
    <n v="12468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1"/>
    <x v="7"/>
    <x v="3"/>
    <x v="1"/>
    <n v="12456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1"/>
    <x v="8"/>
    <x v="0"/>
    <x v="0"/>
    <n v="4153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1"/>
    <x v="9"/>
    <x v="1"/>
    <x v="0"/>
    <n v="0.86735749968503995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1"/>
    <x v="10"/>
    <x v="0"/>
    <x v="0"/>
    <n v="4142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1"/>
    <x v="11"/>
    <x v="1"/>
    <x v="0"/>
    <n v="0.86783609808824702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1"/>
    <x v="12"/>
    <x v="0"/>
    <x v="0"/>
    <n v="4164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1"/>
    <x v="13"/>
    <x v="1"/>
    <x v="0"/>
    <n v="0.86805729565568301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1"/>
    <x v="14"/>
    <x v="3"/>
    <x v="2"/>
    <n v="12456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1"/>
    <x v="15"/>
    <x v="0"/>
    <x v="0"/>
    <n v="14017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1"/>
    <x v="16"/>
    <x v="1"/>
    <x v="0"/>
    <n v="0.85147859918309698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1"/>
    <x v="17"/>
    <x v="0"/>
    <x v="0"/>
    <n v="9254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1"/>
    <x v="18"/>
    <x v="1"/>
    <x v="0"/>
    <n v="0.76726685462145205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1"/>
    <x v="19"/>
    <x v="0"/>
    <x v="0"/>
    <n v="12462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1"/>
    <x v="20"/>
    <x v="1"/>
    <x v="0"/>
    <n v="0.86517826380299301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1"/>
    <x v="21"/>
    <x v="0"/>
    <x v="0"/>
    <n v="14017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1"/>
    <x v="22"/>
    <x v="1"/>
    <x v="0"/>
    <n v="0.85147859918309698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1"/>
    <x v="23"/>
    <x v="0"/>
    <x v="0"/>
    <n v="9254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1"/>
    <x v="24"/>
    <x v="1"/>
    <x v="0"/>
    <n v="0.76726685462145205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1"/>
    <x v="25"/>
    <x v="0"/>
    <x v="0"/>
    <n v="12462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1"/>
    <x v="26"/>
    <x v="1"/>
    <x v="0"/>
    <n v="0.86517826380299301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2"/>
    <x v="0"/>
    <x v="0"/>
    <x v="0"/>
    <n v="12489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2"/>
    <x v="1"/>
    <x v="1"/>
    <x v="0"/>
    <n v="0.75485761493006198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2"/>
    <x v="2"/>
    <x v="0"/>
    <x v="0"/>
    <n v="6262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2"/>
    <x v="3"/>
    <x v="1"/>
    <x v="0"/>
    <n v="0.75299191416641997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2"/>
    <x v="4"/>
    <x v="0"/>
    <x v="0"/>
    <n v="6227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2"/>
    <x v="5"/>
    <x v="1"/>
    <x v="0"/>
    <n v="0.75672331569370899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2"/>
    <x v="6"/>
    <x v="2"/>
    <x v="1"/>
    <n v="12490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2"/>
    <x v="7"/>
    <x v="3"/>
    <x v="1"/>
    <n v="12469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2"/>
    <x v="8"/>
    <x v="0"/>
    <x v="0"/>
    <n v="4170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2"/>
    <x v="9"/>
    <x v="1"/>
    <x v="0"/>
    <n v="0.86888898753756405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2"/>
    <x v="10"/>
    <x v="0"/>
    <x v="0"/>
    <n v="4161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2"/>
    <x v="11"/>
    <x v="1"/>
    <x v="0"/>
    <n v="0.868995374026023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2"/>
    <x v="12"/>
    <x v="0"/>
    <x v="0"/>
    <n v="4141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2"/>
    <x v="13"/>
    <x v="1"/>
    <x v="0"/>
    <n v="0.86801249405049896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2"/>
    <x v="14"/>
    <x v="3"/>
    <x v="2"/>
    <n v="12469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2"/>
    <x v="15"/>
    <x v="0"/>
    <x v="0"/>
    <n v="13979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2"/>
    <x v="16"/>
    <x v="1"/>
    <x v="0"/>
    <n v="0.85145823741080795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2"/>
    <x v="17"/>
    <x v="0"/>
    <x v="0"/>
    <n v="9437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2"/>
    <x v="18"/>
    <x v="1"/>
    <x v="0"/>
    <n v="0.77941254464726095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2"/>
    <x v="19"/>
    <x v="0"/>
    <x v="0"/>
    <n v="12479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2"/>
    <x v="20"/>
    <x v="1"/>
    <x v="0"/>
    <n v="0.86416230461230104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2"/>
    <x v="21"/>
    <x v="0"/>
    <x v="0"/>
    <n v="13979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2"/>
    <x v="22"/>
    <x v="1"/>
    <x v="0"/>
    <n v="0.85145823741080795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2"/>
    <x v="23"/>
    <x v="0"/>
    <x v="0"/>
    <n v="9437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2"/>
    <x v="24"/>
    <x v="1"/>
    <x v="0"/>
    <n v="0.77941254464726095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2"/>
    <x v="25"/>
    <x v="0"/>
    <x v="0"/>
    <n v="12479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2"/>
    <x v="26"/>
    <x v="1"/>
    <x v="0"/>
    <n v="0.86416230461230104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3"/>
    <x v="0"/>
    <x v="0"/>
    <x v="0"/>
    <n v="12593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3"/>
    <x v="1"/>
    <x v="1"/>
    <x v="0"/>
    <n v="0.76817992377286104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3"/>
    <x v="2"/>
    <x v="0"/>
    <x v="0"/>
    <n v="6330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3"/>
    <x v="3"/>
    <x v="1"/>
    <x v="0"/>
    <n v="0.76666045600624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3"/>
    <x v="4"/>
    <x v="0"/>
    <x v="0"/>
    <n v="6263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3"/>
    <x v="5"/>
    <x v="1"/>
    <x v="0"/>
    <n v="0.76969939153947697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3"/>
    <x v="6"/>
    <x v="2"/>
    <x v="1"/>
    <n v="12594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3"/>
    <x v="7"/>
    <x v="3"/>
    <x v="1"/>
    <n v="12584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3"/>
    <x v="8"/>
    <x v="0"/>
    <x v="0"/>
    <n v="4202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3"/>
    <x v="9"/>
    <x v="1"/>
    <x v="0"/>
    <n v="0.87421498861245095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3"/>
    <x v="10"/>
    <x v="0"/>
    <x v="0"/>
    <n v="4199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3"/>
    <x v="11"/>
    <x v="1"/>
    <x v="0"/>
    <n v="0.87245955473986703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3"/>
    <x v="12"/>
    <x v="0"/>
    <x v="0"/>
    <n v="4184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3"/>
    <x v="13"/>
    <x v="1"/>
    <x v="0"/>
    <n v="0.87436351179675398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3"/>
    <x v="14"/>
    <x v="3"/>
    <x v="2"/>
    <n v="12584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3"/>
    <x v="15"/>
    <x v="0"/>
    <x v="0"/>
    <n v="14205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3"/>
    <x v="16"/>
    <x v="1"/>
    <x v="0"/>
    <n v="0.86586763783419696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3"/>
    <x v="17"/>
    <x v="0"/>
    <x v="0"/>
    <n v="9496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3"/>
    <x v="18"/>
    <x v="1"/>
    <x v="0"/>
    <n v="0.78350798083529505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3"/>
    <x v="19"/>
    <x v="0"/>
    <x v="0"/>
    <n v="12589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3"/>
    <x v="20"/>
    <x v="1"/>
    <x v="0"/>
    <n v="0.86808987891478295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3"/>
    <x v="21"/>
    <x v="0"/>
    <x v="0"/>
    <n v="14205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3"/>
    <x v="22"/>
    <x v="1"/>
    <x v="0"/>
    <n v="0.86586763783419696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3"/>
    <x v="23"/>
    <x v="0"/>
    <x v="0"/>
    <n v="9496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3"/>
    <x v="24"/>
    <x v="1"/>
    <x v="0"/>
    <n v="0.78350798083529505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3"/>
    <x v="25"/>
    <x v="0"/>
    <x v="0"/>
    <n v="12589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3"/>
    <x v="26"/>
    <x v="1"/>
    <x v="0"/>
    <n v="0.86808987891478295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4"/>
    <x v="0"/>
    <x v="0"/>
    <x v="0"/>
    <n v="12455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4"/>
    <x v="1"/>
    <x v="1"/>
    <x v="0"/>
    <n v="0.75707453421480597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4"/>
    <x v="2"/>
    <x v="0"/>
    <x v="0"/>
    <n v="6161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4"/>
    <x v="3"/>
    <x v="1"/>
    <x v="0"/>
    <n v="0.76045911871154104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4"/>
    <x v="4"/>
    <x v="0"/>
    <x v="0"/>
    <n v="6294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4"/>
    <x v="5"/>
    <x v="1"/>
    <x v="0"/>
    <n v="0.75368994971806902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4"/>
    <x v="6"/>
    <x v="2"/>
    <x v="1"/>
    <n v="12457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4"/>
    <x v="7"/>
    <x v="3"/>
    <x v="1"/>
    <n v="12444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4"/>
    <x v="8"/>
    <x v="0"/>
    <x v="0"/>
    <n v="4143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4"/>
    <x v="9"/>
    <x v="1"/>
    <x v="0"/>
    <n v="0.86514517310371897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4"/>
    <x v="10"/>
    <x v="0"/>
    <x v="0"/>
    <n v="4149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4"/>
    <x v="11"/>
    <x v="1"/>
    <x v="0"/>
    <n v="0.86887035143339397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4"/>
    <x v="12"/>
    <x v="0"/>
    <x v="0"/>
    <n v="4155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4"/>
    <x v="13"/>
    <x v="1"/>
    <x v="0"/>
    <n v="0.867415741625161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4"/>
    <x v="14"/>
    <x v="3"/>
    <x v="2"/>
    <n v="12444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4"/>
    <x v="15"/>
    <x v="0"/>
    <x v="0"/>
    <n v="13997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4"/>
    <x v="16"/>
    <x v="1"/>
    <x v="0"/>
    <n v="0.85550773740749397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4"/>
    <x v="17"/>
    <x v="0"/>
    <x v="0"/>
    <n v="9520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4"/>
    <x v="18"/>
    <x v="1"/>
    <x v="0"/>
    <n v="0.78574993118483905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4"/>
    <x v="19"/>
    <x v="0"/>
    <x v="0"/>
    <n v="12450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4"/>
    <x v="20"/>
    <x v="1"/>
    <x v="0"/>
    <n v="0.85552216781107904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4"/>
    <x v="21"/>
    <x v="0"/>
    <x v="0"/>
    <n v="13997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4"/>
    <x v="22"/>
    <x v="1"/>
    <x v="0"/>
    <n v="0.85550773740749397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4"/>
    <x v="23"/>
    <x v="0"/>
    <x v="0"/>
    <n v="9520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4"/>
    <x v="24"/>
    <x v="1"/>
    <x v="0"/>
    <n v="0.78574993118483905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4"/>
    <x v="25"/>
    <x v="0"/>
    <x v="0"/>
    <n v="12450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4"/>
    <x v="26"/>
    <x v="1"/>
    <x v="0"/>
    <n v="0.85552216781107904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5"/>
    <x v="0"/>
    <x v="0"/>
    <x v="0"/>
    <n v="12444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5"/>
    <x v="1"/>
    <x v="1"/>
    <x v="0"/>
    <n v="0.74524335409428599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5"/>
    <x v="2"/>
    <x v="0"/>
    <x v="0"/>
    <n v="6252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5"/>
    <x v="3"/>
    <x v="1"/>
    <x v="0"/>
    <n v="0.74716404158945904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5"/>
    <x v="4"/>
    <x v="0"/>
    <x v="0"/>
    <n v="6192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5"/>
    <x v="5"/>
    <x v="1"/>
    <x v="0"/>
    <n v="0.74332266659911195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5"/>
    <x v="6"/>
    <x v="2"/>
    <x v="1"/>
    <n v="12444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5"/>
    <x v="7"/>
    <x v="3"/>
    <x v="1"/>
    <n v="12429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5"/>
    <x v="8"/>
    <x v="0"/>
    <x v="0"/>
    <n v="4151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5"/>
    <x v="9"/>
    <x v="1"/>
    <x v="0"/>
    <n v="0.86211465144781196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5"/>
    <x v="10"/>
    <x v="0"/>
    <x v="0"/>
    <n v="4139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5"/>
    <x v="11"/>
    <x v="1"/>
    <x v="0"/>
    <n v="0.86200776630730302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5"/>
    <x v="12"/>
    <x v="0"/>
    <x v="0"/>
    <n v="4142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5"/>
    <x v="13"/>
    <x v="1"/>
    <x v="0"/>
    <n v="0.861647163681307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5"/>
    <x v="14"/>
    <x v="3"/>
    <x v="2"/>
    <n v="12429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5"/>
    <x v="15"/>
    <x v="0"/>
    <x v="0"/>
    <n v="14170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5"/>
    <x v="16"/>
    <x v="1"/>
    <x v="0"/>
    <n v="0.86369048734499199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5"/>
    <x v="17"/>
    <x v="0"/>
    <x v="0"/>
    <n v="9192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5"/>
    <x v="18"/>
    <x v="1"/>
    <x v="0"/>
    <n v="0.75864843854708297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5"/>
    <x v="19"/>
    <x v="0"/>
    <x v="0"/>
    <n v="12439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5"/>
    <x v="20"/>
    <x v="1"/>
    <x v="0"/>
    <n v="0.85209028396297504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5"/>
    <x v="21"/>
    <x v="0"/>
    <x v="0"/>
    <n v="14170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5"/>
    <x v="22"/>
    <x v="1"/>
    <x v="0"/>
    <n v="0.86369048734499199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5"/>
    <x v="23"/>
    <x v="0"/>
    <x v="0"/>
    <n v="9192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5"/>
    <x v="24"/>
    <x v="1"/>
    <x v="0"/>
    <n v="0.75864843854708297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5"/>
    <x v="25"/>
    <x v="0"/>
    <x v="0"/>
    <n v="12439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5"/>
    <x v="26"/>
    <x v="1"/>
    <x v="0"/>
    <n v="0.85209028396297504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6"/>
    <x v="0"/>
    <x v="0"/>
    <x v="0"/>
    <n v="12505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6"/>
    <x v="1"/>
    <x v="1"/>
    <x v="0"/>
    <n v="0.74965905136190403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6"/>
    <x v="2"/>
    <x v="0"/>
    <x v="0"/>
    <n v="6323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6"/>
    <x v="3"/>
    <x v="1"/>
    <x v="0"/>
    <n v="0.74471063897842105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6"/>
    <x v="4"/>
    <x v="0"/>
    <x v="0"/>
    <n v="6182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6"/>
    <x v="5"/>
    <x v="1"/>
    <x v="0"/>
    <n v="0.75460746374537901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6"/>
    <x v="6"/>
    <x v="2"/>
    <x v="1"/>
    <n v="12508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6"/>
    <x v="7"/>
    <x v="3"/>
    <x v="1"/>
    <n v="12500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6"/>
    <x v="8"/>
    <x v="0"/>
    <x v="0"/>
    <n v="4164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6"/>
    <x v="9"/>
    <x v="1"/>
    <x v="0"/>
    <n v="0.87216602172258495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6"/>
    <x v="10"/>
    <x v="0"/>
    <x v="0"/>
    <n v="4160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6"/>
    <x v="11"/>
    <x v="1"/>
    <x v="0"/>
    <n v="0.87300868153341904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6"/>
    <x v="12"/>
    <x v="0"/>
    <x v="0"/>
    <n v="4178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6"/>
    <x v="13"/>
    <x v="1"/>
    <x v="0"/>
    <n v="0.87317695175457599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6"/>
    <x v="14"/>
    <x v="3"/>
    <x v="2"/>
    <n v="12500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6"/>
    <x v="15"/>
    <x v="0"/>
    <x v="0"/>
    <n v="13958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6"/>
    <x v="16"/>
    <x v="1"/>
    <x v="0"/>
    <n v="0.853824879418559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6"/>
    <x v="17"/>
    <x v="0"/>
    <x v="0"/>
    <n v="9577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6"/>
    <x v="18"/>
    <x v="1"/>
    <x v="0"/>
    <n v="0.79252596119945096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6"/>
    <x v="19"/>
    <x v="0"/>
    <x v="0"/>
    <n v="12503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6"/>
    <x v="20"/>
    <x v="1"/>
    <x v="0"/>
    <n v="0.86288297680484805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6"/>
    <x v="21"/>
    <x v="0"/>
    <x v="0"/>
    <n v="13958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6"/>
    <x v="22"/>
    <x v="1"/>
    <x v="0"/>
    <n v="0.853824879418559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6"/>
    <x v="23"/>
    <x v="0"/>
    <x v="0"/>
    <n v="9577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6"/>
    <x v="24"/>
    <x v="1"/>
    <x v="0"/>
    <n v="0.79252596119945096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6"/>
    <x v="25"/>
    <x v="0"/>
    <x v="0"/>
    <n v="12503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6"/>
    <x v="26"/>
    <x v="1"/>
    <x v="0"/>
    <n v="0.86288297680484805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7"/>
    <x v="0"/>
    <x v="0"/>
    <x v="0"/>
    <n v="12489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7"/>
    <x v="1"/>
    <x v="1"/>
    <x v="0"/>
    <n v="0.75246506567812199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7"/>
    <x v="2"/>
    <x v="0"/>
    <x v="0"/>
    <n v="6254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7"/>
    <x v="3"/>
    <x v="1"/>
    <x v="0"/>
    <n v="0.75336591751958304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7"/>
    <x v="4"/>
    <x v="0"/>
    <x v="0"/>
    <n v="6235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7"/>
    <x v="5"/>
    <x v="1"/>
    <x v="0"/>
    <n v="0.75156421383665595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7"/>
    <x v="6"/>
    <x v="2"/>
    <x v="1"/>
    <n v="12489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7"/>
    <x v="7"/>
    <x v="3"/>
    <x v="1"/>
    <n v="12474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7"/>
    <x v="8"/>
    <x v="0"/>
    <x v="0"/>
    <n v="4151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7"/>
    <x v="9"/>
    <x v="1"/>
    <x v="0"/>
    <n v="0.86520324271807203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7"/>
    <x v="10"/>
    <x v="0"/>
    <x v="0"/>
    <n v="4159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7"/>
    <x v="11"/>
    <x v="1"/>
    <x v="0"/>
    <n v="0.86433324884785501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7"/>
    <x v="12"/>
    <x v="0"/>
    <x v="0"/>
    <n v="4167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7"/>
    <x v="13"/>
    <x v="1"/>
    <x v="0"/>
    <n v="0.86706983833653595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7"/>
    <x v="14"/>
    <x v="3"/>
    <x v="2"/>
    <n v="12474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7"/>
    <x v="15"/>
    <x v="0"/>
    <x v="0"/>
    <n v="14112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7"/>
    <x v="16"/>
    <x v="1"/>
    <x v="0"/>
    <n v="0.86051993601772503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7"/>
    <x v="17"/>
    <x v="0"/>
    <x v="0"/>
    <n v="9360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7"/>
    <x v="18"/>
    <x v="1"/>
    <x v="0"/>
    <n v="0.77453073283245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7"/>
    <x v="19"/>
    <x v="0"/>
    <x v="0"/>
    <n v="12481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7"/>
    <x v="20"/>
    <x v="1"/>
    <x v="0"/>
    <n v="0.86170103121833397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7"/>
    <x v="21"/>
    <x v="0"/>
    <x v="0"/>
    <n v="14112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7"/>
    <x v="22"/>
    <x v="1"/>
    <x v="0"/>
    <n v="0.86051993601772503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7"/>
    <x v="23"/>
    <x v="0"/>
    <x v="0"/>
    <n v="9360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7"/>
    <x v="24"/>
    <x v="1"/>
    <x v="0"/>
    <n v="0.77453073283245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7"/>
    <x v="25"/>
    <x v="0"/>
    <x v="0"/>
    <n v="12481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7"/>
    <x v="26"/>
    <x v="1"/>
    <x v="0"/>
    <n v="0.86170103121833397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8"/>
    <x v="0"/>
    <x v="0"/>
    <x v="0"/>
    <n v="12306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8"/>
    <x v="1"/>
    <x v="1"/>
    <x v="0"/>
    <n v="0.74217058052644902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8"/>
    <x v="2"/>
    <x v="0"/>
    <x v="0"/>
    <n v="6123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8"/>
    <x v="3"/>
    <x v="1"/>
    <x v="0"/>
    <n v="0.73843175708582198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8"/>
    <x v="4"/>
    <x v="0"/>
    <x v="0"/>
    <n v="6183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8"/>
    <x v="5"/>
    <x v="1"/>
    <x v="0"/>
    <n v="0.74590940396706595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8"/>
    <x v="6"/>
    <x v="2"/>
    <x v="1"/>
    <n v="12306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8"/>
    <x v="7"/>
    <x v="3"/>
    <x v="1"/>
    <n v="12289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8"/>
    <x v="8"/>
    <x v="0"/>
    <x v="0"/>
    <n v="4102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8"/>
    <x v="9"/>
    <x v="1"/>
    <x v="0"/>
    <n v="0.85730277923538301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8"/>
    <x v="10"/>
    <x v="0"/>
    <x v="0"/>
    <n v="4114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8"/>
    <x v="11"/>
    <x v="1"/>
    <x v="0"/>
    <n v="0.85550101809076895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8"/>
    <x v="12"/>
    <x v="0"/>
    <x v="0"/>
    <n v="4076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8"/>
    <x v="13"/>
    <x v="1"/>
    <x v="0"/>
    <n v="0.85510768626576406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8"/>
    <x v="14"/>
    <x v="3"/>
    <x v="2"/>
    <n v="12289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8"/>
    <x v="15"/>
    <x v="0"/>
    <x v="0"/>
    <n v="13780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8"/>
    <x v="16"/>
    <x v="1"/>
    <x v="0"/>
    <n v="0.84048036374453705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8"/>
    <x v="17"/>
    <x v="0"/>
    <x v="0"/>
    <n v="9254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8"/>
    <x v="18"/>
    <x v="1"/>
    <x v="0"/>
    <n v="0.76752965241864102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8"/>
    <x v="19"/>
    <x v="0"/>
    <x v="0"/>
    <n v="12300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8"/>
    <x v="20"/>
    <x v="1"/>
    <x v="0"/>
    <n v="0.85153212247057997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8"/>
    <x v="21"/>
    <x v="0"/>
    <x v="0"/>
    <n v="13780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8"/>
    <x v="22"/>
    <x v="1"/>
    <x v="0"/>
    <n v="0.84048036374453705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8"/>
    <x v="23"/>
    <x v="0"/>
    <x v="0"/>
    <n v="9254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8"/>
    <x v="24"/>
    <x v="1"/>
    <x v="0"/>
    <n v="0.76752965241864102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8"/>
    <x v="25"/>
    <x v="0"/>
    <x v="0"/>
    <n v="12300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8"/>
    <x v="26"/>
    <x v="1"/>
    <x v="0"/>
    <n v="0.85153212247057997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9"/>
    <x v="0"/>
    <x v="0"/>
    <x v="0"/>
    <n v="12562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9"/>
    <x v="1"/>
    <x v="1"/>
    <x v="0"/>
    <n v="0.75553585059543105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9"/>
    <x v="2"/>
    <x v="0"/>
    <x v="0"/>
    <n v="6224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9"/>
    <x v="3"/>
    <x v="1"/>
    <x v="0"/>
    <n v="0.75434550443435999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9"/>
    <x v="4"/>
    <x v="0"/>
    <x v="0"/>
    <n v="6338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9"/>
    <x v="5"/>
    <x v="1"/>
    <x v="0"/>
    <n v="0.75672619675650699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9"/>
    <x v="6"/>
    <x v="2"/>
    <x v="1"/>
    <n v="12563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9"/>
    <x v="7"/>
    <x v="3"/>
    <x v="1"/>
    <n v="12550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9"/>
    <x v="8"/>
    <x v="0"/>
    <x v="0"/>
    <n v="4198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9"/>
    <x v="9"/>
    <x v="1"/>
    <x v="0"/>
    <n v="0.87632698102425799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9"/>
    <x v="10"/>
    <x v="0"/>
    <x v="0"/>
    <n v="4182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9"/>
    <x v="11"/>
    <x v="1"/>
    <x v="0"/>
    <n v="0.872966031274238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9"/>
    <x v="12"/>
    <x v="0"/>
    <x v="0"/>
    <n v="4173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9"/>
    <x v="13"/>
    <x v="1"/>
    <x v="0"/>
    <n v="0.87049911855662898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9"/>
    <x v="14"/>
    <x v="3"/>
    <x v="2"/>
    <n v="12550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9"/>
    <x v="15"/>
    <x v="0"/>
    <x v="0"/>
    <n v="14088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9"/>
    <x v="16"/>
    <x v="1"/>
    <x v="0"/>
    <n v="0.85796950456786103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9"/>
    <x v="17"/>
    <x v="0"/>
    <x v="0"/>
    <n v="9390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9"/>
    <x v="18"/>
    <x v="1"/>
    <x v="0"/>
    <n v="0.77980236616475795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9"/>
    <x v="19"/>
    <x v="0"/>
    <x v="0"/>
    <n v="12558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9"/>
    <x v="20"/>
    <x v="1"/>
    <x v="0"/>
    <n v="0.87000527345659695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9"/>
    <x v="21"/>
    <x v="0"/>
    <x v="0"/>
    <n v="14088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9"/>
    <x v="22"/>
    <x v="1"/>
    <x v="0"/>
    <n v="0.85796950456786103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9"/>
    <x v="23"/>
    <x v="0"/>
    <x v="0"/>
    <n v="9390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9"/>
    <x v="24"/>
    <x v="1"/>
    <x v="0"/>
    <n v="0.77980236616475795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9"/>
    <x v="25"/>
    <x v="0"/>
    <x v="0"/>
    <n v="12558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9"/>
    <x v="26"/>
    <x v="1"/>
    <x v="0"/>
    <n v="0.87000527345659695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10"/>
    <x v="0"/>
    <x v="0"/>
    <x v="0"/>
    <n v="12234"/>
    <n v="0"/>
    <s v="Unnamed ProjectDiagnosticMachine.NumberSeizedTotal Number SeizedResource"/>
    <n v="10"/>
    <n v="12454.5"/>
    <n v="108.84979456929526"/>
    <n v="0.95"/>
    <n v="77.866452258633501"/>
    <n v="12234"/>
    <n v="12593"/>
  </r>
  <r>
    <x v="0"/>
    <s v="2026-08-31 10:10:59"/>
    <n v="10"/>
    <x v="1"/>
    <x v="1"/>
    <x v="0"/>
    <n v="0.73578099184835299"/>
    <n v="0"/>
    <s v="Unnamed ProjectDiagnosticMachine.ScheduledUtilizationScheduled UtilizationResource"/>
    <n v="10"/>
    <n v="0.75203828164859643"/>
    <n v="9.2748854731057942E-3"/>
    <n v="0.95"/>
    <n v="6.6348533752732253E-3"/>
    <n v="0.73578099184835299"/>
    <n v="0.76817992377286104"/>
  </r>
  <r>
    <x v="0"/>
    <s v="2026-08-31 10:10:59"/>
    <n v="10"/>
    <x v="2"/>
    <x v="0"/>
    <x v="0"/>
    <n v="6030"/>
    <n v="0"/>
    <s v="Unnamed ProjectDiagnosticWorker1.NumberSeizedTotal Number SeizedResource"/>
    <n v="10"/>
    <n v="6223.9"/>
    <n v="93.753162909608307"/>
    <n v="0.95"/>
    <n v="67.066972543981066"/>
    <n v="6030"/>
    <n v="6330"/>
  </r>
  <r>
    <x v="0"/>
    <s v="2026-08-31 10:10:59"/>
    <n v="10"/>
    <x v="3"/>
    <x v="1"/>
    <x v="0"/>
    <n v="0.73777590022083495"/>
    <n v="0"/>
    <s v="Unnamed ProjectDiagnosticWorker1.ScheduledUtilizationScheduled UtilizationResource"/>
    <n v="10"/>
    <n v="0.75111586075292547"/>
    <n v="9.1926752531366566E-3"/>
    <n v="0.95"/>
    <n v="6.5760437266769349E-3"/>
    <n v="0.73777590022083495"/>
    <n v="0.76666045600624"/>
  </r>
  <r>
    <x v="0"/>
    <s v="2026-08-31 10:10:59"/>
    <n v="10"/>
    <x v="4"/>
    <x v="0"/>
    <x v="0"/>
    <n v="6204"/>
    <n v="0"/>
    <s v="Unnamed ProjectDiagnosticWorker2.NumberSeizedTotal Number SeizedResource"/>
    <n v="10"/>
    <n v="6230.6"/>
    <n v="52.995177977707456"/>
    <n v="0.95"/>
    <n v="37.910466549497514"/>
    <n v="6182"/>
    <n v="6338"/>
  </r>
  <r>
    <x v="0"/>
    <s v="2026-08-31 10:10:59"/>
    <n v="10"/>
    <x v="5"/>
    <x v="1"/>
    <x v="0"/>
    <n v="0.73378608347586405"/>
    <n v="0"/>
    <s v="Unnamed ProjectDiagnosticWorker2.ScheduledUtilizationScheduled UtilizationResource"/>
    <n v="10"/>
    <n v="0.75296070254426462"/>
    <n v="1.0201996050203582E-2"/>
    <n v="0.95"/>
    <n v="7.298068329198576E-3"/>
    <n v="0.73378608347586405"/>
    <n v="0.76969939153947697"/>
  </r>
  <r>
    <x v="0"/>
    <s v="2026-08-31 10:10:59"/>
    <n v="10"/>
    <x v="6"/>
    <x v="2"/>
    <x v="1"/>
    <n v="12234"/>
    <n v="0"/>
    <s v="Unnamed ProjectEntity 1.NumberInNumber InEntity"/>
    <n v="10"/>
    <n v="12455.3"/>
    <n v="109.29577606964813"/>
    <n v="0.95"/>
    <n v="78.185488204846095"/>
    <n v="12234"/>
    <n v="12594"/>
  </r>
  <r>
    <x v="0"/>
    <s v="2026-08-31 10:10:59"/>
    <n v="10"/>
    <x v="7"/>
    <x v="3"/>
    <x v="1"/>
    <n v="12224"/>
    <n v="0"/>
    <s v="Unnamed ProjectEntity 1.NumberOutNumber OutEntity"/>
    <n v="10"/>
    <n v="12441.9"/>
    <n v="109.66965548105516"/>
    <n v="0.95"/>
    <n v="78.452945423796365"/>
    <n v="12224"/>
    <n v="12584"/>
  </r>
  <r>
    <x v="0"/>
    <s v="2026-08-31 10:10:59"/>
    <n v="10"/>
    <x v="8"/>
    <x v="0"/>
    <x v="0"/>
    <n v="4077"/>
    <n v="0"/>
    <s v="Unnamed ProjectRepairWorker1.NumberSeizedTotal Number SeizedResource"/>
    <n v="10"/>
    <n v="4151.1000000000004"/>
    <n v="38.420046850570081"/>
    <n v="0.95"/>
    <n v="27.48404584227179"/>
    <n v="4077"/>
    <n v="4202"/>
  </r>
  <r>
    <x v="0"/>
    <s v="2026-08-31 10:10:59"/>
    <n v="10"/>
    <x v="9"/>
    <x v="1"/>
    <x v="0"/>
    <n v="0.85300206766602205"/>
    <n v="0"/>
    <s v="Unnamed ProjectRepairWorker1.ScheduledUtilizationScheduled UtilizationResource"/>
    <n v="10"/>
    <n v="0.86617223927529052"/>
    <n v="7.3264677567561349E-3"/>
    <n v="0.95"/>
    <n v="5.2410393061669046E-3"/>
    <n v="0.85300206766602205"/>
    <n v="0.87632698102425799"/>
  </r>
  <r>
    <x v="0"/>
    <s v="2026-08-31 10:10:59"/>
    <n v="10"/>
    <x v="10"/>
    <x v="0"/>
    <x v="0"/>
    <n v="4072"/>
    <n v="0"/>
    <s v="Unnamed ProjectRepairWorker2.NumberSeizedTotal Number SeizedResource"/>
    <n v="10"/>
    <n v="4147.7"/>
    <n v="35.339779286237771"/>
    <n v="0.95"/>
    <n v="25.280555167889236"/>
    <n v="4072"/>
    <n v="4199"/>
  </r>
  <r>
    <x v="0"/>
    <s v="2026-08-31 10:10:59"/>
    <n v="10"/>
    <x v="11"/>
    <x v="1"/>
    <x v="0"/>
    <n v="0.85267322894137698"/>
    <n v="0"/>
    <s v="Unnamed ProjectRepairWorker2.ScheduledUtilizationScheduled UtilizationResource"/>
    <n v="10"/>
    <n v="0.86586513532824916"/>
    <n v="7.1981559947843117E-3"/>
    <n v="0.95"/>
    <n v="5.1492506011230968E-3"/>
    <n v="0.85267322894137698"/>
    <n v="0.87300868153341904"/>
  </r>
  <r>
    <x v="0"/>
    <s v="2026-08-31 10:10:59"/>
    <n v="10"/>
    <x v="12"/>
    <x v="0"/>
    <x v="0"/>
    <n v="4078"/>
    <n v="0"/>
    <s v="Unnamed ProjectRepairWorker3.NumberSeizedTotal Number SeizedResource"/>
    <n v="10"/>
    <n v="4145.8"/>
    <n v="38.883872692358665"/>
    <n v="0.95"/>
    <n v="27.81584686136291"/>
    <n v="4076"/>
    <n v="4184"/>
  </r>
  <r>
    <x v="0"/>
    <s v="2026-08-31 10:10:59"/>
    <n v="10"/>
    <x v="13"/>
    <x v="1"/>
    <x v="0"/>
    <n v="0.85312589705184705"/>
    <n v="0"/>
    <s v="Unnamed ProjectRepairWorker3.ScheduledUtilizationScheduled UtilizationResource"/>
    <n v="10"/>
    <n v="0.86584756987747569"/>
    <n v="7.1198499498994544E-3"/>
    <n v="0.95"/>
    <n v="5.093233831135466E-3"/>
    <n v="0.85312589705184705"/>
    <n v="0.87436351179675398"/>
  </r>
  <r>
    <x v="0"/>
    <s v="2026-08-31 10:10:59"/>
    <n v="10"/>
    <x v="14"/>
    <x v="3"/>
    <x v="2"/>
    <n v="12224"/>
    <n v="0"/>
    <s v="Unnamed ProjectSystem.NumberOutNumber OutSystem"/>
    <n v="10"/>
    <n v="12441.9"/>
    <n v="109.66965548105516"/>
    <n v="0.95"/>
    <n v="78.452945423796365"/>
    <n v="12224"/>
    <n v="12584"/>
  </r>
  <r>
    <x v="0"/>
    <s v="2026-08-31 10:10:59"/>
    <n v="10"/>
    <x v="15"/>
    <x v="0"/>
    <x v="0"/>
    <n v="13729"/>
    <n v="0"/>
    <s v="Unnamed ProjectTestMachine1.NumberSeizedTotal Number SeizedResource"/>
    <n v="10"/>
    <n v="14003.5"/>
    <n v="154.71640723164001"/>
    <n v="0.95"/>
    <n v="110.67745038012336"/>
    <n v="13729"/>
    <n v="14205"/>
  </r>
  <r>
    <x v="0"/>
    <s v="2026-08-31 10:10:59"/>
    <n v="10"/>
    <x v="16"/>
    <x v="1"/>
    <x v="0"/>
    <n v="0.83618943731414597"/>
    <n v="0"/>
    <s v="Unnamed ProjectTestMachine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10"/>
    <x v="17"/>
    <x v="0"/>
    <x v="0"/>
    <n v="9195"/>
    <n v="0"/>
    <s v="Unnamed ProjectTestMachine2.NumberSeizedTotal Number SeizedResource"/>
    <n v="10"/>
    <n v="9367.5"/>
    <n v="139.5916664179253"/>
    <n v="0.95"/>
    <n v="99.857862588016175"/>
    <n v="9192"/>
    <n v="9577"/>
  </r>
  <r>
    <x v="0"/>
    <s v="2026-08-31 10:10:59"/>
    <n v="10"/>
    <x v="18"/>
    <x v="1"/>
    <x v="0"/>
    <n v="0.76103833180625302"/>
    <n v="0"/>
    <s v="Unnamed ProjectTestMachine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10"/>
    <x v="19"/>
    <x v="0"/>
    <x v="0"/>
    <n v="12231"/>
    <n v="0"/>
    <s v="Unnamed ProjectTestMachine3.NumberSeizedTotal Number SeizedResource"/>
    <n v="10"/>
    <n v="12449.2"/>
    <n v="108.68691017985765"/>
    <n v="0.95"/>
    <n v="77.749931785774507"/>
    <n v="12231"/>
    <n v="12589"/>
  </r>
  <r>
    <x v="0"/>
    <s v="2026-08-31 10:10:59"/>
    <n v="10"/>
    <x v="20"/>
    <x v="1"/>
    <x v="0"/>
    <n v="0.84465777371794004"/>
    <n v="0"/>
    <s v="Unnamed ProjectTestMachine3.ScheduledUtilizationScheduled UtilizationResource"/>
    <n v="10"/>
    <n v="0.85958220767724303"/>
    <n v="8.2249879280646958E-3"/>
    <n v="0.95"/>
    <n v="5.8838019158664288E-3"/>
    <n v="0.84465777371794004"/>
    <n v="0.87000527345659695"/>
  </r>
  <r>
    <x v="0"/>
    <s v="2026-08-31 10:10:59"/>
    <n v="10"/>
    <x v="21"/>
    <x v="0"/>
    <x v="0"/>
    <n v="13729"/>
    <n v="0"/>
    <s v="Unnamed ProjectTestWorker1.NumberSeizedTotal Number SeizedResource"/>
    <n v="10"/>
    <n v="14003.5"/>
    <n v="154.71640723164001"/>
    <n v="0.95"/>
    <n v="110.67745038012336"/>
    <n v="13729"/>
    <n v="14205"/>
  </r>
  <r>
    <x v="0"/>
    <s v="2026-08-31 10:10:59"/>
    <n v="10"/>
    <x v="22"/>
    <x v="1"/>
    <x v="0"/>
    <n v="0.83618943731414597"/>
    <n v="0"/>
    <s v="Unnamed ProjectTestWorker1.ScheduledUtilizationScheduled UtilizationResource"/>
    <n v="10"/>
    <n v="0.85369868202434152"/>
    <n v="9.4705605009894993E-3"/>
    <n v="0.95"/>
    <n v="6.774830857795836E-3"/>
    <n v="0.83618943731414597"/>
    <n v="0.86586763783419696"/>
  </r>
  <r>
    <x v="0"/>
    <s v="2026-08-31 10:10:59"/>
    <n v="10"/>
    <x v="23"/>
    <x v="0"/>
    <x v="0"/>
    <n v="9195"/>
    <n v="0"/>
    <s v="Unnamed ProjectTestWorker2.NumberSeizedTotal Number SeizedResource"/>
    <n v="10"/>
    <n v="9367.5"/>
    <n v="139.5916664179253"/>
    <n v="0.95"/>
    <n v="99.857862588016175"/>
    <n v="9192"/>
    <n v="9577"/>
  </r>
  <r>
    <x v="0"/>
    <s v="2026-08-31 10:10:59"/>
    <n v="10"/>
    <x v="24"/>
    <x v="1"/>
    <x v="0"/>
    <n v="0.76103833180625302"/>
    <n v="0"/>
    <s v="Unnamed ProjectTestWorker2.ScheduledUtilizationScheduled UtilizationResource"/>
    <n v="10"/>
    <n v="0.77500127942574837"/>
    <n v="1.1134375758682289E-2"/>
    <n v="0.95"/>
    <n v="7.9650525926457348E-3"/>
    <n v="0.75864843854708297"/>
    <n v="0.79252596119945096"/>
  </r>
  <r>
    <x v="0"/>
    <s v="2026-08-31 10:10:59"/>
    <n v="10"/>
    <x v="25"/>
    <x v="0"/>
    <x v="0"/>
    <n v="12231"/>
    <n v="0"/>
    <s v="Unnamed ProjectTestWorker3.NumberSeizedTotal Number SeizedResource"/>
    <n v="10"/>
    <n v="12449.2"/>
    <n v="108.68691017985765"/>
    <n v="0.95"/>
    <n v="77.749931785774507"/>
    <n v="12231"/>
    <n v="12589"/>
  </r>
  <r>
    <x v="0"/>
    <s v="2026-08-31 10:10:59"/>
    <n v="10"/>
    <x v="26"/>
    <x v="1"/>
    <x v="0"/>
    <n v="0.84465777371794004"/>
    <n v="0"/>
    <s v="Unnamed ProjectTestWorker3.ScheduledUtilizationScheduled UtilizationResource"/>
    <n v="10"/>
    <n v="0.85958220767724303"/>
    <n v="8.2249879280646958E-3"/>
    <n v="0.95"/>
    <n v="5.8838019158664288E-3"/>
    <n v="0.84465777371794004"/>
    <n v="0.870005273456596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0">
  <r>
    <x v="0"/>
    <s v="2026-08-31 10:10:59"/>
    <n v="1"/>
    <x v="0"/>
    <x v="0"/>
    <x v="0"/>
    <n v="2.0211028917419802"/>
    <n v="0.338120297242403"/>
    <n v="0"/>
    <n v="23"/>
    <n v="0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1"/>
    <x v="1"/>
    <x v="1"/>
    <x v="1"/>
    <n v="0.75941584946369001"/>
    <n v="2.0359426678004399E-2"/>
    <n v="0"/>
    <n v="1"/>
    <n v="1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1"/>
    <x v="1"/>
    <x v="2"/>
    <x v="1"/>
    <n v="1.51883169892738"/>
    <n v="4.0718853356008902E-2"/>
    <n v="0"/>
    <n v="2"/>
    <n v="2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1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1"/>
    <x v="2"/>
    <x v="1"/>
    <x v="1"/>
    <n v="0.75525335881657396"/>
    <n v="1.9265279145478799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1"/>
    <x v="2"/>
    <x v="2"/>
    <x v="1"/>
    <n v="0.75525335881657396"/>
    <n v="1.9265279145478799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1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1"/>
    <x v="3"/>
    <x v="1"/>
    <x v="1"/>
    <n v="0.76357834011080805"/>
    <n v="2.2356506484216599E-2"/>
    <n v="0"/>
    <n v="1"/>
    <n v="1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1"/>
    <x v="3"/>
    <x v="2"/>
    <x v="1"/>
    <n v="0.76357834011080805"/>
    <n v="2.2356506484216599E-2"/>
    <n v="0"/>
    <n v="1"/>
    <n v="1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1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1"/>
    <x v="4"/>
    <x v="4"/>
    <x v="2"/>
    <n v="17.647065796092701"/>
    <n v="1.5775703490400199"/>
    <n v="0"/>
    <n v="48"/>
    <n v="12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1"/>
    <x v="5"/>
    <x v="0"/>
    <x v="0"/>
    <n v="1.32982099519163"/>
    <n v="3E+20"/>
    <n v="0"/>
    <n v="14"/>
    <n v="0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1"/>
    <x v="6"/>
    <x v="1"/>
    <x v="1"/>
    <n v="0.86735749968503995"/>
    <n v="1.35805330603368E-2"/>
    <n v="0"/>
    <n v="1"/>
    <n v="1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1"/>
    <x v="6"/>
    <x v="2"/>
    <x v="1"/>
    <n v="0.86735749968503995"/>
    <n v="1.35805330603368E-2"/>
    <n v="0"/>
    <n v="1"/>
    <n v="1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1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1"/>
    <x v="7"/>
    <x v="1"/>
    <x v="1"/>
    <n v="0.86783609808824702"/>
    <n v="1.44483638969191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1"/>
    <x v="7"/>
    <x v="2"/>
    <x v="1"/>
    <n v="0.86783609808824702"/>
    <n v="1.44483638969191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1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1"/>
    <x v="8"/>
    <x v="1"/>
    <x v="1"/>
    <n v="0.86805729565568301"/>
    <n v="1.5099005869112701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1"/>
    <x v="8"/>
    <x v="2"/>
    <x v="1"/>
    <n v="0.86805729565568301"/>
    <n v="1.5099005869112701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1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1"/>
    <x v="9"/>
    <x v="0"/>
    <x v="0"/>
    <n v="4.8124818987792398E-3"/>
    <n v="4.1854916754314E-4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1"/>
    <x v="10"/>
    <x v="0"/>
    <x v="0"/>
    <n v="6.4644878524100302E-3"/>
    <n v="6.1880467962316995E-4"/>
    <n v="0"/>
    <n v="4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1"/>
    <x v="11"/>
    <x v="0"/>
    <x v="0"/>
    <n v="2.9303171482960399E-3"/>
    <n v="3.0146851934360203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1"/>
    <x v="12"/>
    <x v="0"/>
    <x v="0"/>
    <n v="3.92920293966519E-3"/>
    <n v="3.8883040335477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1"/>
    <x v="13"/>
    <x v="1"/>
    <x v="1"/>
    <n v="0.85147859918309698"/>
    <n v="2.15229953898552E-2"/>
    <n v="0"/>
    <n v="1"/>
    <n v="0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1"/>
    <x v="13"/>
    <x v="2"/>
    <x v="1"/>
    <n v="0.85147859918309698"/>
    <n v="2.15229953898552E-2"/>
    <n v="0"/>
    <n v="1"/>
    <n v="0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1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1"/>
    <x v="14"/>
    <x v="1"/>
    <x v="1"/>
    <n v="0.76726685462145205"/>
    <n v="2.2123273113485099E-2"/>
    <n v="0"/>
    <n v="1"/>
    <n v="1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1"/>
    <x v="14"/>
    <x v="2"/>
    <x v="1"/>
    <n v="0.76726685462145205"/>
    <n v="2.2123273113485099E-2"/>
    <n v="0"/>
    <n v="1"/>
    <n v="1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1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1"/>
    <x v="15"/>
    <x v="1"/>
    <x v="1"/>
    <n v="0.86517826380299301"/>
    <n v="1.6929030930927801E-2"/>
    <n v="0"/>
    <n v="1"/>
    <n v="0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1"/>
    <x v="15"/>
    <x v="2"/>
    <x v="1"/>
    <n v="0.86517826380299301"/>
    <n v="1.6929030930927801E-2"/>
    <n v="0"/>
    <n v="1"/>
    <n v="0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1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1"/>
    <x v="16"/>
    <x v="1"/>
    <x v="1"/>
    <n v="0.85147859918309698"/>
    <n v="2.15229953898552E-2"/>
    <n v="0"/>
    <n v="1"/>
    <n v="0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1"/>
    <x v="16"/>
    <x v="2"/>
    <x v="1"/>
    <n v="0.85147859918309698"/>
    <n v="2.15229953898552E-2"/>
    <n v="0"/>
    <n v="1"/>
    <n v="0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1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1"/>
    <x v="17"/>
    <x v="1"/>
    <x v="1"/>
    <n v="0.76726685462145205"/>
    <n v="2.2123273113485099E-2"/>
    <n v="0"/>
    <n v="1"/>
    <n v="1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1"/>
    <x v="17"/>
    <x v="2"/>
    <x v="1"/>
    <n v="0.76726685462145205"/>
    <n v="2.2123273113485099E-2"/>
    <n v="0"/>
    <n v="1"/>
    <n v="1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1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1"/>
    <x v="18"/>
    <x v="1"/>
    <x v="1"/>
    <n v="0.86517826380299301"/>
    <n v="1.6929030930927801E-2"/>
    <n v="0"/>
    <n v="1"/>
    <n v="0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1"/>
    <x v="18"/>
    <x v="2"/>
    <x v="1"/>
    <n v="0.86517826380299301"/>
    <n v="1.6929030930927801E-2"/>
    <n v="0"/>
    <n v="1"/>
    <n v="0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1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1"/>
    <x v="19"/>
    <x v="0"/>
    <x v="0"/>
    <n v="2.6995059393953702"/>
    <n v="3E+20"/>
    <n v="0"/>
    <n v="20"/>
    <n v="0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1"/>
    <x v="20"/>
    <x v="0"/>
    <x v="0"/>
    <n v="1.48951705960729"/>
    <n v="0.38087885354704398"/>
    <n v="0"/>
    <n v="20"/>
    <n v="5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1"/>
    <x v="21"/>
    <x v="0"/>
    <x v="0"/>
    <n v="2.6803533812964999"/>
    <n v="0.51995532912438902"/>
    <n v="0"/>
    <n v="23"/>
    <n v="0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1"/>
    <x v="22"/>
    <x v="2"/>
    <x v="3"/>
    <n v="0.80262272905685506"/>
    <n v="9.2744744426783397E-3"/>
    <n v="0"/>
    <n v="2"/>
    <n v="1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1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1"/>
    <x v="22"/>
    <x v="5"/>
    <x v="3"/>
    <n v="0.40131136452842697"/>
    <n v="4.6372372213391699E-3"/>
    <n v="0"/>
    <n v="1"/>
    <n v="0.5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2"/>
    <x v="0"/>
    <x v="0"/>
    <x v="0"/>
    <n v="2.0656712023606598"/>
    <n v="0.32431675462386"/>
    <n v="0"/>
    <n v="21"/>
    <n v="1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2"/>
    <x v="1"/>
    <x v="1"/>
    <x v="1"/>
    <n v="0.75485761493006198"/>
    <n v="1.6324297610009499E-2"/>
    <n v="0"/>
    <n v="1"/>
    <n v="1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2"/>
    <x v="1"/>
    <x v="2"/>
    <x v="1"/>
    <n v="1.50971522986012"/>
    <n v="3.2648595220018999E-2"/>
    <n v="0"/>
    <n v="2"/>
    <n v="2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2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2"/>
    <x v="2"/>
    <x v="1"/>
    <x v="1"/>
    <n v="0.75299191416641997"/>
    <n v="1.62499547346701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2"/>
    <x v="2"/>
    <x v="2"/>
    <x v="1"/>
    <n v="0.75299191416641997"/>
    <n v="1.62499547346701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2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2"/>
    <x v="3"/>
    <x v="1"/>
    <x v="1"/>
    <n v="0.75672331569370899"/>
    <n v="1.7593126624242401E-2"/>
    <n v="0"/>
    <n v="1"/>
    <n v="1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2"/>
    <x v="3"/>
    <x v="2"/>
    <x v="1"/>
    <n v="0.75672331569370899"/>
    <n v="1.7593126624242401E-2"/>
    <n v="0"/>
    <n v="1"/>
    <n v="1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2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2"/>
    <x v="4"/>
    <x v="4"/>
    <x v="2"/>
    <n v="17.774578301387599"/>
    <n v="1.4553685877512299"/>
    <n v="0"/>
    <n v="49"/>
    <n v="21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2"/>
    <x v="5"/>
    <x v="0"/>
    <x v="0"/>
    <n v="1.3471708968498799"/>
    <n v="0.32258833010212701"/>
    <n v="0"/>
    <n v="14"/>
    <n v="4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2"/>
    <x v="6"/>
    <x v="1"/>
    <x v="1"/>
    <n v="0.86888898753756405"/>
    <n v="1.72737721163575E-2"/>
    <n v="0"/>
    <n v="1"/>
    <n v="1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2"/>
    <x v="6"/>
    <x v="2"/>
    <x v="1"/>
    <n v="0.86888898753756405"/>
    <n v="1.72737721163575E-2"/>
    <n v="0"/>
    <n v="1"/>
    <n v="1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2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2"/>
    <x v="7"/>
    <x v="1"/>
    <x v="1"/>
    <n v="0.868995374026023"/>
    <n v="1.5898485172136202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2"/>
    <x v="7"/>
    <x v="2"/>
    <x v="1"/>
    <n v="0.868995374026023"/>
    <n v="1.5898485172136202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2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2"/>
    <x v="8"/>
    <x v="1"/>
    <x v="1"/>
    <n v="0.86801249405049896"/>
    <n v="1.6335772952234099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2"/>
    <x v="8"/>
    <x v="2"/>
    <x v="1"/>
    <n v="0.86801249405049896"/>
    <n v="1.6335772952234099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2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2"/>
    <x v="9"/>
    <x v="0"/>
    <x v="0"/>
    <n v="4.8218244439005402E-3"/>
    <n v="3E+20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2"/>
    <x v="10"/>
    <x v="0"/>
    <x v="0"/>
    <n v="7.1613926309565699E-3"/>
    <n v="6.9174510823730704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2"/>
    <x v="11"/>
    <x v="0"/>
    <x v="0"/>
    <n v="3.0552991746512601E-3"/>
    <n v="3.51834220947098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2"/>
    <x v="12"/>
    <x v="0"/>
    <x v="0"/>
    <n v="3.9336368825118899E-3"/>
    <n v="3.0276123015312499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2"/>
    <x v="13"/>
    <x v="1"/>
    <x v="1"/>
    <n v="0.85145823741080795"/>
    <n v="1.57008745211864E-2"/>
    <n v="0"/>
    <n v="1"/>
    <n v="0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2"/>
    <x v="13"/>
    <x v="2"/>
    <x v="1"/>
    <n v="0.85145823741080795"/>
    <n v="1.57008745211864E-2"/>
    <n v="0"/>
    <n v="1"/>
    <n v="0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2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2"/>
    <x v="14"/>
    <x v="1"/>
    <x v="1"/>
    <n v="0.77941254464726095"/>
    <n v="2.0222932690282702E-2"/>
    <n v="0"/>
    <n v="1"/>
    <n v="1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2"/>
    <x v="14"/>
    <x v="2"/>
    <x v="1"/>
    <n v="0.77941254464726095"/>
    <n v="2.0222932690282702E-2"/>
    <n v="0"/>
    <n v="1"/>
    <n v="1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2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2"/>
    <x v="15"/>
    <x v="1"/>
    <x v="1"/>
    <n v="0.86416230461230104"/>
    <n v="1.8495061320901601E-2"/>
    <n v="0"/>
    <n v="1"/>
    <n v="1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2"/>
    <x v="15"/>
    <x v="2"/>
    <x v="1"/>
    <n v="0.86416230461230104"/>
    <n v="1.8495061320901601E-2"/>
    <n v="0"/>
    <n v="1"/>
    <n v="1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2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2"/>
    <x v="16"/>
    <x v="1"/>
    <x v="1"/>
    <n v="0.85145823741080795"/>
    <n v="1.57008745211864E-2"/>
    <n v="0"/>
    <n v="1"/>
    <n v="0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2"/>
    <x v="16"/>
    <x v="2"/>
    <x v="1"/>
    <n v="0.85145823741080795"/>
    <n v="1.57008745211864E-2"/>
    <n v="0"/>
    <n v="1"/>
    <n v="0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2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2"/>
    <x v="17"/>
    <x v="1"/>
    <x v="1"/>
    <n v="0.77941254464726095"/>
    <n v="2.0222932690282702E-2"/>
    <n v="0"/>
    <n v="1"/>
    <n v="1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2"/>
    <x v="17"/>
    <x v="2"/>
    <x v="1"/>
    <n v="0.77941254464726095"/>
    <n v="2.0222932690282702E-2"/>
    <n v="0"/>
    <n v="1"/>
    <n v="1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2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2"/>
    <x v="18"/>
    <x v="1"/>
    <x v="1"/>
    <n v="0.86416230461230104"/>
    <n v="1.8495061320901601E-2"/>
    <n v="0"/>
    <n v="1"/>
    <n v="1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2"/>
    <x v="18"/>
    <x v="2"/>
    <x v="1"/>
    <n v="0.86416230461230104"/>
    <n v="1.8495061320901601E-2"/>
    <n v="0"/>
    <n v="1"/>
    <n v="1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2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2"/>
    <x v="19"/>
    <x v="0"/>
    <x v="0"/>
    <n v="2.8283600663081301"/>
    <n v="0.43337555141455802"/>
    <n v="0"/>
    <n v="21"/>
    <n v="0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2"/>
    <x v="20"/>
    <x v="0"/>
    <x v="0"/>
    <n v="1.52596227809581"/>
    <n v="3E+20"/>
    <n v="0"/>
    <n v="14"/>
    <n v="1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2"/>
    <x v="21"/>
    <x v="0"/>
    <x v="0"/>
    <n v="2.5757275745167099"/>
    <n v="0.51595506590556195"/>
    <n v="0"/>
    <n v="23"/>
    <n v="6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2"/>
    <x v="22"/>
    <x v="2"/>
    <x v="3"/>
    <n v="0.80206895797996103"/>
    <n v="1.0148976692530899E-2"/>
    <n v="0"/>
    <n v="2"/>
    <n v="2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2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2"/>
    <x v="22"/>
    <x v="5"/>
    <x v="3"/>
    <n v="0.40103447898998001"/>
    <n v="5.0744883462654402E-3"/>
    <n v="0"/>
    <n v="1"/>
    <n v="1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3"/>
    <x v="0"/>
    <x v="0"/>
    <x v="0"/>
    <n v="2.3188373788375798"/>
    <n v="0.67752315946838704"/>
    <n v="0"/>
    <n v="36"/>
    <n v="1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3"/>
    <x v="1"/>
    <x v="1"/>
    <x v="1"/>
    <n v="0.76817992377286104"/>
    <n v="2.0213089707816E-2"/>
    <n v="0"/>
    <n v="1"/>
    <n v="1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3"/>
    <x v="1"/>
    <x v="2"/>
    <x v="1"/>
    <n v="1.5363598475457201"/>
    <n v="4.0426179415632001E-2"/>
    <n v="0"/>
    <n v="2"/>
    <n v="2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3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3"/>
    <x v="2"/>
    <x v="1"/>
    <x v="1"/>
    <n v="0.76666045600624"/>
    <n v="2.2265740348484601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3"/>
    <x v="2"/>
    <x v="2"/>
    <x v="1"/>
    <n v="0.76666045600624"/>
    <n v="2.2265740348484601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3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3"/>
    <x v="3"/>
    <x v="1"/>
    <x v="1"/>
    <n v="0.76969939153947697"/>
    <n v="1.94257691137068E-2"/>
    <n v="0"/>
    <n v="1"/>
    <n v="1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3"/>
    <x v="3"/>
    <x v="2"/>
    <x v="1"/>
    <n v="0.76969939153947697"/>
    <n v="1.94257691137068E-2"/>
    <n v="0"/>
    <n v="1"/>
    <n v="1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3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3"/>
    <x v="4"/>
    <x v="4"/>
    <x v="2"/>
    <n v="18.8479471560706"/>
    <n v="2.04907849246813"/>
    <n v="0"/>
    <n v="60"/>
    <n v="10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3"/>
    <x v="5"/>
    <x v="0"/>
    <x v="0"/>
    <n v="1.40699442999762"/>
    <n v="0.30758129044554799"/>
    <n v="0"/>
    <n v="23"/>
    <n v="0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3"/>
    <x v="6"/>
    <x v="1"/>
    <x v="1"/>
    <n v="0.87421498861245095"/>
    <n v="1.6581995263496602E-2"/>
    <n v="0"/>
    <n v="1"/>
    <n v="0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3"/>
    <x v="6"/>
    <x v="2"/>
    <x v="1"/>
    <n v="0.87421498861245095"/>
    <n v="1.6581995263496602E-2"/>
    <n v="0"/>
    <n v="1"/>
    <n v="0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3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3"/>
    <x v="7"/>
    <x v="1"/>
    <x v="1"/>
    <n v="0.87245955473986703"/>
    <n v="1.6496454404183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3"/>
    <x v="7"/>
    <x v="2"/>
    <x v="1"/>
    <n v="0.87245955473986703"/>
    <n v="1.6496454404183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3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3"/>
    <x v="8"/>
    <x v="1"/>
    <x v="1"/>
    <n v="0.87436351179675398"/>
    <n v="1.5862164417720401E-2"/>
    <n v="0"/>
    <n v="1"/>
    <n v="0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3"/>
    <x v="8"/>
    <x v="2"/>
    <x v="1"/>
    <n v="0.87436351179675398"/>
    <n v="1.5862164417720401E-2"/>
    <n v="0"/>
    <n v="1"/>
    <n v="0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3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3"/>
    <x v="9"/>
    <x v="0"/>
    <x v="0"/>
    <n v="4.8884321809669097E-3"/>
    <n v="4.6608628419691101E-4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3"/>
    <x v="10"/>
    <x v="0"/>
    <x v="0"/>
    <n v="6.9305018151766496E-3"/>
    <n v="4.8802154182619702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3"/>
    <x v="11"/>
    <x v="0"/>
    <x v="0"/>
    <n v="2.9348565782967E-3"/>
    <n v="2.6330569596614298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3"/>
    <x v="12"/>
    <x v="0"/>
    <x v="0"/>
    <n v="4.0639472774457704E-3"/>
    <n v="3.9442212119566999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3"/>
    <x v="13"/>
    <x v="1"/>
    <x v="1"/>
    <n v="0.86586763783419696"/>
    <n v="1.8279649392751601E-2"/>
    <n v="0"/>
    <n v="1"/>
    <n v="1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3"/>
    <x v="13"/>
    <x v="2"/>
    <x v="1"/>
    <n v="0.86586763783419696"/>
    <n v="1.8279649392751601E-2"/>
    <n v="0"/>
    <n v="1"/>
    <n v="1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3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3"/>
    <x v="14"/>
    <x v="1"/>
    <x v="1"/>
    <n v="0.78350798083529505"/>
    <n v="1.9058967620200599E-2"/>
    <n v="0"/>
    <n v="1"/>
    <n v="1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3"/>
    <x v="14"/>
    <x v="2"/>
    <x v="1"/>
    <n v="0.78350798083529505"/>
    <n v="1.9058967620200599E-2"/>
    <n v="0"/>
    <n v="1"/>
    <n v="1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3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3"/>
    <x v="15"/>
    <x v="1"/>
    <x v="1"/>
    <n v="0.86808987891478295"/>
    <n v="2.0168452996495199E-2"/>
    <n v="0"/>
    <n v="1"/>
    <n v="0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3"/>
    <x v="15"/>
    <x v="2"/>
    <x v="1"/>
    <n v="0.86808987891478295"/>
    <n v="2.0168452996495199E-2"/>
    <n v="0"/>
    <n v="1"/>
    <n v="0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3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3"/>
    <x v="16"/>
    <x v="1"/>
    <x v="1"/>
    <n v="0.86586763783419696"/>
    <n v="1.8279649392751601E-2"/>
    <n v="0"/>
    <n v="1"/>
    <n v="1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3"/>
    <x v="16"/>
    <x v="2"/>
    <x v="1"/>
    <n v="0.86586763783419696"/>
    <n v="1.8279649392751601E-2"/>
    <n v="0"/>
    <n v="1"/>
    <n v="1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3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3"/>
    <x v="17"/>
    <x v="1"/>
    <x v="1"/>
    <n v="0.78350798083529505"/>
    <n v="1.9058967620200599E-2"/>
    <n v="0"/>
    <n v="1"/>
    <n v="1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3"/>
    <x v="17"/>
    <x v="2"/>
    <x v="1"/>
    <n v="0.78350798083529505"/>
    <n v="1.9058967620200599E-2"/>
    <n v="0"/>
    <n v="1"/>
    <n v="1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3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3"/>
    <x v="18"/>
    <x v="1"/>
    <x v="1"/>
    <n v="0.86808987891478295"/>
    <n v="2.0168452996495199E-2"/>
    <n v="0"/>
    <n v="1"/>
    <n v="0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3"/>
    <x v="18"/>
    <x v="2"/>
    <x v="1"/>
    <n v="0.86808987891478295"/>
    <n v="2.0168452996495199E-2"/>
    <n v="0"/>
    <n v="1"/>
    <n v="0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3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3"/>
    <x v="19"/>
    <x v="0"/>
    <x v="0"/>
    <n v="3.47959426760394"/>
    <n v="0.66369491529337798"/>
    <n v="0"/>
    <n v="34"/>
    <n v="1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3"/>
    <x v="20"/>
    <x v="0"/>
    <x v="0"/>
    <n v="1.39970832693542"/>
    <n v="0.17296002178990699"/>
    <n v="0"/>
    <n v="13"/>
    <n v="2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3"/>
    <x v="21"/>
    <x v="0"/>
    <x v="0"/>
    <n v="2.7399798743587298"/>
    <n v="0.63539169516920802"/>
    <n v="0"/>
    <n v="21"/>
    <n v="0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3"/>
    <x v="22"/>
    <x v="2"/>
    <x v="3"/>
    <n v="0.80915174020639202"/>
    <n v="7.8433740406966598E-3"/>
    <n v="0"/>
    <n v="2"/>
    <n v="1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3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3"/>
    <x v="22"/>
    <x v="5"/>
    <x v="3"/>
    <n v="0.40457587010319501"/>
    <n v="3.9216870203483299E-3"/>
    <n v="0"/>
    <n v="1"/>
    <n v="0.5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4"/>
    <x v="0"/>
    <x v="0"/>
    <x v="0"/>
    <n v="1.90058103827794"/>
    <n v="0.27701224856439299"/>
    <n v="0"/>
    <n v="18"/>
    <n v="2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4"/>
    <x v="1"/>
    <x v="1"/>
    <x v="1"/>
    <n v="0.75707453421480597"/>
    <n v="2.1598453507077901E-2"/>
    <n v="0"/>
    <n v="1"/>
    <n v="1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4"/>
    <x v="1"/>
    <x v="2"/>
    <x v="1"/>
    <n v="1.5141490684296099"/>
    <n v="4.3196907014155697E-2"/>
    <n v="0"/>
    <n v="2"/>
    <n v="2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4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4"/>
    <x v="2"/>
    <x v="1"/>
    <x v="1"/>
    <n v="0.76045911871154104"/>
    <n v="2.2052665631771801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4"/>
    <x v="2"/>
    <x v="2"/>
    <x v="1"/>
    <n v="0.76045911871154104"/>
    <n v="2.2052665631771801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4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4"/>
    <x v="3"/>
    <x v="1"/>
    <x v="1"/>
    <n v="0.75368994971806902"/>
    <n v="2.2394794843079401E-2"/>
    <n v="0"/>
    <n v="1"/>
    <n v="1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4"/>
    <x v="3"/>
    <x v="2"/>
    <x v="1"/>
    <n v="0.75368994971806902"/>
    <n v="2.2394794843079401E-2"/>
    <n v="0"/>
    <n v="1"/>
    <n v="1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4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4"/>
    <x v="4"/>
    <x v="4"/>
    <x v="2"/>
    <n v="17.302821919938999"/>
    <n v="1.4500299910783601"/>
    <n v="0"/>
    <n v="48"/>
    <n v="13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4"/>
    <x v="5"/>
    <x v="0"/>
    <x v="0"/>
    <n v="1.24914102989318"/>
    <n v="3E+20"/>
    <n v="0"/>
    <n v="15"/>
    <n v="1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4"/>
    <x v="6"/>
    <x v="1"/>
    <x v="1"/>
    <n v="0.86514517310371897"/>
    <n v="1.7070807929627799E-2"/>
    <n v="0"/>
    <n v="1"/>
    <n v="1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4"/>
    <x v="6"/>
    <x v="2"/>
    <x v="1"/>
    <n v="0.86514517310371897"/>
    <n v="1.7070807929627799E-2"/>
    <n v="0"/>
    <n v="1"/>
    <n v="1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4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4"/>
    <x v="7"/>
    <x v="1"/>
    <x v="1"/>
    <n v="0.86887035143339397"/>
    <n v="1.6889204746668399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4"/>
    <x v="7"/>
    <x v="2"/>
    <x v="1"/>
    <n v="0.86887035143339397"/>
    <n v="1.6889204746668399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4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4"/>
    <x v="8"/>
    <x v="1"/>
    <x v="1"/>
    <n v="0.867415741625161"/>
    <n v="1.7912162741262401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4"/>
    <x v="8"/>
    <x v="2"/>
    <x v="1"/>
    <n v="0.867415741625161"/>
    <n v="1.7912162741262401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4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4"/>
    <x v="9"/>
    <x v="0"/>
    <x v="0"/>
    <n v="4.6593816591033602E-3"/>
    <n v="4.50222586607574E-4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4"/>
    <x v="10"/>
    <x v="0"/>
    <x v="0"/>
    <n v="7.1599435299874604E-3"/>
    <n v="6.5176228448853403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4"/>
    <x v="11"/>
    <x v="0"/>
    <x v="0"/>
    <n v="3.0461845352060999E-3"/>
    <n v="2.8972219130250299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4"/>
    <x v="12"/>
    <x v="0"/>
    <x v="0"/>
    <n v="4.35137641764906E-3"/>
    <n v="4.1294460548220902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4"/>
    <x v="13"/>
    <x v="1"/>
    <x v="1"/>
    <n v="0.85550773740749397"/>
    <n v="1.8162582815943299E-2"/>
    <n v="0"/>
    <n v="1"/>
    <n v="1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4"/>
    <x v="13"/>
    <x v="2"/>
    <x v="1"/>
    <n v="0.85550773740749397"/>
    <n v="1.8162582815943299E-2"/>
    <n v="0"/>
    <n v="1"/>
    <n v="1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4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4"/>
    <x v="14"/>
    <x v="1"/>
    <x v="1"/>
    <n v="0.78574993118483905"/>
    <n v="2.0104724229868101E-2"/>
    <n v="0"/>
    <n v="1"/>
    <n v="1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4"/>
    <x v="14"/>
    <x v="2"/>
    <x v="1"/>
    <n v="0.78574993118483905"/>
    <n v="2.0104724229868101E-2"/>
    <n v="0"/>
    <n v="1"/>
    <n v="1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4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4"/>
    <x v="15"/>
    <x v="1"/>
    <x v="1"/>
    <n v="0.85552216781107904"/>
    <n v="1.9465861602488501E-2"/>
    <n v="0"/>
    <n v="1"/>
    <n v="1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4"/>
    <x v="15"/>
    <x v="2"/>
    <x v="1"/>
    <n v="0.85552216781107904"/>
    <n v="1.9465861602488501E-2"/>
    <n v="0"/>
    <n v="1"/>
    <n v="1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4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4"/>
    <x v="16"/>
    <x v="1"/>
    <x v="1"/>
    <n v="0.85550773740749397"/>
    <n v="1.8162582815943299E-2"/>
    <n v="0"/>
    <n v="1"/>
    <n v="1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4"/>
    <x v="16"/>
    <x v="2"/>
    <x v="1"/>
    <n v="0.85550773740749397"/>
    <n v="1.8162582815943299E-2"/>
    <n v="0"/>
    <n v="1"/>
    <n v="1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4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4"/>
    <x v="17"/>
    <x v="1"/>
    <x v="1"/>
    <n v="0.78574993118483905"/>
    <n v="2.0104724229868101E-2"/>
    <n v="0"/>
    <n v="1"/>
    <n v="1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4"/>
    <x v="17"/>
    <x v="2"/>
    <x v="1"/>
    <n v="0.78574993118483905"/>
    <n v="2.0104724229868101E-2"/>
    <n v="0"/>
    <n v="1"/>
    <n v="1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4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4"/>
    <x v="18"/>
    <x v="1"/>
    <x v="1"/>
    <n v="0.85552216781107904"/>
    <n v="1.9465861602488501E-2"/>
    <n v="0"/>
    <n v="1"/>
    <n v="1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4"/>
    <x v="18"/>
    <x v="2"/>
    <x v="1"/>
    <n v="0.85552216781107904"/>
    <n v="1.9465861602488501E-2"/>
    <n v="0"/>
    <n v="1"/>
    <n v="1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4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4"/>
    <x v="19"/>
    <x v="0"/>
    <x v="0"/>
    <n v="2.7527831021937299"/>
    <n v="0.57693163469647202"/>
    <n v="0"/>
    <n v="22"/>
    <n v="2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4"/>
    <x v="20"/>
    <x v="0"/>
    <x v="0"/>
    <n v="1.64980490659719"/>
    <n v="0.34058906942584199"/>
    <n v="0"/>
    <n v="21"/>
    <n v="0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4"/>
    <x v="21"/>
    <x v="0"/>
    <x v="0"/>
    <n v="2.3165015786826699"/>
    <n v="0.43646807600818899"/>
    <n v="0"/>
    <n v="19"/>
    <n v="0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4"/>
    <x v="22"/>
    <x v="2"/>
    <x v="3"/>
    <n v="0.80243320715688704"/>
    <n v="7.4525154661911498E-3"/>
    <n v="0"/>
    <n v="2"/>
    <n v="0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4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4"/>
    <x v="22"/>
    <x v="5"/>
    <x v="3"/>
    <n v="0.40121660357844402"/>
    <n v="3.7262577330955801E-3"/>
    <n v="0"/>
    <n v="1"/>
    <n v="0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5"/>
    <x v="0"/>
    <x v="0"/>
    <x v="0"/>
    <n v="1.85360941964019"/>
    <n v="0.270339619165747"/>
    <n v="0"/>
    <n v="22"/>
    <n v="0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5"/>
    <x v="1"/>
    <x v="1"/>
    <x v="1"/>
    <n v="0.74524335409428599"/>
    <n v="1.9364528001489301E-2"/>
    <n v="0"/>
    <n v="1"/>
    <n v="1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5"/>
    <x v="1"/>
    <x v="2"/>
    <x v="1"/>
    <n v="1.49048670818857"/>
    <n v="3.8729056002978497E-2"/>
    <n v="0"/>
    <n v="2"/>
    <n v="2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5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5"/>
    <x v="2"/>
    <x v="1"/>
    <x v="1"/>
    <n v="0.74716404158945904"/>
    <n v="1.8923669290199601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5"/>
    <x v="2"/>
    <x v="2"/>
    <x v="1"/>
    <n v="0.74716404158945904"/>
    <n v="1.8923669290199601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5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5"/>
    <x v="3"/>
    <x v="1"/>
    <x v="1"/>
    <n v="0.74332266659911195"/>
    <n v="2.1331610336265801E-2"/>
    <n v="0"/>
    <n v="1"/>
    <n v="1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5"/>
    <x v="3"/>
    <x v="2"/>
    <x v="1"/>
    <n v="0.74332266659911195"/>
    <n v="2.1331610336265801E-2"/>
    <n v="0"/>
    <n v="1"/>
    <n v="1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5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5"/>
    <x v="4"/>
    <x v="4"/>
    <x v="2"/>
    <n v="18.243603373276802"/>
    <n v="3E+20"/>
    <n v="0"/>
    <n v="50"/>
    <n v="15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5"/>
    <x v="5"/>
    <x v="0"/>
    <x v="0"/>
    <n v="1.31220661311398"/>
    <n v="0.32503337620098299"/>
    <n v="0"/>
    <n v="13"/>
    <n v="2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5"/>
    <x v="6"/>
    <x v="1"/>
    <x v="1"/>
    <n v="0.86211465144781196"/>
    <n v="2.0181749938563601E-2"/>
    <n v="0"/>
    <n v="1"/>
    <n v="1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5"/>
    <x v="6"/>
    <x v="2"/>
    <x v="1"/>
    <n v="0.86211465144781196"/>
    <n v="2.0181749938563601E-2"/>
    <n v="0"/>
    <n v="1"/>
    <n v="1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5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5"/>
    <x v="7"/>
    <x v="1"/>
    <x v="1"/>
    <n v="0.86200776630730302"/>
    <n v="1.9480296263840201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5"/>
    <x v="7"/>
    <x v="2"/>
    <x v="1"/>
    <n v="0.86200776630730302"/>
    <n v="1.9480296263840201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5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5"/>
    <x v="8"/>
    <x v="1"/>
    <x v="1"/>
    <n v="0.861647163681307"/>
    <n v="2.0411927444399999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5"/>
    <x v="8"/>
    <x v="2"/>
    <x v="1"/>
    <n v="0.861647163681307"/>
    <n v="2.0411927444399999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5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5"/>
    <x v="9"/>
    <x v="0"/>
    <x v="0"/>
    <n v="4.46975375012869E-3"/>
    <n v="4.6113939878543301E-4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5"/>
    <x v="10"/>
    <x v="0"/>
    <x v="0"/>
    <n v="7.1593979154541297E-3"/>
    <n v="6.0771410564854197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5"/>
    <x v="11"/>
    <x v="0"/>
    <x v="0"/>
    <n v="2.69075255501943E-3"/>
    <n v="2.8765651231156601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5"/>
    <x v="12"/>
    <x v="0"/>
    <x v="0"/>
    <n v="4.1348640802016997E-3"/>
    <n v="3.72182231927725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5"/>
    <x v="13"/>
    <x v="1"/>
    <x v="1"/>
    <n v="0.86369048734499199"/>
    <n v="2.2711128849063299E-2"/>
    <n v="0"/>
    <n v="1"/>
    <n v="1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5"/>
    <x v="13"/>
    <x v="2"/>
    <x v="1"/>
    <n v="0.86369048734499199"/>
    <n v="2.2711128849063299E-2"/>
    <n v="0"/>
    <n v="1"/>
    <n v="1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5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5"/>
    <x v="14"/>
    <x v="1"/>
    <x v="1"/>
    <n v="0.75864843854708297"/>
    <n v="2.17000120842692E-2"/>
    <n v="0"/>
    <n v="1"/>
    <n v="1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5"/>
    <x v="14"/>
    <x v="2"/>
    <x v="1"/>
    <n v="0.75864843854708297"/>
    <n v="2.17000120842692E-2"/>
    <n v="0"/>
    <n v="1"/>
    <n v="1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5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5"/>
    <x v="15"/>
    <x v="1"/>
    <x v="1"/>
    <n v="0.85209028396297504"/>
    <n v="1.9937483701303799E-2"/>
    <n v="0"/>
    <n v="1"/>
    <n v="1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5"/>
    <x v="15"/>
    <x v="2"/>
    <x v="1"/>
    <n v="0.85209028396297504"/>
    <n v="1.9937483701303799E-2"/>
    <n v="0"/>
    <n v="1"/>
    <n v="1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5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5"/>
    <x v="16"/>
    <x v="1"/>
    <x v="1"/>
    <n v="0.86369048734499199"/>
    <n v="2.2711128849063299E-2"/>
    <n v="0"/>
    <n v="1"/>
    <n v="1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5"/>
    <x v="16"/>
    <x v="2"/>
    <x v="1"/>
    <n v="0.86369048734499199"/>
    <n v="2.2711128849063299E-2"/>
    <n v="0"/>
    <n v="1"/>
    <n v="1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5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5"/>
    <x v="17"/>
    <x v="1"/>
    <x v="1"/>
    <n v="0.75864843854708297"/>
    <n v="2.17000120842692E-2"/>
    <n v="0"/>
    <n v="1"/>
    <n v="1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5"/>
    <x v="17"/>
    <x v="2"/>
    <x v="1"/>
    <n v="0.75864843854708297"/>
    <n v="2.17000120842692E-2"/>
    <n v="0"/>
    <n v="1"/>
    <n v="1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5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5"/>
    <x v="18"/>
    <x v="1"/>
    <x v="1"/>
    <n v="0.85209028396297504"/>
    <n v="1.9937483701303799E-2"/>
    <n v="0"/>
    <n v="1"/>
    <n v="1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5"/>
    <x v="18"/>
    <x v="2"/>
    <x v="1"/>
    <n v="0.85209028396297504"/>
    <n v="1.9937483701303799E-2"/>
    <n v="0"/>
    <n v="1"/>
    <n v="1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5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5"/>
    <x v="19"/>
    <x v="0"/>
    <x v="0"/>
    <n v="3.7422761400348601"/>
    <n v="1.11186022579213"/>
    <n v="0"/>
    <n v="36"/>
    <n v="2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5"/>
    <x v="20"/>
    <x v="0"/>
    <x v="0"/>
    <n v="1.2409432816355801"/>
    <n v="0.185544967043099"/>
    <n v="0"/>
    <n v="16"/>
    <n v="0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5"/>
    <x v="21"/>
    <x v="0"/>
    <x v="0"/>
    <n v="2.7252617840635298"/>
    <n v="0.52103241723078497"/>
    <n v="0"/>
    <n v="24"/>
    <n v="2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5"/>
    <x v="22"/>
    <x v="2"/>
    <x v="3"/>
    <n v="0.80016586700794401"/>
    <n v="1.0530592704667101E-2"/>
    <n v="0"/>
    <n v="2"/>
    <n v="1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5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5"/>
    <x v="22"/>
    <x v="5"/>
    <x v="3"/>
    <n v="0.400082933503972"/>
    <n v="5.2652963523335599E-3"/>
    <n v="0"/>
    <n v="1"/>
    <n v="0.5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6"/>
    <x v="0"/>
    <x v="0"/>
    <x v="0"/>
    <n v="2.0302188449338301"/>
    <n v="0.35409411529785401"/>
    <n v="0"/>
    <n v="23"/>
    <n v="3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6"/>
    <x v="1"/>
    <x v="1"/>
    <x v="1"/>
    <n v="0.74965905136190403"/>
    <n v="1.84319828648872E-2"/>
    <n v="0"/>
    <n v="1"/>
    <n v="1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6"/>
    <x v="1"/>
    <x v="2"/>
    <x v="1"/>
    <n v="1.4993181027238101"/>
    <n v="3.6863965729774503E-2"/>
    <n v="0"/>
    <n v="2"/>
    <n v="2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6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6"/>
    <x v="2"/>
    <x v="1"/>
    <x v="1"/>
    <n v="0.74471063897842105"/>
    <n v="3E+20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6"/>
    <x v="2"/>
    <x v="2"/>
    <x v="1"/>
    <n v="0.74471063897842105"/>
    <n v="3E+20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6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6"/>
    <x v="3"/>
    <x v="1"/>
    <x v="1"/>
    <n v="0.75460746374537901"/>
    <n v="1.75382488545964E-2"/>
    <n v="0"/>
    <n v="1"/>
    <n v="1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6"/>
    <x v="3"/>
    <x v="2"/>
    <x v="1"/>
    <n v="0.75460746374537901"/>
    <n v="1.75382488545964E-2"/>
    <n v="0"/>
    <n v="1"/>
    <n v="1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6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6"/>
    <x v="4"/>
    <x v="4"/>
    <x v="2"/>
    <n v="17.724097010585101"/>
    <n v="1.2506451753316301"/>
    <n v="0"/>
    <n v="49"/>
    <n v="8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6"/>
    <x v="5"/>
    <x v="0"/>
    <x v="0"/>
    <n v="1.1133870124043099"/>
    <n v="0.175601952906728"/>
    <n v="0"/>
    <n v="10"/>
    <n v="0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6"/>
    <x v="6"/>
    <x v="1"/>
    <x v="1"/>
    <n v="0.87216602172258495"/>
    <n v="1.3278616721809E-2"/>
    <n v="0"/>
    <n v="1"/>
    <n v="0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6"/>
    <x v="6"/>
    <x v="2"/>
    <x v="1"/>
    <n v="0.87216602172258495"/>
    <n v="1.3278616721809E-2"/>
    <n v="0"/>
    <n v="1"/>
    <n v="0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6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6"/>
    <x v="7"/>
    <x v="1"/>
    <x v="1"/>
    <n v="0.87300868153341904"/>
    <n v="1.39456847756796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6"/>
    <x v="7"/>
    <x v="2"/>
    <x v="1"/>
    <n v="0.87300868153341904"/>
    <n v="1.39456847756796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6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6"/>
    <x v="8"/>
    <x v="1"/>
    <x v="1"/>
    <n v="0.87317695175457599"/>
    <n v="1.4000874976240699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6"/>
    <x v="8"/>
    <x v="2"/>
    <x v="1"/>
    <n v="0.87317695175457599"/>
    <n v="1.4000874976240699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6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6"/>
    <x v="9"/>
    <x v="0"/>
    <x v="0"/>
    <n v="5.0082678346720496E-3"/>
    <n v="4.0798061097289202E-4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6"/>
    <x v="10"/>
    <x v="0"/>
    <x v="0"/>
    <n v="7.1423108993317504E-3"/>
    <n v="5.5712405092780905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6"/>
    <x v="11"/>
    <x v="0"/>
    <x v="0"/>
    <n v="2.8411346165619199E-3"/>
    <n v="2.81122122686374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6"/>
    <x v="12"/>
    <x v="0"/>
    <x v="0"/>
    <n v="3.9854016295072202E-3"/>
    <n v="3.2694230379645901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6"/>
    <x v="13"/>
    <x v="1"/>
    <x v="1"/>
    <n v="0.853824879418559"/>
    <n v="1.6734544106213601E-2"/>
    <n v="0"/>
    <n v="1"/>
    <n v="0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6"/>
    <x v="13"/>
    <x v="2"/>
    <x v="1"/>
    <n v="0.853824879418559"/>
    <n v="1.6734544106213601E-2"/>
    <n v="0"/>
    <n v="1"/>
    <n v="0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6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6"/>
    <x v="14"/>
    <x v="1"/>
    <x v="1"/>
    <n v="0.79252596119945096"/>
    <n v="1.5487007292613099E-2"/>
    <n v="0"/>
    <n v="1"/>
    <n v="0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6"/>
    <x v="14"/>
    <x v="2"/>
    <x v="1"/>
    <n v="0.79252596119945096"/>
    <n v="1.5487007292613099E-2"/>
    <n v="0"/>
    <n v="1"/>
    <n v="0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6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6"/>
    <x v="15"/>
    <x v="1"/>
    <x v="1"/>
    <n v="0.86288297680484805"/>
    <n v="1.3664729194752799E-2"/>
    <n v="0"/>
    <n v="1"/>
    <n v="1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6"/>
    <x v="15"/>
    <x v="2"/>
    <x v="1"/>
    <n v="0.86288297680484805"/>
    <n v="1.3664729194752799E-2"/>
    <n v="0"/>
    <n v="1"/>
    <n v="1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6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6"/>
    <x v="16"/>
    <x v="1"/>
    <x v="1"/>
    <n v="0.853824879418559"/>
    <n v="1.6734544106213601E-2"/>
    <n v="0"/>
    <n v="1"/>
    <n v="0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6"/>
    <x v="16"/>
    <x v="2"/>
    <x v="1"/>
    <n v="0.853824879418559"/>
    <n v="1.6734544106213601E-2"/>
    <n v="0"/>
    <n v="1"/>
    <n v="0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6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6"/>
    <x v="17"/>
    <x v="1"/>
    <x v="1"/>
    <n v="0.79252596119945096"/>
    <n v="1.5487007292613099E-2"/>
    <n v="0"/>
    <n v="1"/>
    <n v="0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6"/>
    <x v="17"/>
    <x v="2"/>
    <x v="1"/>
    <n v="0.79252596119945096"/>
    <n v="1.5487007292613099E-2"/>
    <n v="0"/>
    <n v="1"/>
    <n v="0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6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6"/>
    <x v="18"/>
    <x v="1"/>
    <x v="1"/>
    <n v="0.86288297680484805"/>
    <n v="1.3664729194752799E-2"/>
    <n v="0"/>
    <n v="1"/>
    <n v="1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6"/>
    <x v="18"/>
    <x v="2"/>
    <x v="1"/>
    <n v="0.86288297680484805"/>
    <n v="1.3664729194752799E-2"/>
    <n v="0"/>
    <n v="1"/>
    <n v="1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6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6"/>
    <x v="19"/>
    <x v="0"/>
    <x v="0"/>
    <n v="2.9140825312753398"/>
    <n v="0.52202894789377596"/>
    <n v="0"/>
    <n v="21"/>
    <n v="0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6"/>
    <x v="20"/>
    <x v="0"/>
    <x v="0"/>
    <n v="1.7520834896992801"/>
    <n v="0.30464032871933999"/>
    <n v="0"/>
    <n v="18"/>
    <n v="0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6"/>
    <x v="21"/>
    <x v="0"/>
    <x v="0"/>
    <n v="2.4575817322889399"/>
    <n v="3E+20"/>
    <n v="0"/>
    <n v="23"/>
    <n v="0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6"/>
    <x v="22"/>
    <x v="2"/>
    <x v="3"/>
    <n v="0.81086270984605202"/>
    <n v="7.95623341524101E-3"/>
    <n v="0"/>
    <n v="2"/>
    <n v="0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6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6"/>
    <x v="22"/>
    <x v="5"/>
    <x v="3"/>
    <n v="0.40543135492302601"/>
    <n v="3.9781167076205102E-3"/>
    <n v="0"/>
    <n v="1"/>
    <n v="0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7"/>
    <x v="0"/>
    <x v="0"/>
    <x v="0"/>
    <n v="1.76226441002947"/>
    <n v="0.25842401861106001"/>
    <n v="0"/>
    <n v="25"/>
    <n v="0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7"/>
    <x v="1"/>
    <x v="1"/>
    <x v="1"/>
    <n v="0.75246506567812199"/>
    <n v="1.7833426703843299E-2"/>
    <n v="0"/>
    <n v="1"/>
    <n v="0.5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7"/>
    <x v="1"/>
    <x v="2"/>
    <x v="1"/>
    <n v="1.50493013135624"/>
    <n v="3.5666853407686501E-2"/>
    <n v="0"/>
    <n v="2"/>
    <n v="1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7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7"/>
    <x v="2"/>
    <x v="1"/>
    <x v="1"/>
    <n v="0.75336591751958304"/>
    <n v="1.9126928298868799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7"/>
    <x v="2"/>
    <x v="2"/>
    <x v="1"/>
    <n v="0.75336591751958304"/>
    <n v="1.9126928298868799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7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7"/>
    <x v="3"/>
    <x v="1"/>
    <x v="1"/>
    <n v="0.75156421383665595"/>
    <n v="1.7776390810133401E-2"/>
    <n v="0"/>
    <n v="1"/>
    <n v="0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7"/>
    <x v="3"/>
    <x v="2"/>
    <x v="1"/>
    <n v="0.75156421383665595"/>
    <n v="1.7776390810133401E-2"/>
    <n v="0"/>
    <n v="1"/>
    <n v="0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7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7"/>
    <x v="4"/>
    <x v="4"/>
    <x v="2"/>
    <n v="17.801626103683301"/>
    <n v="1.4085576845690699"/>
    <n v="0"/>
    <n v="46"/>
    <n v="15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7"/>
    <x v="5"/>
    <x v="0"/>
    <x v="0"/>
    <n v="1.2618254819572901"/>
    <n v="0.27952836258035602"/>
    <n v="0"/>
    <n v="14"/>
    <n v="0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7"/>
    <x v="6"/>
    <x v="1"/>
    <x v="1"/>
    <n v="0.86520324271807203"/>
    <n v="1.47223776590014E-2"/>
    <n v="0"/>
    <n v="1"/>
    <n v="1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7"/>
    <x v="6"/>
    <x v="2"/>
    <x v="1"/>
    <n v="0.86520324271807203"/>
    <n v="1.47223776590014E-2"/>
    <n v="0"/>
    <n v="1"/>
    <n v="1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7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7"/>
    <x v="7"/>
    <x v="1"/>
    <x v="1"/>
    <n v="0.86433324884785501"/>
    <n v="1.4354359662328601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7"/>
    <x v="7"/>
    <x v="2"/>
    <x v="1"/>
    <n v="0.86433324884785501"/>
    <n v="1.4354359662328601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7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7"/>
    <x v="8"/>
    <x v="1"/>
    <x v="1"/>
    <n v="0.86706983833653595"/>
    <n v="1.55089622108407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7"/>
    <x v="8"/>
    <x v="2"/>
    <x v="1"/>
    <n v="0.86706983833653595"/>
    <n v="1.55089622108407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7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7"/>
    <x v="9"/>
    <x v="0"/>
    <x v="0"/>
    <n v="4.7887049798952599E-3"/>
    <n v="3.9999738039058998E-4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7"/>
    <x v="10"/>
    <x v="0"/>
    <x v="0"/>
    <n v="6.9785839366449899E-3"/>
    <n v="5.2417727382921095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7"/>
    <x v="11"/>
    <x v="0"/>
    <x v="0"/>
    <n v="2.7719193899682498E-3"/>
    <n v="2.7359083974921601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7"/>
    <x v="12"/>
    <x v="0"/>
    <x v="0"/>
    <n v="3.9294187598258399E-3"/>
    <n v="3.7015774586851102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7"/>
    <x v="13"/>
    <x v="1"/>
    <x v="1"/>
    <n v="0.86051993601772503"/>
    <n v="1.5736800938006602E-2"/>
    <n v="0"/>
    <n v="1"/>
    <n v="1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7"/>
    <x v="13"/>
    <x v="2"/>
    <x v="1"/>
    <n v="0.86051993601772503"/>
    <n v="1.5736800938006602E-2"/>
    <n v="0"/>
    <n v="1"/>
    <n v="1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7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7"/>
    <x v="14"/>
    <x v="1"/>
    <x v="1"/>
    <n v="0.77453073283245"/>
    <n v="1.8941085041914201E-2"/>
    <n v="0"/>
    <n v="1"/>
    <n v="1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7"/>
    <x v="14"/>
    <x v="2"/>
    <x v="1"/>
    <n v="0.77453073283245"/>
    <n v="1.8941085041914201E-2"/>
    <n v="0"/>
    <n v="1"/>
    <n v="1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7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7"/>
    <x v="15"/>
    <x v="1"/>
    <x v="1"/>
    <n v="0.86170103121833397"/>
    <n v="1.6782563233221599E-2"/>
    <n v="0"/>
    <n v="1"/>
    <n v="1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7"/>
    <x v="15"/>
    <x v="2"/>
    <x v="1"/>
    <n v="0.86170103121833397"/>
    <n v="1.6782563233221599E-2"/>
    <n v="0"/>
    <n v="1"/>
    <n v="1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7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7"/>
    <x v="16"/>
    <x v="1"/>
    <x v="1"/>
    <n v="0.86051993601772503"/>
    <n v="1.5736800938006602E-2"/>
    <n v="0"/>
    <n v="1"/>
    <n v="1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7"/>
    <x v="16"/>
    <x v="2"/>
    <x v="1"/>
    <n v="0.86051993601772503"/>
    <n v="1.5736800938006602E-2"/>
    <n v="0"/>
    <n v="1"/>
    <n v="1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7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7"/>
    <x v="17"/>
    <x v="1"/>
    <x v="1"/>
    <n v="0.77453073283245"/>
    <n v="1.8941085041914201E-2"/>
    <n v="0"/>
    <n v="1"/>
    <n v="1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7"/>
    <x v="17"/>
    <x v="2"/>
    <x v="1"/>
    <n v="0.77453073283245"/>
    <n v="1.8941085041914201E-2"/>
    <n v="0"/>
    <n v="1"/>
    <n v="1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7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7"/>
    <x v="18"/>
    <x v="1"/>
    <x v="1"/>
    <n v="0.86170103121833397"/>
    <n v="1.6782563233221599E-2"/>
    <n v="0"/>
    <n v="1"/>
    <n v="1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7"/>
    <x v="18"/>
    <x v="2"/>
    <x v="1"/>
    <n v="0.86170103121833397"/>
    <n v="1.6782563233221599E-2"/>
    <n v="0"/>
    <n v="1"/>
    <n v="1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7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7"/>
    <x v="19"/>
    <x v="0"/>
    <x v="0"/>
    <n v="3.3176303269109599"/>
    <n v="3E+20"/>
    <n v="0"/>
    <n v="25"/>
    <n v="1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7"/>
    <x v="20"/>
    <x v="0"/>
    <x v="0"/>
    <n v="1.3829723650346"/>
    <n v="0.18553500705890499"/>
    <n v="0"/>
    <n v="14"/>
    <n v="0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7"/>
    <x v="21"/>
    <x v="0"/>
    <x v="0"/>
    <n v="2.65810416692144"/>
    <n v="3E+20"/>
    <n v="0"/>
    <n v="30"/>
    <n v="5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7"/>
    <x v="22"/>
    <x v="2"/>
    <x v="3"/>
    <n v="0.80207256443604902"/>
    <n v="3E+20"/>
    <n v="0"/>
    <n v="2"/>
    <n v="2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7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7"/>
    <x v="22"/>
    <x v="5"/>
    <x v="3"/>
    <n v="0.40103628221802601"/>
    <n v="3E+20"/>
    <n v="0"/>
    <n v="1"/>
    <n v="1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8"/>
    <x v="0"/>
    <x v="0"/>
    <x v="0"/>
    <n v="1.76713502104653"/>
    <n v="0.26899956734431002"/>
    <n v="0"/>
    <n v="24"/>
    <n v="0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8"/>
    <x v="1"/>
    <x v="1"/>
    <x v="1"/>
    <n v="0.74217058052644902"/>
    <n v="1.7066679948485899E-2"/>
    <n v="0"/>
    <n v="1"/>
    <n v="0.5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8"/>
    <x v="1"/>
    <x v="2"/>
    <x v="1"/>
    <n v="1.4843411610529"/>
    <n v="3.4133359896971797E-2"/>
    <n v="0"/>
    <n v="2"/>
    <n v="1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8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8"/>
    <x v="2"/>
    <x v="1"/>
    <x v="1"/>
    <n v="0.73843175708582198"/>
    <n v="1.75995293714547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8"/>
    <x v="2"/>
    <x v="2"/>
    <x v="1"/>
    <n v="0.73843175708582198"/>
    <n v="1.75995293714547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8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8"/>
    <x v="3"/>
    <x v="1"/>
    <x v="1"/>
    <n v="0.74590940396706595"/>
    <n v="1.7582311096990599E-2"/>
    <n v="0"/>
    <n v="1"/>
    <n v="0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8"/>
    <x v="3"/>
    <x v="2"/>
    <x v="1"/>
    <n v="0.74590940396706595"/>
    <n v="1.7582311096990599E-2"/>
    <n v="0"/>
    <n v="1"/>
    <n v="0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8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8"/>
    <x v="4"/>
    <x v="4"/>
    <x v="2"/>
    <n v="16.327634071208799"/>
    <n v="1.0602508002162201"/>
    <n v="0"/>
    <n v="39"/>
    <n v="17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8"/>
    <x v="5"/>
    <x v="0"/>
    <x v="0"/>
    <n v="0.99579270827195998"/>
    <n v="0.155729850531206"/>
    <n v="0"/>
    <n v="11"/>
    <n v="1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8"/>
    <x v="6"/>
    <x v="1"/>
    <x v="1"/>
    <n v="0.85730277923538301"/>
    <n v="1.45570749077641E-2"/>
    <n v="0"/>
    <n v="1"/>
    <n v="1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8"/>
    <x v="6"/>
    <x v="2"/>
    <x v="1"/>
    <n v="0.85730277923538301"/>
    <n v="1.45570749077641E-2"/>
    <n v="0"/>
    <n v="1"/>
    <n v="1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8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8"/>
    <x v="7"/>
    <x v="1"/>
    <x v="1"/>
    <n v="0.85550101809076895"/>
    <n v="1.53383800178035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8"/>
    <x v="7"/>
    <x v="2"/>
    <x v="1"/>
    <n v="0.85550101809076895"/>
    <n v="1.53383800178035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8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8"/>
    <x v="8"/>
    <x v="1"/>
    <x v="1"/>
    <n v="0.85510768626576406"/>
    <n v="1.4825272696706001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8"/>
    <x v="8"/>
    <x v="2"/>
    <x v="1"/>
    <n v="0.85510768626576406"/>
    <n v="1.4825272696706001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8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8"/>
    <x v="9"/>
    <x v="0"/>
    <x v="0"/>
    <n v="4.6077118410630504E-3"/>
    <n v="3E+20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8"/>
    <x v="10"/>
    <x v="0"/>
    <x v="0"/>
    <n v="6.4983761586690399E-3"/>
    <n v="5.0055307398241702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8"/>
    <x v="11"/>
    <x v="0"/>
    <x v="0"/>
    <n v="2.7767008081367602E-3"/>
    <n v="2.5312812034092899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8"/>
    <x v="12"/>
    <x v="0"/>
    <x v="0"/>
    <n v="3.7244128651004798E-3"/>
    <n v="3.5826806300397798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8"/>
    <x v="13"/>
    <x v="1"/>
    <x v="1"/>
    <n v="0.84048036374453705"/>
    <n v="1.8032303589784599E-2"/>
    <n v="0"/>
    <n v="1"/>
    <n v="1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8"/>
    <x v="13"/>
    <x v="2"/>
    <x v="1"/>
    <n v="0.84048036374453705"/>
    <n v="1.8032303589784599E-2"/>
    <n v="0"/>
    <n v="1"/>
    <n v="1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8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8"/>
    <x v="14"/>
    <x v="1"/>
    <x v="1"/>
    <n v="0.76752965241864102"/>
    <n v="1.7847235602902599E-2"/>
    <n v="0"/>
    <n v="1"/>
    <n v="1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8"/>
    <x v="14"/>
    <x v="2"/>
    <x v="1"/>
    <n v="0.76752965241864102"/>
    <n v="1.7847235602902599E-2"/>
    <n v="0"/>
    <n v="1"/>
    <n v="1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8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8"/>
    <x v="15"/>
    <x v="1"/>
    <x v="1"/>
    <n v="0.85153212247057997"/>
    <n v="3E+20"/>
    <n v="0"/>
    <n v="1"/>
    <n v="1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8"/>
    <x v="15"/>
    <x v="2"/>
    <x v="1"/>
    <n v="0.85153212247057997"/>
    <n v="3E+20"/>
    <n v="0"/>
    <n v="1"/>
    <n v="1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8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8"/>
    <x v="16"/>
    <x v="1"/>
    <x v="1"/>
    <n v="0.84048036374453705"/>
    <n v="1.8032303589784599E-2"/>
    <n v="0"/>
    <n v="1"/>
    <n v="1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8"/>
    <x v="16"/>
    <x v="2"/>
    <x v="1"/>
    <n v="0.84048036374453705"/>
    <n v="1.8032303589784599E-2"/>
    <n v="0"/>
    <n v="1"/>
    <n v="1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8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8"/>
    <x v="17"/>
    <x v="1"/>
    <x v="1"/>
    <n v="0.76752965241864102"/>
    <n v="1.7847235602902599E-2"/>
    <n v="0"/>
    <n v="1"/>
    <n v="1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8"/>
    <x v="17"/>
    <x v="2"/>
    <x v="1"/>
    <n v="0.76752965241864102"/>
    <n v="1.7847235602902599E-2"/>
    <n v="0"/>
    <n v="1"/>
    <n v="1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8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8"/>
    <x v="18"/>
    <x v="1"/>
    <x v="1"/>
    <n v="0.85153212247057997"/>
    <n v="3E+20"/>
    <n v="0"/>
    <n v="1"/>
    <n v="1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8"/>
    <x v="18"/>
    <x v="2"/>
    <x v="1"/>
    <n v="0.85153212247057997"/>
    <n v="3E+20"/>
    <n v="0"/>
    <n v="1"/>
    <n v="1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8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8"/>
    <x v="19"/>
    <x v="0"/>
    <x v="0"/>
    <n v="2.7069146743970798"/>
    <n v="0.60171432713403605"/>
    <n v="0"/>
    <n v="22"/>
    <n v="5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8"/>
    <x v="20"/>
    <x v="0"/>
    <x v="0"/>
    <n v="1.35495665442863"/>
    <n v="0.22922239228867999"/>
    <n v="0"/>
    <n v="16"/>
    <n v="1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8"/>
    <x v="21"/>
    <x v="0"/>
    <x v="0"/>
    <n v="2.1762907983550299"/>
    <n v="0.38034953892314499"/>
    <n v="0"/>
    <n v="23"/>
    <n v="1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8"/>
    <x v="22"/>
    <x v="2"/>
    <x v="3"/>
    <n v="0.79714222975806304"/>
    <n v="8.6172187297498294E-3"/>
    <n v="0"/>
    <n v="2"/>
    <n v="2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8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8"/>
    <x v="22"/>
    <x v="5"/>
    <x v="3"/>
    <n v="0.39857111487903202"/>
    <n v="4.3086093648749104E-3"/>
    <n v="0"/>
    <n v="1"/>
    <n v="1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9"/>
    <x v="0"/>
    <x v="0"/>
    <x v="0"/>
    <n v="2.00826089573046"/>
    <n v="0.35372840131997701"/>
    <n v="0"/>
    <n v="25"/>
    <n v="1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9"/>
    <x v="1"/>
    <x v="1"/>
    <x v="1"/>
    <n v="0.75553585059543105"/>
    <n v="1.8950089939103801E-2"/>
    <n v="0"/>
    <n v="1"/>
    <n v="1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9"/>
    <x v="1"/>
    <x v="2"/>
    <x v="1"/>
    <n v="1.5110717011908601"/>
    <n v="3.79001798782077E-2"/>
    <n v="0"/>
    <n v="2"/>
    <n v="2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9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9"/>
    <x v="2"/>
    <x v="1"/>
    <x v="1"/>
    <n v="0.75434550443435999"/>
    <n v="1.94207002760385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9"/>
    <x v="2"/>
    <x v="2"/>
    <x v="1"/>
    <n v="0.75434550443435999"/>
    <n v="1.94207002760385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9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9"/>
    <x v="3"/>
    <x v="1"/>
    <x v="1"/>
    <n v="0.75672619675650699"/>
    <n v="1.93827360240201E-2"/>
    <n v="0"/>
    <n v="1"/>
    <n v="1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9"/>
    <x v="3"/>
    <x v="2"/>
    <x v="1"/>
    <n v="0.75672619675650699"/>
    <n v="1.93827360240201E-2"/>
    <n v="0"/>
    <n v="1"/>
    <n v="1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9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9"/>
    <x v="4"/>
    <x v="4"/>
    <x v="2"/>
    <n v="18.085149792468599"/>
    <n v="1.65723522179071"/>
    <n v="0"/>
    <n v="53"/>
    <n v="13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9"/>
    <x v="5"/>
    <x v="0"/>
    <x v="0"/>
    <n v="1.4068415350854899"/>
    <n v="0.31912597957528299"/>
    <n v="0"/>
    <n v="19"/>
    <n v="1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9"/>
    <x v="6"/>
    <x v="1"/>
    <x v="1"/>
    <n v="0.87632698102425799"/>
    <n v="1.5699900558801199E-2"/>
    <n v="0"/>
    <n v="1"/>
    <n v="1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9"/>
    <x v="6"/>
    <x v="2"/>
    <x v="1"/>
    <n v="0.87632698102425799"/>
    <n v="1.5699900558801199E-2"/>
    <n v="0"/>
    <n v="1"/>
    <n v="1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9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9"/>
    <x v="7"/>
    <x v="1"/>
    <x v="1"/>
    <n v="0.872966031274238"/>
    <n v="1.7222392379132801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9"/>
    <x v="7"/>
    <x v="2"/>
    <x v="1"/>
    <n v="0.872966031274238"/>
    <n v="1.7222392379132801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9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9"/>
    <x v="8"/>
    <x v="1"/>
    <x v="1"/>
    <n v="0.87049911855662898"/>
    <n v="1.5487237457998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9"/>
    <x v="8"/>
    <x v="2"/>
    <x v="1"/>
    <n v="0.87049911855662898"/>
    <n v="1.5487237457998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9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9"/>
    <x v="9"/>
    <x v="0"/>
    <x v="0"/>
    <n v="5.19139886192292E-3"/>
    <n v="5.4871959812777802E-4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9"/>
    <x v="10"/>
    <x v="0"/>
    <x v="0"/>
    <n v="7.04705921521653E-3"/>
    <n v="6.2266818537148199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9"/>
    <x v="11"/>
    <x v="0"/>
    <x v="0"/>
    <n v="2.9229235884505101E-3"/>
    <n v="3.5316087929505299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9"/>
    <x v="12"/>
    <x v="0"/>
    <x v="0"/>
    <n v="4.2011525084732302E-3"/>
    <n v="3.88182216583157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9"/>
    <x v="13"/>
    <x v="1"/>
    <x v="1"/>
    <n v="0.85796950456786103"/>
    <n v="1.93567209747448E-2"/>
    <n v="0"/>
    <n v="1"/>
    <n v="1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9"/>
    <x v="13"/>
    <x v="2"/>
    <x v="1"/>
    <n v="0.85796950456786103"/>
    <n v="1.93567209747448E-2"/>
    <n v="0"/>
    <n v="1"/>
    <n v="1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9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9"/>
    <x v="14"/>
    <x v="1"/>
    <x v="1"/>
    <n v="0.77980236616475795"/>
    <n v="2.0226866506446201E-2"/>
    <n v="0"/>
    <n v="1"/>
    <n v="1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9"/>
    <x v="14"/>
    <x v="2"/>
    <x v="1"/>
    <n v="0.77980236616475795"/>
    <n v="2.0226866506446201E-2"/>
    <n v="0"/>
    <n v="1"/>
    <n v="1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9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9"/>
    <x v="15"/>
    <x v="1"/>
    <x v="1"/>
    <n v="0.87000527345659695"/>
    <n v="1.6393049017206299E-2"/>
    <n v="0"/>
    <n v="1"/>
    <n v="1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9"/>
    <x v="15"/>
    <x v="2"/>
    <x v="1"/>
    <n v="0.87000527345659695"/>
    <n v="1.6393049017206299E-2"/>
    <n v="0"/>
    <n v="1"/>
    <n v="1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9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9"/>
    <x v="16"/>
    <x v="1"/>
    <x v="1"/>
    <n v="0.85796950456786103"/>
    <n v="1.93567209747448E-2"/>
    <n v="0"/>
    <n v="1"/>
    <n v="1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9"/>
    <x v="16"/>
    <x v="2"/>
    <x v="1"/>
    <n v="0.85796950456786103"/>
    <n v="1.93567209747448E-2"/>
    <n v="0"/>
    <n v="1"/>
    <n v="1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9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9"/>
    <x v="17"/>
    <x v="1"/>
    <x v="1"/>
    <n v="0.77980236616475795"/>
    <n v="2.0226866506446201E-2"/>
    <n v="0"/>
    <n v="1"/>
    <n v="1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9"/>
    <x v="17"/>
    <x v="2"/>
    <x v="1"/>
    <n v="0.77980236616475795"/>
    <n v="2.0226866506446201E-2"/>
    <n v="0"/>
    <n v="1"/>
    <n v="1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9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9"/>
    <x v="18"/>
    <x v="1"/>
    <x v="1"/>
    <n v="0.87000527345659695"/>
    <n v="1.6393049017206299E-2"/>
    <n v="0"/>
    <n v="1"/>
    <n v="1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9"/>
    <x v="18"/>
    <x v="2"/>
    <x v="1"/>
    <n v="0.87000527345659695"/>
    <n v="1.6393049017206299E-2"/>
    <n v="0"/>
    <n v="1"/>
    <n v="1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9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9"/>
    <x v="19"/>
    <x v="0"/>
    <x v="0"/>
    <n v="2.7865618987969398"/>
    <n v="0.60419230925988798"/>
    <n v="0"/>
    <n v="20"/>
    <n v="3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9"/>
    <x v="20"/>
    <x v="0"/>
    <x v="0"/>
    <n v="1.74022791302924"/>
    <n v="0.41986620648614797"/>
    <n v="0"/>
    <n v="20"/>
    <n v="0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9"/>
    <x v="21"/>
    <x v="0"/>
    <x v="0"/>
    <n v="2.6776011542451599"/>
    <n v="0.62434106590254701"/>
    <n v="0"/>
    <n v="27"/>
    <n v="0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9"/>
    <x v="22"/>
    <x v="2"/>
    <x v="3"/>
    <n v="0.80765288517199496"/>
    <n v="9.3113372478858397E-3"/>
    <n v="0"/>
    <n v="2"/>
    <n v="0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9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9"/>
    <x v="22"/>
    <x v="5"/>
    <x v="3"/>
    <n v="0.40382644258599698"/>
    <n v="4.6556686239429199E-3"/>
    <n v="0"/>
    <n v="1"/>
    <n v="0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  <r>
    <x v="0"/>
    <s v="2026-08-31 10:10:59"/>
    <n v="10"/>
    <x v="0"/>
    <x v="0"/>
    <x v="0"/>
    <n v="1.844511757129"/>
    <n v="0.4238113162305"/>
    <n v="0"/>
    <n v="21"/>
    <n v="0"/>
    <n v="0"/>
    <s v="Unnamed ProjectDiagnostic Process.QueueNumber WaitingQueue"/>
    <n v="10"/>
    <n v="1.957219285972764"/>
    <n v="0.16843398768416706"/>
    <n v="0.95"/>
    <n v="0.12049041629004678"/>
    <n v="1.76226441002947"/>
    <n v="2.3188373788375798"/>
    <n v="0.12049041629004678"/>
  </r>
  <r>
    <x v="0"/>
    <s v="2026-08-31 10:10:59"/>
    <n v="10"/>
    <x v="1"/>
    <x v="1"/>
    <x v="1"/>
    <n v="0.73578099184835299"/>
    <n v="2.0397358881022499E-2"/>
    <n v="0"/>
    <n v="1"/>
    <n v="1"/>
    <n v="0"/>
    <s v="Unnamed ProjectDiagnosticMachineInstantaneous UtilizationResource"/>
    <n v="10"/>
    <n v="0.75203828164859643"/>
    <n v="9.2748854731057942E-3"/>
    <n v="0.95"/>
    <n v="6.6348533752732253E-3"/>
    <n v="0.73578099184835299"/>
    <n v="0.76817992377286104"/>
    <n v="6.6348533752732253E-3"/>
  </r>
  <r>
    <x v="0"/>
    <s v="2026-08-31 10:10:59"/>
    <n v="10"/>
    <x v="1"/>
    <x v="2"/>
    <x v="1"/>
    <n v="1.47156198369671"/>
    <n v="4.0794717762044901E-2"/>
    <n v="0"/>
    <n v="2"/>
    <n v="2"/>
    <n v="0"/>
    <s v="Unnamed ProjectDiagnosticMachineNumber BusyResource"/>
    <n v="10"/>
    <n v="1.5040765632971917"/>
    <n v="1.854977094620993E-2"/>
    <n v="0.95"/>
    <n v="1.3269706750545264E-2"/>
    <n v="1.47156198369671"/>
    <n v="1.5363598475457201"/>
    <n v="1.3269706750545264E-2"/>
  </r>
  <r>
    <x v="0"/>
    <s v="2026-08-31 10:10:59"/>
    <n v="10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10:59"/>
    <n v="10"/>
    <x v="2"/>
    <x v="1"/>
    <x v="1"/>
    <n v="0.73777590022083495"/>
    <n v="2.2434695503227398E-2"/>
    <n v="0"/>
    <n v="1"/>
    <n v="1"/>
    <n v="0"/>
    <s v="Unnamed ProjectDiagnosticWorker1Instantaneous Utilization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10"/>
    <x v="2"/>
    <x v="2"/>
    <x v="1"/>
    <n v="0.73777590022083495"/>
    <n v="2.2434695503227398E-2"/>
    <n v="0"/>
    <n v="1"/>
    <n v="1"/>
    <n v="0"/>
    <s v="Unnamed ProjectDiagnosticWorker1Number BusyResource"/>
    <n v="10"/>
    <n v="0.75111586075292547"/>
    <n v="9.1926752531366566E-3"/>
    <n v="0.95"/>
    <n v="6.5760437266769349E-3"/>
    <n v="0.73777590022083495"/>
    <n v="0.76666045600624"/>
    <n v="6.5760437266769349E-3"/>
  </r>
  <r>
    <x v="0"/>
    <s v="2026-08-31 10:10:59"/>
    <n v="10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10:59"/>
    <n v="10"/>
    <x v="3"/>
    <x v="1"/>
    <x v="1"/>
    <n v="0.73378608347586405"/>
    <n v="1.9251370327564001E-2"/>
    <n v="0"/>
    <n v="1"/>
    <n v="1"/>
    <n v="0"/>
    <s v="Unnamed ProjectDiagnosticWorker2Instantaneous Utilization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10"/>
    <x v="3"/>
    <x v="2"/>
    <x v="1"/>
    <n v="0.73378608347586405"/>
    <n v="1.9251370327564001E-2"/>
    <n v="0"/>
    <n v="1"/>
    <n v="1"/>
    <n v="0"/>
    <s v="Unnamed ProjectDiagnosticWorker2Number BusyResource"/>
    <n v="10"/>
    <n v="0.75296070254426462"/>
    <n v="1.0201996050203582E-2"/>
    <n v="0.95"/>
    <n v="7.298068329198576E-3"/>
    <n v="0.73378608347586405"/>
    <n v="0.76969939153947697"/>
    <n v="7.298068329198576E-3"/>
  </r>
  <r>
    <x v="0"/>
    <s v="2026-08-31 10:10:59"/>
    <n v="10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10:59"/>
    <n v="10"/>
    <x v="4"/>
    <x v="4"/>
    <x v="2"/>
    <n v="16.7366016824285"/>
    <n v="2.1941340690004698"/>
    <n v="0"/>
    <n v="66"/>
    <n v="10"/>
    <n v="0"/>
    <s v="Unnamed ProjectEntity 1WIPEntity"/>
    <n v="10"/>
    <n v="17.649112520714102"/>
    <n v="0.72451361306618767"/>
    <n v="0.95"/>
    <n v="0.51828581657665529"/>
    <n v="16.327634071208799"/>
    <n v="18.8479471560706"/>
    <n v="0.51828581657665529"/>
  </r>
  <r>
    <x v="0"/>
    <s v="2026-08-31 10:10:59"/>
    <n v="10"/>
    <x v="5"/>
    <x v="0"/>
    <x v="0"/>
    <n v="1.17424478824085"/>
    <n v="3E+20"/>
    <n v="0"/>
    <n v="18"/>
    <n v="1"/>
    <n v="0"/>
    <s v="Unnamed ProjectRepair Process.QueueNumber WaitingQueue"/>
    <n v="10"/>
    <n v="1.2597425491006189"/>
    <n v="0.13213817273383896"/>
    <n v="0.95"/>
    <n v="9.4525954407496268E-2"/>
    <n v="0.99579270827195998"/>
    <n v="1.40699442999762"/>
    <n v="9.4525954407496268E-2"/>
  </r>
  <r>
    <x v="0"/>
    <s v="2026-08-31 10:10:59"/>
    <n v="10"/>
    <x v="6"/>
    <x v="1"/>
    <x v="1"/>
    <n v="0.85300206766602205"/>
    <n v="1.56934798601507E-2"/>
    <n v="0"/>
    <n v="1"/>
    <n v="1"/>
    <n v="0"/>
    <s v="Unnamed ProjectRepairWorker1Instantaneous Utilization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10"/>
    <x v="6"/>
    <x v="2"/>
    <x v="1"/>
    <n v="0.85300206766602205"/>
    <n v="1.56934798601507E-2"/>
    <n v="0"/>
    <n v="1"/>
    <n v="1"/>
    <n v="0"/>
    <s v="Unnamed ProjectRepairWorker1Number BusyResource"/>
    <n v="10"/>
    <n v="0.86617223927529052"/>
    <n v="7.3264677567561349E-3"/>
    <n v="0.95"/>
    <n v="5.2410393061669046E-3"/>
    <n v="0.85300206766602205"/>
    <n v="0.87632698102425799"/>
    <n v="5.2410393061669046E-3"/>
  </r>
  <r>
    <x v="0"/>
    <s v="2026-08-31 10:10:59"/>
    <n v="10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10:59"/>
    <n v="10"/>
    <x v="7"/>
    <x v="1"/>
    <x v="1"/>
    <n v="0.85267322894137698"/>
    <n v="1.5985131979849899E-2"/>
    <n v="0"/>
    <n v="1"/>
    <n v="1"/>
    <n v="0"/>
    <s v="Unnamed ProjectRepairWorker2Instantaneous Utilization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10"/>
    <x v="7"/>
    <x v="2"/>
    <x v="1"/>
    <n v="0.85267322894137698"/>
    <n v="1.5985131979849899E-2"/>
    <n v="0"/>
    <n v="1"/>
    <n v="1"/>
    <n v="0"/>
    <s v="Unnamed ProjectRepairWorker2Number BusyResource"/>
    <n v="10"/>
    <n v="0.86586513532824916"/>
    <n v="7.1981559947843117E-3"/>
    <n v="0.95"/>
    <n v="5.1492506011230968E-3"/>
    <n v="0.85267322894137698"/>
    <n v="0.87300868153341904"/>
    <n v="5.1492506011230968E-3"/>
  </r>
  <r>
    <x v="0"/>
    <s v="2026-08-31 10:10:59"/>
    <n v="10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10:59"/>
    <n v="10"/>
    <x v="8"/>
    <x v="1"/>
    <x v="1"/>
    <n v="0.85312589705184705"/>
    <n v="1.54470948983235E-2"/>
    <n v="0"/>
    <n v="1"/>
    <n v="1"/>
    <n v="0"/>
    <s v="Unnamed ProjectRepairWorker3Instantaneous Utilization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10"/>
    <x v="8"/>
    <x v="2"/>
    <x v="1"/>
    <n v="0.85312589705184705"/>
    <n v="1.54470948983235E-2"/>
    <n v="0"/>
    <n v="1"/>
    <n v="1"/>
    <n v="0"/>
    <s v="Unnamed ProjectRepairWorker3Number BusyResource"/>
    <n v="10"/>
    <n v="0.86584756987747569"/>
    <n v="7.1198499498994544E-3"/>
    <n v="0.95"/>
    <n v="5.093233831135466E-3"/>
    <n v="0.85312589705184705"/>
    <n v="0.87436351179675398"/>
    <n v="5.093233831135466E-3"/>
  </r>
  <r>
    <x v="0"/>
    <s v="2026-08-31 10:10:59"/>
    <n v="10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10:59"/>
    <n v="10"/>
    <x v="9"/>
    <x v="0"/>
    <x v="0"/>
    <n v="4.6044719893939302E-3"/>
    <n v="3.7683296747698802E-4"/>
    <n v="0"/>
    <n v="1"/>
    <n v="0"/>
    <n v="0"/>
    <s v="Unnamed ProjectRequest Transport Worker Test 1.QueueNumber WaitingQueue"/>
    <n v="10"/>
    <n v="4.7852429439825955E-3"/>
    <n v="2.1265852326584332E-4"/>
    <n v="0.95"/>
    <n v="1.5212674323174428E-4"/>
    <n v="4.46975375012869E-3"/>
    <n v="5.19139886192292E-3"/>
    <n v="1.5212674323174428E-4"/>
  </r>
  <r>
    <x v="0"/>
    <s v="2026-08-31 10:10:59"/>
    <n v="10"/>
    <x v="10"/>
    <x v="0"/>
    <x v="0"/>
    <n v="6.8091724367877401E-3"/>
    <n v="5.1849300203090504E-4"/>
    <n v="0"/>
    <n v="3"/>
    <n v="0"/>
    <n v="0"/>
    <s v="Unnamed ProjectRequest Transport Worker at Diagnostics.QueueNumber WaitingQueue"/>
    <n v="10"/>
    <n v="6.9351226390634898E-3"/>
    <n v="2.6614887114389868E-4"/>
    <n v="0.95"/>
    <n v="1.9039143298908446E-4"/>
    <n v="6.4644878524100302E-3"/>
    <n v="7.1613926309565699E-3"/>
    <n v="1.9039143298908446E-4"/>
  </r>
  <r>
    <x v="0"/>
    <s v="2026-08-31 10:10:59"/>
    <n v="10"/>
    <x v="11"/>
    <x v="0"/>
    <x v="0"/>
    <n v="2.6429119389876198E-3"/>
    <n v="2.51784950752073E-4"/>
    <n v="0"/>
    <n v="1"/>
    <n v="0"/>
    <n v="0"/>
    <s v="Unnamed ProjectRequest Transport Worker at Test 2.QueueNumber WaitingQueue"/>
    <n v="10"/>
    <n v="2.8613000333574589E-3"/>
    <n v="1.406815593742762E-4"/>
    <n v="0.95"/>
    <n v="1.0063752504111057E-4"/>
    <n v="2.6429119389876198E-3"/>
    <n v="3.0552991746512601E-3"/>
    <n v="1.0063752504111057E-4"/>
  </r>
  <r>
    <x v="0"/>
    <s v="2026-08-31 10:10:59"/>
    <n v="10"/>
    <x v="12"/>
    <x v="0"/>
    <x v="0"/>
    <n v="3.9620127750043801E-3"/>
    <n v="2.9583671500873397E-4"/>
    <n v="0"/>
    <n v="1"/>
    <n v="0"/>
    <n v="0"/>
    <s v="Unnamed ProjectRequest Transport Worker at Test 3.QueueNumber WaitingQueue"/>
    <n v="10"/>
    <n v="4.0215426135384764E-3"/>
    <n v="1.7434539797992556E-4"/>
    <n v="0.95"/>
    <n v="1.2471918446914371E-4"/>
    <n v="3.7244128651004798E-3"/>
    <n v="4.35137641764906E-3"/>
    <n v="1.2471918446914371E-4"/>
  </r>
  <r>
    <x v="0"/>
    <s v="2026-08-31 10:10:59"/>
    <n v="10"/>
    <x v="13"/>
    <x v="1"/>
    <x v="1"/>
    <n v="0.83618943731414597"/>
    <n v="1.7522527883034999E-2"/>
    <n v="0"/>
    <n v="1"/>
    <n v="1"/>
    <n v="0"/>
    <s v="Unnamed ProjectTestMachine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10"/>
    <x v="13"/>
    <x v="2"/>
    <x v="1"/>
    <n v="0.83618943731414597"/>
    <n v="1.7522527883034999E-2"/>
    <n v="0"/>
    <n v="1"/>
    <n v="1"/>
    <n v="0"/>
    <s v="Unnamed ProjectTestMachine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10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10:59"/>
    <n v="10"/>
    <x v="14"/>
    <x v="1"/>
    <x v="1"/>
    <n v="0.76103833180625302"/>
    <n v="2.0264822476788898E-2"/>
    <n v="0"/>
    <n v="1"/>
    <n v="0"/>
    <n v="0"/>
    <s v="Unnamed ProjectTestMachine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10"/>
    <x v="14"/>
    <x v="2"/>
    <x v="1"/>
    <n v="0.76103833180625302"/>
    <n v="2.0264822476788898E-2"/>
    <n v="0"/>
    <n v="1"/>
    <n v="0"/>
    <n v="0"/>
    <s v="Unnamed ProjectTestMachine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10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10:59"/>
    <n v="10"/>
    <x v="15"/>
    <x v="1"/>
    <x v="1"/>
    <n v="0.84465777371794004"/>
    <n v="1.6472116663398699E-2"/>
    <n v="0"/>
    <n v="1"/>
    <n v="1"/>
    <n v="0"/>
    <s v="Unnamed ProjectTestMachine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10"/>
    <x v="15"/>
    <x v="2"/>
    <x v="1"/>
    <n v="0.84465777371794004"/>
    <n v="1.6472116663398699E-2"/>
    <n v="0"/>
    <n v="1"/>
    <n v="1"/>
    <n v="0"/>
    <s v="Unnamed ProjectTestMachine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10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10:59"/>
    <n v="10"/>
    <x v="16"/>
    <x v="1"/>
    <x v="1"/>
    <n v="0.83618943731414597"/>
    <n v="1.7522527883034999E-2"/>
    <n v="0"/>
    <n v="1"/>
    <n v="1"/>
    <n v="0"/>
    <s v="Unnamed ProjectTestWorker1Instantaneous Utilization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10"/>
    <x v="16"/>
    <x v="2"/>
    <x v="1"/>
    <n v="0.83618943731414597"/>
    <n v="1.7522527883034999E-2"/>
    <n v="0"/>
    <n v="1"/>
    <n v="1"/>
    <n v="0"/>
    <s v="Unnamed ProjectTestWorker1Number BusyResource"/>
    <n v="10"/>
    <n v="0.85369868202434152"/>
    <n v="9.4705605009894993E-3"/>
    <n v="0.95"/>
    <n v="6.774830857795836E-3"/>
    <n v="0.83618943731414597"/>
    <n v="0.86586763783419696"/>
    <n v="6.774830857795836E-3"/>
  </r>
  <r>
    <x v="0"/>
    <s v="2026-08-31 10:10:59"/>
    <n v="10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10:59"/>
    <n v="10"/>
    <x v="17"/>
    <x v="1"/>
    <x v="1"/>
    <n v="0.76103833180625302"/>
    <n v="2.0264822476788898E-2"/>
    <n v="0"/>
    <n v="1"/>
    <n v="0"/>
    <n v="0"/>
    <s v="Unnamed ProjectTestWorker2Instantaneous Utilization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10"/>
    <x v="17"/>
    <x v="2"/>
    <x v="1"/>
    <n v="0.76103833180625302"/>
    <n v="2.0264822476788898E-2"/>
    <n v="0"/>
    <n v="1"/>
    <n v="0"/>
    <n v="0"/>
    <s v="Unnamed ProjectTestWorker2Number BusyResource"/>
    <n v="10"/>
    <n v="0.77500127942574837"/>
    <n v="1.1134375758682289E-2"/>
    <n v="0.95"/>
    <n v="7.9650525926457348E-3"/>
    <n v="0.75864843854708297"/>
    <n v="0.79252596119945096"/>
    <n v="7.9650525926457348E-3"/>
  </r>
  <r>
    <x v="0"/>
    <s v="2026-08-31 10:10:59"/>
    <n v="10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10:59"/>
    <n v="10"/>
    <x v="18"/>
    <x v="1"/>
    <x v="1"/>
    <n v="0.84465777371794004"/>
    <n v="1.6472116663398699E-2"/>
    <n v="0"/>
    <n v="1"/>
    <n v="1"/>
    <n v="0"/>
    <s v="Unnamed ProjectTestWorker3Instantaneous Utilization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10"/>
    <x v="18"/>
    <x v="2"/>
    <x v="1"/>
    <n v="0.84465777371794004"/>
    <n v="1.6472116663398699E-2"/>
    <n v="0"/>
    <n v="1"/>
    <n v="1"/>
    <n v="0"/>
    <s v="Unnamed ProjectTestWorker3Number BusyResource"/>
    <n v="10"/>
    <n v="0.85958220767724303"/>
    <n v="8.2249879280646958E-3"/>
    <n v="0.95"/>
    <n v="5.8838019158664288E-3"/>
    <n v="0.84465777371794004"/>
    <n v="0.87000527345659695"/>
    <n v="5.8838019158664288E-3"/>
  </r>
  <r>
    <x v="0"/>
    <s v="2026-08-31 10:10:59"/>
    <n v="10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10:59"/>
    <n v="10"/>
    <x v="19"/>
    <x v="0"/>
    <x v="0"/>
    <n v="2.3924416646278499"/>
    <n v="0.47787885041214601"/>
    <n v="0"/>
    <n v="25"/>
    <n v="0"/>
    <n v="0"/>
    <s v="Unnamed ProjectTesting Process 1.QueueNumber WaitingQueue"/>
    <n v="10"/>
    <n v="2.9620150611544198"/>
    <n v="0.41583676199851366"/>
    <n v="0.95"/>
    <n v="0.29747169945211638"/>
    <n v="2.3924416646278499"/>
    <n v="3.7422761400348601"/>
    <n v="0.29747169945211638"/>
  </r>
  <r>
    <x v="0"/>
    <s v="2026-08-31 10:10:59"/>
    <n v="10"/>
    <x v="20"/>
    <x v="0"/>
    <x v="0"/>
    <n v="1.5834094957481399"/>
    <n v="0.663749836858881"/>
    <n v="0"/>
    <n v="26"/>
    <n v="0"/>
    <n v="0"/>
    <s v="Unnamed ProjectTesting Process 2.QueueNumber WaitingQueue"/>
    <n v="10"/>
    <n v="1.5119585770811181"/>
    <n v="0.17059044154543959"/>
    <n v="0.95"/>
    <n v="0.1220330504521152"/>
    <n v="1.2409432816355801"/>
    <n v="1.7520834896992801"/>
    <n v="0.1220330504521152"/>
  </r>
  <r>
    <x v="0"/>
    <s v="2026-08-31 10:10:59"/>
    <n v="10"/>
    <x v="21"/>
    <x v="0"/>
    <x v="0"/>
    <n v="2.45427652881967"/>
    <n v="0.76119475794580205"/>
    <n v="0"/>
    <n v="29"/>
    <n v="1"/>
    <n v="0"/>
    <s v="Unnamed ProjectTesting Process 3.QueueNumber WaitingQueue"/>
    <n v="10"/>
    <n v="2.5461678573548379"/>
    <n v="0.18978609869233531"/>
    <n v="0.95"/>
    <n v="0.1357647963567922"/>
    <n v="2.1762907983550299"/>
    <n v="2.7399798743587298"/>
    <n v="0.1357647963567922"/>
  </r>
  <r>
    <x v="0"/>
    <s v="2026-08-31 10:10:59"/>
    <n v="10"/>
    <x v="22"/>
    <x v="2"/>
    <x v="3"/>
    <n v="0.79745015852854995"/>
    <n v="8.9835207290321906E-3"/>
    <n v="0"/>
    <n v="2"/>
    <n v="1"/>
    <n v="0"/>
    <s v="Unnamed ProjectTransportWorkersNumber BusyTransporter"/>
    <n v="10"/>
    <n v="0.80316230491487484"/>
    <n v="4.6712966449025829E-3"/>
    <n v="0.95"/>
    <n v="3.3416443147686586E-3"/>
    <n v="0.79714222975806304"/>
    <n v="0.81086270984605202"/>
    <n v="3.3416443147686586E-3"/>
  </r>
  <r>
    <x v="0"/>
    <s v="2026-08-31 10:10:59"/>
    <n v="10"/>
    <x v="22"/>
    <x v="3"/>
    <x v="3"/>
    <n v="2"/>
    <n v="2E+20"/>
    <n v="2"/>
    <n v="2"/>
    <n v="2"/>
    <n v="0"/>
    <s v="Unnamed ProjectTransportWorkersNumber ScheduledTransporter"/>
    <n v="10"/>
    <n v="2"/>
    <n v="0"/>
    <n v="0.95"/>
    <n v="0"/>
    <n v="2"/>
    <n v="2"/>
    <n v="0"/>
  </r>
  <r>
    <x v="0"/>
    <s v="2026-08-31 10:10:59"/>
    <n v="10"/>
    <x v="22"/>
    <x v="5"/>
    <x v="3"/>
    <n v="0.39872507926427703"/>
    <n v="4.4917603645160996E-3"/>
    <n v="0"/>
    <n v="1"/>
    <n v="0.5"/>
    <n v="0"/>
    <s v="Unnamed ProjectTransportWorkersUtilizationTransporter"/>
    <n v="10"/>
    <n v="0.40158115245743764"/>
    <n v="2.3356483224507181E-3"/>
    <n v="0.95"/>
    <n v="1.6708221573839188E-3"/>
    <n v="0.39857111487903202"/>
    <n v="0.40543135492302601"/>
    <n v="1.6708221573839188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2"/>
        <item m="1" x="45"/>
        <item m="1" x="17"/>
        <item m="1" x="97"/>
        <item m="1" x="80"/>
        <item m="1" x="50"/>
        <item m="1" x="106"/>
        <item m="1" x="38"/>
        <item m="1" x="42"/>
        <item x="1"/>
        <item m="1" x="75"/>
        <item m="1" x="87"/>
        <item m="1" x="92"/>
        <item m="1" x="16"/>
        <item m="1" x="44"/>
        <item m="1" x="34"/>
        <item m="1" x="109"/>
        <item m="1" x="104"/>
        <item m="1" x="32"/>
        <item m="1" x="26"/>
        <item m="1" x="98"/>
        <item m="1" x="18"/>
        <item m="1" x="51"/>
        <item m="1" x="37"/>
        <item m="1" x="62"/>
        <item m="1" x="89"/>
        <item m="1" x="53"/>
        <item m="1" x="23"/>
        <item m="1" x="47"/>
        <item m="1" x="76"/>
        <item m="1" x="66"/>
        <item m="1" x="24"/>
        <item m="1" x="83"/>
        <item m="1" x="15"/>
        <item m="1" x="103"/>
        <item m="1" x="71"/>
        <item m="1" x="91"/>
        <item m="1" x="46"/>
        <item m="1" x="105"/>
        <item m="1" x="74"/>
        <item m="1" x="28"/>
        <item m="1" x="65"/>
        <item m="1" x="79"/>
        <item m="1" x="90"/>
        <item m="1" x="96"/>
        <item m="1" x="14"/>
        <item m="1" x="27"/>
        <item m="1" x="36"/>
        <item m="1" x="29"/>
        <item m="1" x="13"/>
        <item m="1" x="88"/>
        <item m="1" x="100"/>
        <item m="1" x="40"/>
        <item m="1" x="70"/>
        <item m="1" x="31"/>
        <item m="1" x="48"/>
        <item m="1" x="35"/>
        <item m="1" x="56"/>
        <item m="1" x="43"/>
        <item m="1" x="63"/>
        <item m="1" x="49"/>
        <item m="1" x="72"/>
        <item m="1" x="57"/>
        <item m="1" x="77"/>
        <item m="1" x="64"/>
        <item m="1" x="85"/>
        <item m="1" x="78"/>
        <item m="1" x="93"/>
        <item m="1" x="101"/>
        <item m="1" x="81"/>
        <item m="1" x="60"/>
        <item m="1" x="41"/>
        <item m="1" x="54"/>
        <item m="1" x="25"/>
        <item m="1" x="30"/>
        <item m="1" x="39"/>
        <item m="1" x="67"/>
        <item m="1" x="102"/>
        <item m="1" x="95"/>
        <item m="1" x="82"/>
        <item m="1" x="55"/>
        <item m="1" x="68"/>
        <item m="1" x="59"/>
        <item m="1" x="84"/>
        <item m="1" x="69"/>
        <item m="1" x="52"/>
        <item m="1" x="58"/>
        <item m="1" x="21"/>
        <item m="1" x="61"/>
        <item m="1" x="73"/>
        <item m="1" x="86"/>
        <item m="1" x="94"/>
        <item m="1" x="99"/>
        <item m="1" x="108"/>
        <item m="1" x="19"/>
        <item m="1" x="33"/>
        <item m="1" x="107"/>
        <item m="1" x="20"/>
        <item m="1" x="12"/>
        <item x="0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13">
        <item m="1" x="12"/>
        <item x="1"/>
        <item x="2"/>
        <item x="3"/>
        <item x="4"/>
        <item x="5"/>
        <item x="6"/>
        <item x="0"/>
        <item m="1" x="9"/>
        <item m="1" x="10"/>
        <item m="1" x="11"/>
        <item m="1" x="8"/>
        <item x="7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12"/>
      <x v="2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12"/>
      <x v="2"/>
    </i>
    <i r="1">
      <x v="107"/>
      <x v="7"/>
      <x v="1"/>
    </i>
    <i r="1">
      <x v="108"/>
      <x v="7"/>
      <x v="1"/>
    </i>
    <i r="1">
      <x v="10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52"/>
        <item m="1" x="28"/>
        <item m="1" x="53"/>
        <item m="1" x="29"/>
        <item m="1" x="54"/>
        <item m="1" x="30"/>
        <item m="1" x="55"/>
        <item m="1" x="31"/>
        <item m="1" x="87"/>
        <item m="1" x="42"/>
        <item x="14"/>
        <item m="1" x="86"/>
        <item m="1" x="73"/>
        <item m="1" x="90"/>
        <item m="1" x="75"/>
        <item x="6"/>
        <item x="7"/>
        <item m="1" x="67"/>
        <item m="1" x="35"/>
        <item m="1" x="84"/>
        <item m="1" x="74"/>
        <item m="1" x="72"/>
        <item m="1" x="38"/>
        <item m="1" x="82"/>
        <item m="1" x="47"/>
        <item m="1" x="83"/>
        <item m="1" x="48"/>
        <item m="1" x="81"/>
        <item m="1" x="99"/>
        <item m="1" x="41"/>
        <item m="1" x="102"/>
        <item m="1" x="69"/>
        <item m="1" x="36"/>
        <item m="1" x="97"/>
        <item m="1" x="93"/>
        <item m="1" x="70"/>
        <item m="1" x="37"/>
        <item m="1" x="98"/>
        <item m="1" x="94"/>
        <item m="1" x="32"/>
        <item m="1" x="66"/>
        <item m="1" x="50"/>
        <item m="1" x="40"/>
        <item m="1" x="91"/>
        <item m="1" x="62"/>
        <item m="1" x="92"/>
        <item m="1" x="63"/>
        <item m="1" x="49"/>
        <item m="1" x="44"/>
        <item m="1" x="71"/>
        <item m="1" x="46"/>
        <item m="1" x="101"/>
        <item m="1" x="95"/>
        <item m="1" x="45"/>
        <item m="1" x="43"/>
        <item m="1" x="88"/>
        <item m="1" x="96"/>
        <item m="1" x="33"/>
        <item m="1" x="51"/>
        <item m="1" x="64"/>
        <item m="1" x="85"/>
        <item m="1" x="100"/>
        <item m="1" x="34"/>
        <item m="1" x="61"/>
        <item m="1" x="65"/>
        <item m="1" x="89"/>
        <item m="1" x="68"/>
        <item m="1" x="39"/>
        <item m="1" x="56"/>
        <item m="1" x="76"/>
        <item m="1" x="57"/>
        <item m="1" x="77"/>
        <item m="1" x="58"/>
        <item m="1" x="78"/>
        <item m="1" x="59"/>
        <item m="1" x="79"/>
        <item m="1" x="60"/>
        <item m="1" x="80"/>
        <item m="1" x="27"/>
        <item x="0"/>
        <item x="1"/>
        <item x="2"/>
        <item x="3"/>
        <item x="4"/>
        <item x="5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7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 v="3"/>
      <x v="1"/>
    </i>
    <i r="1">
      <x v="92"/>
      <x v="2"/>
      <x v="1"/>
    </i>
    <i r="1">
      <x v="93"/>
      <x v="3"/>
      <x v="1"/>
    </i>
    <i r="1">
      <x v="94"/>
      <x v="2"/>
      <x v="1"/>
    </i>
    <i r="1">
      <x v="95"/>
      <x v="3"/>
      <x v="1"/>
    </i>
    <i r="1">
      <x v="96"/>
      <x v="2"/>
      <x v="1"/>
    </i>
    <i r="1">
      <x v="97"/>
      <x v="3"/>
      <x v="1"/>
    </i>
    <i r="1">
      <x v="98"/>
      <x v="2"/>
      <x v="1"/>
    </i>
    <i r="1">
      <x v="99"/>
      <x v="3"/>
      <x v="1"/>
    </i>
    <i r="1">
      <x v="100"/>
      <x v="2"/>
      <x v="1"/>
    </i>
    <i r="1">
      <x v="101"/>
      <x v="3"/>
      <x v="1"/>
    </i>
    <i r="1">
      <x v="10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5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6">
        <item m="1" x="38"/>
        <item m="1" x="29"/>
        <item m="1" x="45"/>
        <item m="1" x="54"/>
        <item m="1" x="67"/>
        <item m="1" x="66"/>
        <item m="1" x="30"/>
        <item m="1" x="131"/>
        <item m="1" x="109"/>
        <item m="1" x="72"/>
        <item m="1" x="59"/>
        <item m="1" x="63"/>
        <item x="4"/>
        <item m="1" x="48"/>
        <item m="1" x="130"/>
        <item m="1" x="52"/>
        <item m="1" x="103"/>
        <item m="1" x="117"/>
        <item m="1" x="27"/>
        <item m="1" x="53"/>
        <item m="1" x="140"/>
        <item m="1" x="42"/>
        <item m="1" x="132"/>
        <item m="1" x="31"/>
        <item m="1" x="58"/>
        <item m="1" x="84"/>
        <item m="1" x="28"/>
        <item m="1" x="34"/>
        <item m="1" x="104"/>
        <item m="1" x="85"/>
        <item m="1" x="119"/>
        <item m="1" x="75"/>
        <item m="1" x="39"/>
        <item m="1" x="69"/>
        <item m="1" x="105"/>
        <item m="1" x="90"/>
        <item m="1" x="40"/>
        <item m="1" x="50"/>
        <item m="1" x="112"/>
        <item m="1" x="26"/>
        <item m="1" x="139"/>
        <item m="1" x="97"/>
        <item m="1" x="37"/>
        <item m="1" x="122"/>
        <item m="1" x="68"/>
        <item m="1" x="141"/>
        <item m="1" x="102"/>
        <item m="1" x="44"/>
        <item m="1" x="89"/>
        <item m="1" x="108"/>
        <item m="1" x="121"/>
        <item m="1" x="129"/>
        <item m="1" x="138"/>
        <item m="1" x="25"/>
        <item m="1" x="43"/>
        <item m="1" x="57"/>
        <item m="1" x="46"/>
        <item m="1" x="24"/>
        <item m="1" x="118"/>
        <item m="1" x="135"/>
        <item m="1" x="61"/>
        <item m="1" x="96"/>
        <item m="1" x="49"/>
        <item m="1" x="70"/>
        <item m="1" x="55"/>
        <item m="1" x="79"/>
        <item m="1" x="64"/>
        <item m="1" x="86"/>
        <item m="1" x="71"/>
        <item m="1" x="98"/>
        <item m="1" x="80"/>
        <item m="1" x="106"/>
        <item m="1" x="87"/>
        <item m="1" x="115"/>
        <item m="1" x="99"/>
        <item m="1" x="120"/>
        <item m="1" x="107"/>
        <item m="1" x="124"/>
        <item m="1" x="136"/>
        <item m="1" x="126"/>
        <item m="1" x="110"/>
        <item m="1" x="83"/>
        <item m="1" x="62"/>
        <item m="1" x="77"/>
        <item m="1" x="41"/>
        <item m="1" x="47"/>
        <item m="1" x="56"/>
        <item m="1" x="60"/>
        <item m="1" x="92"/>
        <item m="1" x="137"/>
        <item m="1" x="127"/>
        <item m="1" x="111"/>
        <item m="1" x="78"/>
        <item m="1" x="145"/>
        <item m="1" x="94"/>
        <item m="1" x="82"/>
        <item m="1" x="114"/>
        <item m="1" x="95"/>
        <item m="1" x="74"/>
        <item m="1" x="81"/>
        <item m="1" x="35"/>
        <item m="1" x="100"/>
        <item m="1" x="116"/>
        <item m="1" x="125"/>
        <item m="1" x="133"/>
        <item m="1" x="144"/>
        <item m="1" x="32"/>
        <item m="1" x="51"/>
        <item m="1" x="143"/>
        <item m="1" x="33"/>
        <item m="1" x="101"/>
        <item m="1" x="76"/>
        <item m="1" x="91"/>
        <item m="1" x="36"/>
        <item m="1" x="142"/>
        <item m="1" x="123"/>
        <item m="1" x="73"/>
        <item m="1" x="134"/>
        <item m="1" x="93"/>
        <item m="1" x="113"/>
        <item m="1" x="128"/>
        <item m="1" x="65"/>
        <item m="1" x="88"/>
        <item m="1" x="23"/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8">
        <item x="1"/>
        <item x="2"/>
        <item x="3"/>
        <item x="0"/>
        <item x="4"/>
        <item m="1" x="7"/>
        <item m="1" x="6"/>
        <item x="5"/>
      </items>
    </pivotField>
    <pivotField axis="axisRow" compact="0" outline="0" showAll="0" defaultSubtotal="0">
      <items count="6">
        <item x="2"/>
        <item x="0"/>
        <item x="1"/>
        <item m="1" x="5"/>
        <item m="1" x="4"/>
        <item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49">
    <i>
      <x v="3"/>
      <x v="12"/>
      <x v="4"/>
      <x/>
    </i>
    <i r="1">
      <x v="124"/>
      <x v="3"/>
      <x v="1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 v="3"/>
      <x v="1"/>
    </i>
    <i r="1">
      <x v="136"/>
      <x/>
      <x v="2"/>
    </i>
    <i r="2">
      <x v="1"/>
      <x v="2"/>
    </i>
    <i r="2">
      <x v="2"/>
      <x v="2"/>
    </i>
    <i r="1">
      <x v="137"/>
      <x/>
      <x v="2"/>
    </i>
    <i r="2">
      <x v="1"/>
      <x v="2"/>
    </i>
    <i r="2">
      <x v="2"/>
      <x v="2"/>
    </i>
    <i r="1">
      <x v="138"/>
      <x/>
      <x v="2"/>
    </i>
    <i r="2">
      <x v="1"/>
      <x v="2"/>
    </i>
    <i r="2">
      <x v="2"/>
      <x v="2"/>
    </i>
    <i r="1">
      <x v="139"/>
      <x/>
      <x v="2"/>
    </i>
    <i r="2">
      <x v="1"/>
      <x v="2"/>
    </i>
    <i r="2">
      <x v="2"/>
      <x v="2"/>
    </i>
    <i r="1">
      <x v="140"/>
      <x/>
      <x v="2"/>
    </i>
    <i r="2">
      <x v="1"/>
      <x v="2"/>
    </i>
    <i r="2">
      <x v="2"/>
      <x v="2"/>
    </i>
    <i r="1">
      <x v="141"/>
      <x/>
      <x v="2"/>
    </i>
    <i r="2">
      <x v="1"/>
      <x v="2"/>
    </i>
    <i r="2">
      <x v="2"/>
      <x v="2"/>
    </i>
    <i r="1">
      <x v="142"/>
      <x v="3"/>
      <x v="1"/>
    </i>
    <i r="1">
      <x v="143"/>
      <x v="3"/>
      <x v="1"/>
    </i>
    <i r="1">
      <x v="144"/>
      <x v="3"/>
      <x v="1"/>
    </i>
    <i r="1">
      <x v="145"/>
      <x v="1"/>
      <x v="5"/>
    </i>
    <i r="2">
      <x v="2"/>
      <x v="5"/>
    </i>
    <i r="2">
      <x v="7"/>
      <x v="5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71" tableType="queryTable" totalsRowShown="0">
  <autoFilter ref="A1:Y171" xr:uid="{C3D003CA-1AFF-426C-A03D-D3AF5760DF1A}"/>
  <sortState xmlns:xlrd2="http://schemas.microsoft.com/office/spreadsheetml/2017/richdata2" ref="A2:Y171">
    <sortCondition ref="D1:D17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4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3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2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1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0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9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8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7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6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5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4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3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2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1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91" tableType="queryTable" totalsRowShown="0">
  <autoFilter ref="A1:U49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70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69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68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67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66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6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71" tableType="queryTable" totalsRowShown="0">
  <autoFilter ref="A1:P27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10</v>
      </c>
      <c r="F2">
        <v>249600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1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11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73</v>
      </c>
      <c r="C3" t="s">
        <v>74</v>
      </c>
      <c r="D3" t="s">
        <v>75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12441.9</v>
      </c>
      <c r="O3" t="s">
        <v>67</v>
      </c>
      <c r="P3" t="s">
        <v>73</v>
      </c>
      <c r="Q3" t="s">
        <v>101</v>
      </c>
      <c r="R3" t="s">
        <v>75</v>
      </c>
      <c r="S3" s="5">
        <v>17.649112520714102</v>
      </c>
      <c r="T3" s="5">
        <v>0.51828581657665529</v>
      </c>
      <c r="U3" s="5">
        <v>0.72451361306618767</v>
      </c>
      <c r="V3" s="5">
        <v>16.327634071208799</v>
      </c>
      <c r="W3" s="5">
        <v>18.8479471560706</v>
      </c>
      <c r="X3" s="5">
        <v>0</v>
      </c>
      <c r="Y3" s="5">
        <v>66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132</v>
      </c>
      <c r="AM3" t="s">
        <v>125</v>
      </c>
      <c r="AN3" t="s">
        <v>133</v>
      </c>
      <c r="AO3" s="5">
        <v>12441.9</v>
      </c>
      <c r="AP3" s="5">
        <v>78.452945423796365</v>
      </c>
      <c r="AQ3" s="5">
        <v>109.66965548105516</v>
      </c>
      <c r="AR3" s="5">
        <v>12224</v>
      </c>
      <c r="AS3" s="5">
        <v>12584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76</v>
      </c>
      <c r="D4" t="s">
        <v>75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12441.9</v>
      </c>
      <c r="P4" t="s">
        <v>70</v>
      </c>
      <c r="Q4" t="s">
        <v>93</v>
      </c>
      <c r="R4" t="s">
        <v>72</v>
      </c>
      <c r="S4" s="5">
        <v>1.957219285972764</v>
      </c>
      <c r="T4" s="5">
        <v>0.12049041629004678</v>
      </c>
      <c r="U4" s="5">
        <v>0.16843398768416706</v>
      </c>
      <c r="V4" s="5">
        <v>1.76226441002947</v>
      </c>
      <c r="W4" s="5">
        <v>2.3188373788375798</v>
      </c>
      <c r="X4" s="5">
        <v>0</v>
      </c>
      <c r="Y4" s="5">
        <v>36</v>
      </c>
      <c r="AL4" t="s">
        <v>122</v>
      </c>
      <c r="AM4" t="s">
        <v>123</v>
      </c>
      <c r="AN4" t="s">
        <v>75</v>
      </c>
      <c r="AO4" s="5">
        <v>12455.3</v>
      </c>
      <c r="AP4" s="5">
        <v>78.185488204846095</v>
      </c>
      <c r="AQ4" s="5">
        <v>109.29577606964813</v>
      </c>
      <c r="AR4" s="5">
        <v>12234</v>
      </c>
      <c r="AS4" s="5">
        <v>12594</v>
      </c>
    </row>
    <row r="5" spans="1:52" x14ac:dyDescent="0.25">
      <c r="C5" t="s">
        <v>77</v>
      </c>
      <c r="D5" t="s">
        <v>75</v>
      </c>
      <c r="E5" s="5">
        <v>353.82556111299817</v>
      </c>
      <c r="F5" s="5">
        <v>1</v>
      </c>
      <c r="G5" s="5">
        <v>8.565199482368854</v>
      </c>
      <c r="H5" s="5">
        <v>11.97332326127022</v>
      </c>
      <c r="I5" s="5">
        <v>331.355585797689</v>
      </c>
      <c r="J5" s="5">
        <v>373.76644480526198</v>
      </c>
      <c r="K5" s="5">
        <v>82.055383523315001</v>
      </c>
      <c r="L5" s="5">
        <v>1654.1892179890699</v>
      </c>
      <c r="M5" s="5">
        <v>12441.9</v>
      </c>
      <c r="P5" t="s">
        <v>94</v>
      </c>
      <c r="Q5" t="s">
        <v>95</v>
      </c>
      <c r="R5" t="s">
        <v>96</v>
      </c>
      <c r="S5" s="5">
        <v>0.75203828164859643</v>
      </c>
      <c r="T5" s="5">
        <v>6.6348533752732253E-3</v>
      </c>
      <c r="U5" s="5">
        <v>9.2748854731057942E-3</v>
      </c>
      <c r="V5" s="5">
        <v>0.73578099184835299</v>
      </c>
      <c r="W5" s="5">
        <v>0.76817992377286104</v>
      </c>
      <c r="X5" s="5">
        <v>0</v>
      </c>
      <c r="Y5" s="5">
        <v>1</v>
      </c>
      <c r="AL5" t="s">
        <v>124</v>
      </c>
      <c r="AM5" t="s">
        <v>125</v>
      </c>
      <c r="AN5" t="s">
        <v>75</v>
      </c>
      <c r="AO5" s="5">
        <v>12441.9</v>
      </c>
      <c r="AP5" s="5">
        <v>78.452945423796365</v>
      </c>
      <c r="AQ5" s="5">
        <v>109.66965548105516</v>
      </c>
      <c r="AR5" s="5">
        <v>12224</v>
      </c>
      <c r="AS5" s="5">
        <v>12584</v>
      </c>
    </row>
    <row r="6" spans="1:52" x14ac:dyDescent="0.25">
      <c r="C6" t="s">
        <v>78</v>
      </c>
      <c r="D6" t="s">
        <v>75</v>
      </c>
      <c r="E6" s="5">
        <v>15.825589970296003</v>
      </c>
      <c r="F6" s="5">
        <v>1</v>
      </c>
      <c r="G6" s="5">
        <v>5.4362194933284765E-2</v>
      </c>
      <c r="H6" s="5">
        <v>7.5993108446364879E-2</v>
      </c>
      <c r="I6" s="5">
        <v>15.752758147786601</v>
      </c>
      <c r="J6" s="5">
        <v>15.994532039391199</v>
      </c>
      <c r="K6" s="5">
        <v>4.3333333333333304</v>
      </c>
      <c r="L6" s="5">
        <v>144.84902439031401</v>
      </c>
      <c r="M6" s="5">
        <v>12441.9</v>
      </c>
      <c r="Q6" t="s">
        <v>97</v>
      </c>
      <c r="R6" t="s">
        <v>96</v>
      </c>
      <c r="S6" s="5">
        <v>1.5040765632971917</v>
      </c>
      <c r="T6" s="5">
        <v>1.3269706750545264E-2</v>
      </c>
      <c r="U6" s="5">
        <v>1.854977094620993E-2</v>
      </c>
      <c r="V6" s="5">
        <v>1.47156198369671</v>
      </c>
      <c r="W6" s="5">
        <v>1.5363598475457201</v>
      </c>
      <c r="X6" s="5">
        <v>0</v>
      </c>
      <c r="Y6" s="5">
        <v>2</v>
      </c>
      <c r="AL6" t="s">
        <v>114</v>
      </c>
      <c r="AM6" t="s">
        <v>115</v>
      </c>
      <c r="AN6" t="s">
        <v>96</v>
      </c>
      <c r="AO6" s="5">
        <v>12454.5</v>
      </c>
      <c r="AP6" s="5">
        <v>77.866452258633501</v>
      </c>
      <c r="AQ6" s="5">
        <v>108.84979456929526</v>
      </c>
      <c r="AR6" s="5">
        <v>12234</v>
      </c>
      <c r="AS6" s="5">
        <v>12593</v>
      </c>
    </row>
    <row r="7" spans="1:52" x14ac:dyDescent="0.25">
      <c r="C7" t="s">
        <v>79</v>
      </c>
      <c r="D7" t="s">
        <v>75</v>
      </c>
      <c r="E7" s="5">
        <v>132.41852186059251</v>
      </c>
      <c r="F7" s="5">
        <v>1</v>
      </c>
      <c r="G7" s="5">
        <v>0.21998359655602229</v>
      </c>
      <c r="H7" s="5">
        <v>0.30751586336826864</v>
      </c>
      <c r="I7" s="5">
        <v>131.721099744529</v>
      </c>
      <c r="J7" s="5">
        <v>132.837532878931</v>
      </c>
      <c r="K7" s="5">
        <v>60.758133538780399</v>
      </c>
      <c r="L7" s="5">
        <v>441.34949113437301</v>
      </c>
      <c r="M7" s="5">
        <v>12441.9</v>
      </c>
      <c r="Q7" t="s">
        <v>98</v>
      </c>
      <c r="R7" t="s">
        <v>96</v>
      </c>
      <c r="S7" s="5">
        <v>2</v>
      </c>
      <c r="T7" s="5">
        <v>0</v>
      </c>
      <c r="U7" s="5">
        <v>0</v>
      </c>
      <c r="V7" s="5">
        <v>2</v>
      </c>
      <c r="W7" s="5">
        <v>2</v>
      </c>
      <c r="X7" s="5">
        <v>2</v>
      </c>
      <c r="Y7" s="5">
        <v>2</v>
      </c>
      <c r="AL7" t="s">
        <v>116</v>
      </c>
      <c r="AM7" t="s">
        <v>117</v>
      </c>
      <c r="AN7" t="s">
        <v>96</v>
      </c>
      <c r="AO7" s="5">
        <v>0.75203828164859643</v>
      </c>
      <c r="AP7" s="5">
        <v>6.6348533752732253E-3</v>
      </c>
      <c r="AQ7" s="5">
        <v>9.2748854731057942E-3</v>
      </c>
      <c r="AR7" s="5">
        <v>0.73578099184835299</v>
      </c>
      <c r="AS7" s="5">
        <v>0.76817992377286104</v>
      </c>
    </row>
    <row r="8" spans="1:52" x14ac:dyDescent="0.25">
      <c r="C8" t="s">
        <v>80</v>
      </c>
      <c r="D8" t="s">
        <v>75</v>
      </c>
      <c r="E8" s="5">
        <v>205.58144928211041</v>
      </c>
      <c r="F8" s="5">
        <v>1</v>
      </c>
      <c r="G8" s="5">
        <v>8.6661023862675517</v>
      </c>
      <c r="H8" s="5">
        <v>12.114375794707056</v>
      </c>
      <c r="I8" s="5">
        <v>183.00039707077201</v>
      </c>
      <c r="J8" s="5">
        <v>225.371193109704</v>
      </c>
      <c r="K8" s="5">
        <v>0</v>
      </c>
      <c r="L8" s="5">
        <v>1488.6130439000001</v>
      </c>
      <c r="M8" s="5">
        <v>12441.9</v>
      </c>
      <c r="P8" t="s">
        <v>99</v>
      </c>
      <c r="Q8" t="s">
        <v>95</v>
      </c>
      <c r="R8" t="s">
        <v>96</v>
      </c>
      <c r="S8" s="5">
        <v>0.75111586075292547</v>
      </c>
      <c r="T8" s="5">
        <v>6.5760437266769349E-3</v>
      </c>
      <c r="U8" s="5">
        <v>9.1926752531366566E-3</v>
      </c>
      <c r="V8" s="5">
        <v>0.73777590022083495</v>
      </c>
      <c r="W8" s="5">
        <v>0.76666045600624</v>
      </c>
      <c r="X8" s="5">
        <v>0</v>
      </c>
      <c r="Y8" s="5">
        <v>1</v>
      </c>
      <c r="AL8" t="s">
        <v>118</v>
      </c>
      <c r="AM8" t="s">
        <v>115</v>
      </c>
      <c r="AN8" t="s">
        <v>96</v>
      </c>
      <c r="AO8" s="5">
        <v>6223.9</v>
      </c>
      <c r="AP8" s="5">
        <v>67.066972543981066</v>
      </c>
      <c r="AQ8" s="5">
        <v>93.753162909608307</v>
      </c>
      <c r="AR8" s="5">
        <v>6030</v>
      </c>
      <c r="AS8" s="5">
        <v>6330</v>
      </c>
    </row>
    <row r="9" spans="1:52" x14ac:dyDescent="0.25">
      <c r="B9" t="s">
        <v>70</v>
      </c>
      <c r="C9" t="s">
        <v>71</v>
      </c>
      <c r="D9" t="s">
        <v>72</v>
      </c>
      <c r="E9" s="5">
        <v>39.207792077546941</v>
      </c>
      <c r="F9" s="5">
        <v>1</v>
      </c>
      <c r="G9" s="5">
        <v>2.246017095567856</v>
      </c>
      <c r="H9" s="5">
        <v>3.1397154019506459</v>
      </c>
      <c r="I9" s="5">
        <v>35.2198892420015</v>
      </c>
      <c r="J9" s="5">
        <v>45.9584238562989</v>
      </c>
      <c r="K9" s="5">
        <v>0</v>
      </c>
      <c r="L9" s="5">
        <v>587.28081555318204</v>
      </c>
      <c r="M9" s="5">
        <v>12454.5</v>
      </c>
      <c r="Q9" t="s">
        <v>97</v>
      </c>
      <c r="R9" t="s">
        <v>96</v>
      </c>
      <c r="S9" s="5">
        <v>0.75111586075292547</v>
      </c>
      <c r="T9" s="5">
        <v>6.5760437266769349E-3</v>
      </c>
      <c r="U9" s="5">
        <v>9.1926752531366566E-3</v>
      </c>
      <c r="V9" s="5">
        <v>0.73777590022083495</v>
      </c>
      <c r="W9" s="5">
        <v>0.76666045600624</v>
      </c>
      <c r="X9" s="5">
        <v>0</v>
      </c>
      <c r="Y9" s="5">
        <v>1</v>
      </c>
      <c r="AL9" t="s">
        <v>119</v>
      </c>
      <c r="AM9" t="s">
        <v>117</v>
      </c>
      <c r="AN9" t="s">
        <v>96</v>
      </c>
      <c r="AO9" s="5">
        <v>0.75111586075292547</v>
      </c>
      <c r="AP9" s="5">
        <v>6.5760437266769349E-3</v>
      </c>
      <c r="AQ9" s="5">
        <v>9.1926752531366566E-3</v>
      </c>
      <c r="AR9" s="5">
        <v>0.73777590022083495</v>
      </c>
      <c r="AS9" s="5">
        <v>0.76666045600624</v>
      </c>
    </row>
    <row r="10" spans="1:52" x14ac:dyDescent="0.25">
      <c r="B10" t="s">
        <v>81</v>
      </c>
      <c r="C10" t="s">
        <v>82</v>
      </c>
      <c r="D10" t="s">
        <v>83</v>
      </c>
      <c r="E10" s="5">
        <v>0.81986926649371017</v>
      </c>
      <c r="F10" s="5">
        <v>1</v>
      </c>
      <c r="G10" s="5">
        <v>1.9440332659583281E-2</v>
      </c>
      <c r="H10" s="5">
        <v>2.7175711169244641E-2</v>
      </c>
      <c r="I10" s="5">
        <v>0.78123742859441703</v>
      </c>
      <c r="J10" s="5">
        <v>0.86378061681178198</v>
      </c>
      <c r="K10" s="5">
        <v>0</v>
      </c>
      <c r="L10" s="5">
        <v>1</v>
      </c>
      <c r="M10" s="5">
        <v>12441.9</v>
      </c>
      <c r="Q10" t="s">
        <v>98</v>
      </c>
      <c r="R10" t="s">
        <v>96</v>
      </c>
      <c r="S10" s="5">
        <v>1</v>
      </c>
      <c r="T10" s="5">
        <v>0</v>
      </c>
      <c r="U10" s="5">
        <v>0</v>
      </c>
      <c r="V10" s="5">
        <v>1</v>
      </c>
      <c r="W10" s="5">
        <v>1</v>
      </c>
      <c r="X10" s="5">
        <v>1</v>
      </c>
      <c r="Y10" s="5">
        <v>1</v>
      </c>
      <c r="AL10" t="s">
        <v>120</v>
      </c>
      <c r="AM10" t="s">
        <v>115</v>
      </c>
      <c r="AN10" t="s">
        <v>96</v>
      </c>
      <c r="AO10" s="5">
        <v>6230.6</v>
      </c>
      <c r="AP10" s="5">
        <v>37.910466549497514</v>
      </c>
      <c r="AQ10" s="5">
        <v>52.995177977707456</v>
      </c>
      <c r="AR10" s="5">
        <v>6182</v>
      </c>
      <c r="AS10" s="5">
        <v>6338</v>
      </c>
    </row>
    <row r="11" spans="1:52" x14ac:dyDescent="0.25">
      <c r="B11" t="s">
        <v>84</v>
      </c>
      <c r="C11" t="s">
        <v>71</v>
      </c>
      <c r="D11" t="s">
        <v>72</v>
      </c>
      <c r="E11" s="5">
        <v>25.252091255895653</v>
      </c>
      <c r="F11" s="5">
        <v>1</v>
      </c>
      <c r="G11" s="5">
        <v>1.7939618173907175</v>
      </c>
      <c r="H11" s="5">
        <v>2.5077856974855068</v>
      </c>
      <c r="I11" s="5">
        <v>20.219114129714299</v>
      </c>
      <c r="J11" s="5">
        <v>27.972144754713799</v>
      </c>
      <c r="K11" s="5">
        <v>0</v>
      </c>
      <c r="L11" s="5">
        <v>379.00216561589298</v>
      </c>
      <c r="M11" s="5">
        <v>12444.6</v>
      </c>
      <c r="P11" t="s">
        <v>100</v>
      </c>
      <c r="Q11" t="s">
        <v>95</v>
      </c>
      <c r="R11" t="s">
        <v>96</v>
      </c>
      <c r="S11" s="5">
        <v>0.75296070254426462</v>
      </c>
      <c r="T11" s="5">
        <v>7.298068329198576E-3</v>
      </c>
      <c r="U11" s="5">
        <v>1.0201996050203582E-2</v>
      </c>
      <c r="V11" s="5">
        <v>0.73378608347586405</v>
      </c>
      <c r="W11" s="5">
        <v>0.76969939153947697</v>
      </c>
      <c r="X11" s="5">
        <v>0</v>
      </c>
      <c r="Y11" s="5">
        <v>1</v>
      </c>
      <c r="AL11" t="s">
        <v>121</v>
      </c>
      <c r="AM11" t="s">
        <v>117</v>
      </c>
      <c r="AN11" t="s">
        <v>96</v>
      </c>
      <c r="AO11" s="5">
        <v>0.75296070254426462</v>
      </c>
      <c r="AP11" s="5">
        <v>7.298068329198576E-3</v>
      </c>
      <c r="AQ11" s="5">
        <v>1.0201996050203582E-2</v>
      </c>
      <c r="AR11" s="5">
        <v>0.73378608347586405</v>
      </c>
      <c r="AS11" s="5">
        <v>0.76969939153947697</v>
      </c>
    </row>
    <row r="12" spans="1:52" x14ac:dyDescent="0.25">
      <c r="B12" t="s">
        <v>86</v>
      </c>
      <c r="C12" t="s">
        <v>71</v>
      </c>
      <c r="D12" t="s">
        <v>72</v>
      </c>
      <c r="E12" s="5">
        <v>0.13899748293877962</v>
      </c>
      <c r="F12" s="5">
        <v>1</v>
      </c>
      <c r="G12" s="5">
        <v>3.5271181276138549E-3</v>
      </c>
      <c r="H12" s="5">
        <v>4.930571157103633E-3</v>
      </c>
      <c r="I12" s="5">
        <v>0.129434956518654</v>
      </c>
      <c r="J12" s="5">
        <v>0.14362527886974299</v>
      </c>
      <c r="K12" s="5">
        <v>0</v>
      </c>
      <c r="L12" s="5">
        <v>6.0351730465772597</v>
      </c>
      <c r="M12" s="5">
        <v>12452.7</v>
      </c>
      <c r="Q12" t="s">
        <v>97</v>
      </c>
      <c r="R12" t="s">
        <v>96</v>
      </c>
      <c r="S12" s="5">
        <v>0.75296070254426462</v>
      </c>
      <c r="T12" s="5">
        <v>7.298068329198576E-3</v>
      </c>
      <c r="U12" s="5">
        <v>1.0201996050203582E-2</v>
      </c>
      <c r="V12" s="5">
        <v>0.73378608347586405</v>
      </c>
      <c r="W12" s="5">
        <v>0.76969939153947697</v>
      </c>
      <c r="X12" s="5">
        <v>0</v>
      </c>
      <c r="Y12" s="5">
        <v>1</v>
      </c>
      <c r="AL12" t="s">
        <v>126</v>
      </c>
      <c r="AM12" t="s">
        <v>115</v>
      </c>
      <c r="AN12" t="s">
        <v>96</v>
      </c>
      <c r="AO12" s="5">
        <v>4151.1000000000004</v>
      </c>
      <c r="AP12" s="5">
        <v>27.48404584227179</v>
      </c>
      <c r="AQ12" s="5">
        <v>38.420046850570081</v>
      </c>
      <c r="AR12" s="5">
        <v>4077</v>
      </c>
      <c r="AS12" s="5">
        <v>4202</v>
      </c>
    </row>
    <row r="13" spans="1:52" x14ac:dyDescent="0.25">
      <c r="B13" t="s">
        <v>87</v>
      </c>
      <c r="C13" t="s">
        <v>71</v>
      </c>
      <c r="D13" t="s">
        <v>72</v>
      </c>
      <c r="E13" s="5">
        <v>7.6228192147755031E-2</v>
      </c>
      <c r="F13" s="5">
        <v>1</v>
      </c>
      <c r="G13" s="5">
        <v>2.2270794104771088E-3</v>
      </c>
      <c r="H13" s="5">
        <v>3.1132423436315252E-3</v>
      </c>
      <c r="I13" s="5">
        <v>7.1742340399272395E-2</v>
      </c>
      <c r="J13" s="5">
        <v>8.0818426663094203E-2</v>
      </c>
      <c r="K13" s="5">
        <v>0</v>
      </c>
      <c r="L13" s="5">
        <v>5.1270063897536602</v>
      </c>
      <c r="M13" s="5">
        <v>9366.7000000000007</v>
      </c>
      <c r="Q13" t="s">
        <v>98</v>
      </c>
      <c r="R13" t="s">
        <v>96</v>
      </c>
      <c r="S13" s="5">
        <v>1</v>
      </c>
      <c r="T13" s="5">
        <v>0</v>
      </c>
      <c r="U13" s="5">
        <v>0</v>
      </c>
      <c r="V13" s="5">
        <v>1</v>
      </c>
      <c r="W13" s="5">
        <v>1</v>
      </c>
      <c r="X13" s="5">
        <v>1</v>
      </c>
      <c r="Y13" s="5">
        <v>1</v>
      </c>
      <c r="AL13" t="s">
        <v>127</v>
      </c>
      <c r="AM13" t="s">
        <v>117</v>
      </c>
      <c r="AN13" t="s">
        <v>96</v>
      </c>
      <c r="AO13" s="5">
        <v>0.86617223927529052</v>
      </c>
      <c r="AP13" s="5">
        <v>5.2410393061669046E-3</v>
      </c>
      <c r="AQ13" s="5">
        <v>7.3264677567561349E-3</v>
      </c>
      <c r="AR13" s="5">
        <v>0.85300206766602205</v>
      </c>
      <c r="AS13" s="5">
        <v>0.87632698102425799</v>
      </c>
    </row>
    <row r="14" spans="1:52" x14ac:dyDescent="0.25">
      <c r="B14" t="s">
        <v>88</v>
      </c>
      <c r="C14" t="s">
        <v>71</v>
      </c>
      <c r="D14" t="s">
        <v>72</v>
      </c>
      <c r="E14" s="5">
        <v>8.0628737081575225E-2</v>
      </c>
      <c r="F14" s="5">
        <v>1</v>
      </c>
      <c r="G14" s="5">
        <v>2.3346660111291224E-3</v>
      </c>
      <c r="H14" s="5">
        <v>3.2636380408758675E-3</v>
      </c>
      <c r="I14" s="5">
        <v>7.5584474439310295E-2</v>
      </c>
      <c r="J14" s="5">
        <v>8.7244240810121595E-2</v>
      </c>
      <c r="K14" s="5">
        <v>0</v>
      </c>
      <c r="L14" s="5">
        <v>4.4334092335702699</v>
      </c>
      <c r="M14" s="5">
        <v>12448.4</v>
      </c>
      <c r="P14" t="s">
        <v>84</v>
      </c>
      <c r="Q14" t="s">
        <v>93</v>
      </c>
      <c r="R14" t="s">
        <v>72</v>
      </c>
      <c r="S14" s="5">
        <v>1.2597425491006189</v>
      </c>
      <c r="T14" s="5">
        <v>9.4525954407496268E-2</v>
      </c>
      <c r="U14" s="5">
        <v>0.13213817273383896</v>
      </c>
      <c r="V14" s="5">
        <v>0.99579270827195998</v>
      </c>
      <c r="W14" s="5">
        <v>1.40699442999762</v>
      </c>
      <c r="X14" s="5">
        <v>0</v>
      </c>
      <c r="Y14" s="5">
        <v>23</v>
      </c>
      <c r="AL14" t="s">
        <v>128</v>
      </c>
      <c r="AM14" t="s">
        <v>115</v>
      </c>
      <c r="AN14" t="s">
        <v>96</v>
      </c>
      <c r="AO14" s="5">
        <v>4147.7</v>
      </c>
      <c r="AP14" s="5">
        <v>25.280555167889236</v>
      </c>
      <c r="AQ14" s="5">
        <v>35.339779286237771</v>
      </c>
      <c r="AR14" s="5">
        <v>4072</v>
      </c>
      <c r="AS14" s="5">
        <v>4199</v>
      </c>
    </row>
    <row r="15" spans="1:52" x14ac:dyDescent="0.25">
      <c r="B15" t="s">
        <v>85</v>
      </c>
      <c r="C15" t="s">
        <v>71</v>
      </c>
      <c r="D15" t="s">
        <v>72</v>
      </c>
      <c r="E15" s="5">
        <v>8.5295665001166893E-2</v>
      </c>
      <c r="F15" s="5">
        <v>1</v>
      </c>
      <c r="G15" s="5">
        <v>2.5913204895777618E-3</v>
      </c>
      <c r="H15" s="5">
        <v>3.6224162623573336E-3</v>
      </c>
      <c r="I15" s="5">
        <v>7.8738833794348206E-2</v>
      </c>
      <c r="J15" s="5">
        <v>9.1983612971957507E-2</v>
      </c>
      <c r="K15" s="5">
        <v>0</v>
      </c>
      <c r="L15" s="5">
        <v>5.8757957259949798</v>
      </c>
      <c r="M15" s="5">
        <v>14002.8</v>
      </c>
      <c r="P15" t="s">
        <v>102</v>
      </c>
      <c r="Q15" t="s">
        <v>95</v>
      </c>
      <c r="R15" t="s">
        <v>96</v>
      </c>
      <c r="S15" s="5">
        <v>0.86617223927529052</v>
      </c>
      <c r="T15" s="5">
        <v>5.2410393061669046E-3</v>
      </c>
      <c r="U15" s="5">
        <v>7.3264677567561349E-3</v>
      </c>
      <c r="V15" s="5">
        <v>0.85300206766602205</v>
      </c>
      <c r="W15" s="5">
        <v>0.87632698102425799</v>
      </c>
      <c r="X15" s="5">
        <v>0</v>
      </c>
      <c r="Y15" s="5">
        <v>1</v>
      </c>
      <c r="AL15" t="s">
        <v>129</v>
      </c>
      <c r="AM15" t="s">
        <v>117</v>
      </c>
      <c r="AN15" t="s">
        <v>96</v>
      </c>
      <c r="AO15" s="5">
        <v>0.86586513532824916</v>
      </c>
      <c r="AP15" s="5">
        <v>5.1492506011230968E-3</v>
      </c>
      <c r="AQ15" s="5">
        <v>7.1981559947843117E-3</v>
      </c>
      <c r="AR15" s="5">
        <v>0.85267322894137698</v>
      </c>
      <c r="AS15" s="5">
        <v>0.87300868153341904</v>
      </c>
    </row>
    <row r="16" spans="1:52" x14ac:dyDescent="0.25">
      <c r="B16" t="s">
        <v>89</v>
      </c>
      <c r="C16" t="s">
        <v>82</v>
      </c>
      <c r="D16" t="s">
        <v>83</v>
      </c>
      <c r="E16" s="5">
        <v>353.82556111299817</v>
      </c>
      <c r="F16" s="5">
        <v>1</v>
      </c>
      <c r="G16" s="5">
        <v>8.565199482368854</v>
      </c>
      <c r="H16" s="5">
        <v>11.97332326127022</v>
      </c>
      <c r="I16" s="5">
        <v>331.355585797689</v>
      </c>
      <c r="J16" s="5">
        <v>373.76644480526198</v>
      </c>
      <c r="K16" s="5">
        <v>82.055383523315001</v>
      </c>
      <c r="L16" s="5">
        <v>1654.1892179890699</v>
      </c>
      <c r="M16" s="5">
        <v>12441.9</v>
      </c>
      <c r="Q16" t="s">
        <v>97</v>
      </c>
      <c r="R16" t="s">
        <v>96</v>
      </c>
      <c r="S16" s="5">
        <v>0.86617223927529052</v>
      </c>
      <c r="T16" s="5">
        <v>5.2410393061669046E-3</v>
      </c>
      <c r="U16" s="5">
        <v>7.3264677567561349E-3</v>
      </c>
      <c r="V16" s="5">
        <v>0.85300206766602205</v>
      </c>
      <c r="W16" s="5">
        <v>0.87632698102425799</v>
      </c>
      <c r="X16" s="5">
        <v>0</v>
      </c>
      <c r="Y16" s="5">
        <v>1</v>
      </c>
      <c r="AL16" t="s">
        <v>130</v>
      </c>
      <c r="AM16" t="s">
        <v>115</v>
      </c>
      <c r="AN16" t="s">
        <v>96</v>
      </c>
      <c r="AO16" s="5">
        <v>4145.8</v>
      </c>
      <c r="AP16" s="5">
        <v>27.81584686136291</v>
      </c>
      <c r="AQ16" s="5">
        <v>38.883872692358665</v>
      </c>
      <c r="AR16" s="5">
        <v>4076</v>
      </c>
      <c r="AS16" s="5">
        <v>4184</v>
      </c>
    </row>
    <row r="17" spans="2:45" x14ac:dyDescent="0.25">
      <c r="B17" t="s">
        <v>90</v>
      </c>
      <c r="C17" t="s">
        <v>71</v>
      </c>
      <c r="D17" t="s">
        <v>72</v>
      </c>
      <c r="E17" s="5">
        <v>52.7379257973043</v>
      </c>
      <c r="F17" s="5">
        <v>1</v>
      </c>
      <c r="G17" s="5">
        <v>4.9488370666245878</v>
      </c>
      <c r="H17" s="5">
        <v>6.9179971917787419</v>
      </c>
      <c r="I17" s="5">
        <v>43.495770958635802</v>
      </c>
      <c r="J17" s="5">
        <v>65.916175752948106</v>
      </c>
      <c r="K17" s="5">
        <v>0</v>
      </c>
      <c r="L17" s="5">
        <v>514.11792190253595</v>
      </c>
      <c r="M17" s="5">
        <v>14003.5</v>
      </c>
      <c r="Q17" t="s">
        <v>98</v>
      </c>
      <c r="R17" t="s">
        <v>96</v>
      </c>
      <c r="S17" s="5">
        <v>1</v>
      </c>
      <c r="T17" s="5">
        <v>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  <c r="AL17" t="s">
        <v>131</v>
      </c>
      <c r="AM17" t="s">
        <v>117</v>
      </c>
      <c r="AN17" t="s">
        <v>96</v>
      </c>
      <c r="AO17" s="5">
        <v>0.86584756987747569</v>
      </c>
      <c r="AP17" s="5">
        <v>5.093233831135466E-3</v>
      </c>
      <c r="AQ17" s="5">
        <v>7.1198499498994544E-3</v>
      </c>
      <c r="AR17" s="5">
        <v>0.85312589705184705</v>
      </c>
      <c r="AS17" s="5">
        <v>0.87436351179675398</v>
      </c>
    </row>
    <row r="18" spans="2:45" x14ac:dyDescent="0.25">
      <c r="B18" t="s">
        <v>91</v>
      </c>
      <c r="C18" t="s">
        <v>71</v>
      </c>
      <c r="D18" t="s">
        <v>72</v>
      </c>
      <c r="E18" s="5">
        <v>40.258784148154987</v>
      </c>
      <c r="F18" s="5">
        <v>1</v>
      </c>
      <c r="G18" s="5">
        <v>3.0344647558535294</v>
      </c>
      <c r="H18" s="5">
        <v>4.241889231132923</v>
      </c>
      <c r="I18" s="5">
        <v>33.696632190626602</v>
      </c>
      <c r="J18" s="5">
        <v>46.257815451767698</v>
      </c>
      <c r="K18" s="5">
        <v>0</v>
      </c>
      <c r="L18" s="5">
        <v>509.78708232535399</v>
      </c>
      <c r="M18" s="5">
        <v>9367.5</v>
      </c>
      <c r="P18" t="s">
        <v>103</v>
      </c>
      <c r="Q18" t="s">
        <v>95</v>
      </c>
      <c r="R18" t="s">
        <v>96</v>
      </c>
      <c r="S18" s="5">
        <v>0.86586513532824916</v>
      </c>
      <c r="T18" s="5">
        <v>5.1492506011230968E-3</v>
      </c>
      <c r="U18" s="5">
        <v>7.1981559947843117E-3</v>
      </c>
      <c r="V18" s="5">
        <v>0.85267322894137698</v>
      </c>
      <c r="W18" s="5">
        <v>0.87300868153341904</v>
      </c>
      <c r="X18" s="5">
        <v>0</v>
      </c>
      <c r="Y18" s="5">
        <v>1</v>
      </c>
      <c r="AL18" t="s">
        <v>134</v>
      </c>
      <c r="AM18" t="s">
        <v>115</v>
      </c>
      <c r="AN18" t="s">
        <v>96</v>
      </c>
      <c r="AO18" s="5">
        <v>14003.5</v>
      </c>
      <c r="AP18" s="5">
        <v>110.67745038012336</v>
      </c>
      <c r="AQ18" s="5">
        <v>154.71640723164001</v>
      </c>
      <c r="AR18" s="5">
        <v>13729</v>
      </c>
      <c r="AS18" s="5">
        <v>14205</v>
      </c>
    </row>
    <row r="19" spans="2:45" x14ac:dyDescent="0.25">
      <c r="B19" t="s">
        <v>92</v>
      </c>
      <c r="C19" t="s">
        <v>71</v>
      </c>
      <c r="D19" t="s">
        <v>72</v>
      </c>
      <c r="E19" s="5">
        <v>51.030840724143573</v>
      </c>
      <c r="F19" s="5">
        <v>1</v>
      </c>
      <c r="G19" s="5">
        <v>2.5428530135560337</v>
      </c>
      <c r="H19" s="5">
        <v>3.5546634027466997</v>
      </c>
      <c r="I19" s="5">
        <v>44.162725321833697</v>
      </c>
      <c r="J19" s="5">
        <v>54.683770930027002</v>
      </c>
      <c r="K19" s="5">
        <v>0</v>
      </c>
      <c r="L19" s="5">
        <v>477.98431457352098</v>
      </c>
      <c r="M19" s="5">
        <v>12449.2</v>
      </c>
      <c r="Q19" t="s">
        <v>97</v>
      </c>
      <c r="R19" t="s">
        <v>96</v>
      </c>
      <c r="S19" s="5">
        <v>0.86586513532824916</v>
      </c>
      <c r="T19" s="5">
        <v>5.1492506011230968E-3</v>
      </c>
      <c r="U19" s="5">
        <v>7.1981559947843117E-3</v>
      </c>
      <c r="V19" s="5">
        <v>0.85267322894137698</v>
      </c>
      <c r="W19" s="5">
        <v>0.87300868153341904</v>
      </c>
      <c r="X19" s="5">
        <v>0</v>
      </c>
      <c r="Y19" s="5">
        <v>1</v>
      </c>
      <c r="AL19" t="s">
        <v>135</v>
      </c>
      <c r="AM19" t="s">
        <v>117</v>
      </c>
      <c r="AN19" t="s">
        <v>96</v>
      </c>
      <c r="AO19" s="5">
        <v>0.85369868202434152</v>
      </c>
      <c r="AP19" s="5">
        <v>6.774830857795836E-3</v>
      </c>
      <c r="AQ19" s="5">
        <v>9.4705605009894993E-3</v>
      </c>
      <c r="AR19" s="5">
        <v>0.83618943731414597</v>
      </c>
      <c r="AS19" s="5">
        <v>0.86586763783419696</v>
      </c>
    </row>
    <row r="20" spans="2:45" x14ac:dyDescent="0.25">
      <c r="Q20" t="s">
        <v>98</v>
      </c>
      <c r="R20" t="s">
        <v>96</v>
      </c>
      <c r="S20" s="5">
        <v>1</v>
      </c>
      <c r="T20" s="5">
        <v>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  <c r="AL20" t="s">
        <v>136</v>
      </c>
      <c r="AM20" t="s">
        <v>115</v>
      </c>
      <c r="AN20" t="s">
        <v>96</v>
      </c>
      <c r="AO20" s="5">
        <v>9367.5</v>
      </c>
      <c r="AP20" s="5">
        <v>99.857862588016175</v>
      </c>
      <c r="AQ20" s="5">
        <v>139.5916664179253</v>
      </c>
      <c r="AR20" s="5">
        <v>9192</v>
      </c>
      <c r="AS20" s="5">
        <v>9577</v>
      </c>
    </row>
    <row r="21" spans="2:45" x14ac:dyDescent="0.25">
      <c r="P21" t="s">
        <v>104</v>
      </c>
      <c r="Q21" t="s">
        <v>95</v>
      </c>
      <c r="R21" t="s">
        <v>96</v>
      </c>
      <c r="S21" s="5">
        <v>0.86584756987747569</v>
      </c>
      <c r="T21" s="5">
        <v>5.093233831135466E-3</v>
      </c>
      <c r="U21" s="5">
        <v>7.1198499498994544E-3</v>
      </c>
      <c r="V21" s="5">
        <v>0.85312589705184705</v>
      </c>
      <c r="W21" s="5">
        <v>0.87436351179675398</v>
      </c>
      <c r="X21" s="5">
        <v>0</v>
      </c>
      <c r="Y21" s="5">
        <v>1</v>
      </c>
      <c r="AL21" t="s">
        <v>137</v>
      </c>
      <c r="AM21" t="s">
        <v>117</v>
      </c>
      <c r="AN21" t="s">
        <v>96</v>
      </c>
      <c r="AO21" s="5">
        <v>0.77500127942574837</v>
      </c>
      <c r="AP21" s="5">
        <v>7.9650525926457348E-3</v>
      </c>
      <c r="AQ21" s="5">
        <v>1.1134375758682289E-2</v>
      </c>
      <c r="AR21" s="5">
        <v>0.75864843854708297</v>
      </c>
      <c r="AS21" s="5">
        <v>0.79252596119945096</v>
      </c>
    </row>
    <row r="22" spans="2:45" x14ac:dyDescent="0.25">
      <c r="Q22" t="s">
        <v>97</v>
      </c>
      <c r="R22" t="s">
        <v>96</v>
      </c>
      <c r="S22" s="5">
        <v>0.86584756987747569</v>
      </c>
      <c r="T22" s="5">
        <v>5.093233831135466E-3</v>
      </c>
      <c r="U22" s="5">
        <v>7.1198499498994544E-3</v>
      </c>
      <c r="V22" s="5">
        <v>0.85312589705184705</v>
      </c>
      <c r="W22" s="5">
        <v>0.87436351179675398</v>
      </c>
      <c r="X22" s="5">
        <v>0</v>
      </c>
      <c r="Y22" s="5">
        <v>1</v>
      </c>
      <c r="AL22" t="s">
        <v>138</v>
      </c>
      <c r="AM22" t="s">
        <v>115</v>
      </c>
      <c r="AN22" t="s">
        <v>96</v>
      </c>
      <c r="AO22" s="5">
        <v>12449.2</v>
      </c>
      <c r="AP22" s="5">
        <v>77.749931785774507</v>
      </c>
      <c r="AQ22" s="5">
        <v>108.68691017985765</v>
      </c>
      <c r="AR22" s="5">
        <v>12231</v>
      </c>
      <c r="AS22" s="5">
        <v>12589</v>
      </c>
    </row>
    <row r="23" spans="2:45" x14ac:dyDescent="0.25">
      <c r="Q23" t="s">
        <v>98</v>
      </c>
      <c r="R23" t="s">
        <v>96</v>
      </c>
      <c r="S23" s="5">
        <v>1</v>
      </c>
      <c r="T23" s="5">
        <v>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  <c r="AL23" t="s">
        <v>139</v>
      </c>
      <c r="AM23" t="s">
        <v>117</v>
      </c>
      <c r="AN23" t="s">
        <v>96</v>
      </c>
      <c r="AO23" s="5">
        <v>0.85958220767724303</v>
      </c>
      <c r="AP23" s="5">
        <v>5.8838019158664288E-3</v>
      </c>
      <c r="AQ23" s="5">
        <v>8.2249879280646958E-3</v>
      </c>
      <c r="AR23" s="5">
        <v>0.84465777371794004</v>
      </c>
      <c r="AS23" s="5">
        <v>0.87000527345659695</v>
      </c>
    </row>
    <row r="24" spans="2:45" x14ac:dyDescent="0.25">
      <c r="P24" t="s">
        <v>85</v>
      </c>
      <c r="Q24" t="s">
        <v>93</v>
      </c>
      <c r="R24" t="s">
        <v>72</v>
      </c>
      <c r="S24" s="5">
        <v>4.7852429439825955E-3</v>
      </c>
      <c r="T24" s="5">
        <v>1.5212674323174428E-4</v>
      </c>
      <c r="U24" s="5">
        <v>2.1265852326584332E-4</v>
      </c>
      <c r="V24" s="5">
        <v>4.46975375012869E-3</v>
      </c>
      <c r="W24" s="5">
        <v>5.19139886192292E-3</v>
      </c>
      <c r="X24" s="5">
        <v>0</v>
      </c>
      <c r="Y24" s="5">
        <v>1</v>
      </c>
      <c r="AL24" t="s">
        <v>140</v>
      </c>
      <c r="AM24" t="s">
        <v>115</v>
      </c>
      <c r="AN24" t="s">
        <v>96</v>
      </c>
      <c r="AO24" s="5">
        <v>14003.5</v>
      </c>
      <c r="AP24" s="5">
        <v>110.67745038012336</v>
      </c>
      <c r="AQ24" s="5">
        <v>154.71640723164001</v>
      </c>
      <c r="AR24" s="5">
        <v>13729</v>
      </c>
      <c r="AS24" s="5">
        <v>14205</v>
      </c>
    </row>
    <row r="25" spans="2:45" x14ac:dyDescent="0.25">
      <c r="P25" t="s">
        <v>86</v>
      </c>
      <c r="Q25" t="s">
        <v>93</v>
      </c>
      <c r="R25" t="s">
        <v>72</v>
      </c>
      <c r="S25" s="5">
        <v>6.9351226390634898E-3</v>
      </c>
      <c r="T25" s="5">
        <v>1.9039143298908446E-4</v>
      </c>
      <c r="U25" s="5">
        <v>2.6614887114389868E-4</v>
      </c>
      <c r="V25" s="5">
        <v>6.4644878524100302E-3</v>
      </c>
      <c r="W25" s="5">
        <v>7.1613926309565699E-3</v>
      </c>
      <c r="X25" s="5">
        <v>0</v>
      </c>
      <c r="Y25" s="5">
        <v>4</v>
      </c>
      <c r="AL25" t="s">
        <v>141</v>
      </c>
      <c r="AM25" t="s">
        <v>117</v>
      </c>
      <c r="AN25" t="s">
        <v>96</v>
      </c>
      <c r="AO25" s="5">
        <v>0.85369868202434152</v>
      </c>
      <c r="AP25" s="5">
        <v>6.774830857795836E-3</v>
      </c>
      <c r="AQ25" s="5">
        <v>9.4705605009894993E-3</v>
      </c>
      <c r="AR25" s="5">
        <v>0.83618943731414597</v>
      </c>
      <c r="AS25" s="5">
        <v>0.86586763783419696</v>
      </c>
    </row>
    <row r="26" spans="2:45" x14ac:dyDescent="0.25">
      <c r="P26" t="s">
        <v>87</v>
      </c>
      <c r="Q26" t="s">
        <v>93</v>
      </c>
      <c r="R26" t="s">
        <v>72</v>
      </c>
      <c r="S26" s="5">
        <v>2.8613000333574589E-3</v>
      </c>
      <c r="T26" s="5">
        <v>1.0063752504111057E-4</v>
      </c>
      <c r="U26" s="5">
        <v>1.406815593742762E-4</v>
      </c>
      <c r="V26" s="5">
        <v>2.6429119389876198E-3</v>
      </c>
      <c r="W26" s="5">
        <v>3.0552991746512601E-3</v>
      </c>
      <c r="X26" s="5">
        <v>0</v>
      </c>
      <c r="Y26" s="5">
        <v>1</v>
      </c>
      <c r="AL26" t="s">
        <v>142</v>
      </c>
      <c r="AM26" t="s">
        <v>115</v>
      </c>
      <c r="AN26" t="s">
        <v>96</v>
      </c>
      <c r="AO26" s="5">
        <v>9367.5</v>
      </c>
      <c r="AP26" s="5">
        <v>99.857862588016175</v>
      </c>
      <c r="AQ26" s="5">
        <v>139.5916664179253</v>
      </c>
      <c r="AR26" s="5">
        <v>9192</v>
      </c>
      <c r="AS26" s="5">
        <v>9577</v>
      </c>
    </row>
    <row r="27" spans="2:45" x14ac:dyDescent="0.25">
      <c r="P27" t="s">
        <v>88</v>
      </c>
      <c r="Q27" t="s">
        <v>93</v>
      </c>
      <c r="R27" t="s">
        <v>72</v>
      </c>
      <c r="S27" s="5">
        <v>4.0215426135384764E-3</v>
      </c>
      <c r="T27" s="5">
        <v>1.2471918446914371E-4</v>
      </c>
      <c r="U27" s="5">
        <v>1.7434539797992556E-4</v>
      </c>
      <c r="V27" s="5">
        <v>3.7244128651004798E-3</v>
      </c>
      <c r="W27" s="5">
        <v>4.35137641764906E-3</v>
      </c>
      <c r="X27" s="5">
        <v>0</v>
      </c>
      <c r="Y27" s="5">
        <v>1</v>
      </c>
      <c r="AL27" t="s">
        <v>143</v>
      </c>
      <c r="AM27" t="s">
        <v>117</v>
      </c>
      <c r="AN27" t="s">
        <v>96</v>
      </c>
      <c r="AO27" s="5">
        <v>0.77500127942574837</v>
      </c>
      <c r="AP27" s="5">
        <v>7.9650525926457348E-3</v>
      </c>
      <c r="AQ27" s="5">
        <v>1.1134375758682289E-2</v>
      </c>
      <c r="AR27" s="5">
        <v>0.75864843854708297</v>
      </c>
      <c r="AS27" s="5">
        <v>0.79252596119945096</v>
      </c>
    </row>
    <row r="28" spans="2:45" x14ac:dyDescent="0.25">
      <c r="P28" t="s">
        <v>105</v>
      </c>
      <c r="Q28" t="s">
        <v>95</v>
      </c>
      <c r="R28" t="s">
        <v>96</v>
      </c>
      <c r="S28" s="5">
        <v>0.85369868202434152</v>
      </c>
      <c r="T28" s="5">
        <v>6.774830857795836E-3</v>
      </c>
      <c r="U28" s="5">
        <v>9.4705605009894993E-3</v>
      </c>
      <c r="V28" s="5">
        <v>0.83618943731414597</v>
      </c>
      <c r="W28" s="5">
        <v>0.86586763783419696</v>
      </c>
      <c r="X28" s="5">
        <v>0</v>
      </c>
      <c r="Y28" s="5">
        <v>1</v>
      </c>
      <c r="AL28" t="s">
        <v>144</v>
      </c>
      <c r="AM28" t="s">
        <v>115</v>
      </c>
      <c r="AN28" t="s">
        <v>96</v>
      </c>
      <c r="AO28" s="5">
        <v>12449.2</v>
      </c>
      <c r="AP28" s="5">
        <v>77.749931785774507</v>
      </c>
      <c r="AQ28" s="5">
        <v>108.68691017985765</v>
      </c>
      <c r="AR28" s="5">
        <v>12231</v>
      </c>
      <c r="AS28" s="5">
        <v>12589</v>
      </c>
    </row>
    <row r="29" spans="2:45" x14ac:dyDescent="0.25">
      <c r="Q29" t="s">
        <v>97</v>
      </c>
      <c r="R29" t="s">
        <v>96</v>
      </c>
      <c r="S29" s="5">
        <v>0.85369868202434152</v>
      </c>
      <c r="T29" s="5">
        <v>6.774830857795836E-3</v>
      </c>
      <c r="U29" s="5">
        <v>9.4705605009894993E-3</v>
      </c>
      <c r="V29" s="5">
        <v>0.83618943731414597</v>
      </c>
      <c r="W29" s="5">
        <v>0.86586763783419696</v>
      </c>
      <c r="X29" s="5">
        <v>0</v>
      </c>
      <c r="Y29" s="5">
        <v>1</v>
      </c>
      <c r="AL29" t="s">
        <v>145</v>
      </c>
      <c r="AM29" t="s">
        <v>117</v>
      </c>
      <c r="AN29" t="s">
        <v>96</v>
      </c>
      <c r="AO29" s="5">
        <v>0.85958220767724303</v>
      </c>
      <c r="AP29" s="5">
        <v>5.8838019158664288E-3</v>
      </c>
      <c r="AQ29" s="5">
        <v>8.2249879280646958E-3</v>
      </c>
      <c r="AR29" s="5">
        <v>0.84465777371794004</v>
      </c>
      <c r="AS29" s="5">
        <v>0.87000527345659695</v>
      </c>
    </row>
    <row r="30" spans="2:45" x14ac:dyDescent="0.25">
      <c r="Q30" t="s">
        <v>98</v>
      </c>
      <c r="R30" t="s">
        <v>96</v>
      </c>
      <c r="S30" s="5">
        <v>1</v>
      </c>
      <c r="T30" s="5">
        <v>0</v>
      </c>
      <c r="U30" s="5">
        <v>0</v>
      </c>
      <c r="V30" s="5">
        <v>1</v>
      </c>
      <c r="W30" s="5">
        <v>1</v>
      </c>
      <c r="X30" s="5">
        <v>1</v>
      </c>
      <c r="Y30" s="5">
        <v>1</v>
      </c>
    </row>
    <row r="31" spans="2:45" x14ac:dyDescent="0.25">
      <c r="P31" t="s">
        <v>106</v>
      </c>
      <c r="Q31" t="s">
        <v>95</v>
      </c>
      <c r="R31" t="s">
        <v>96</v>
      </c>
      <c r="S31" s="5">
        <v>0.77500127942574837</v>
      </c>
      <c r="T31" s="5">
        <v>7.9650525926457348E-3</v>
      </c>
      <c r="U31" s="5">
        <v>1.1134375758682289E-2</v>
      </c>
      <c r="V31" s="5">
        <v>0.75864843854708297</v>
      </c>
      <c r="W31" s="5">
        <v>0.79252596119945096</v>
      </c>
      <c r="X31" s="5">
        <v>0</v>
      </c>
      <c r="Y31" s="5">
        <v>1</v>
      </c>
    </row>
    <row r="32" spans="2:45" x14ac:dyDescent="0.25">
      <c r="Q32" t="s">
        <v>97</v>
      </c>
      <c r="R32" t="s">
        <v>96</v>
      </c>
      <c r="S32" s="5">
        <v>0.77500127942574837</v>
      </c>
      <c r="T32" s="5">
        <v>7.9650525926457348E-3</v>
      </c>
      <c r="U32" s="5">
        <v>1.1134375758682289E-2</v>
      </c>
      <c r="V32" s="5">
        <v>0.75864843854708297</v>
      </c>
      <c r="W32" s="5">
        <v>0.79252596119945096</v>
      </c>
      <c r="X32" s="5">
        <v>0</v>
      </c>
      <c r="Y32" s="5">
        <v>1</v>
      </c>
    </row>
    <row r="33" spans="16:25" x14ac:dyDescent="0.25">
      <c r="Q33" t="s">
        <v>98</v>
      </c>
      <c r="R33" t="s">
        <v>96</v>
      </c>
      <c r="S33" s="5">
        <v>1</v>
      </c>
      <c r="T33" s="5">
        <v>0</v>
      </c>
      <c r="U33" s="5">
        <v>0</v>
      </c>
      <c r="V33" s="5">
        <v>1</v>
      </c>
      <c r="W33" s="5">
        <v>1</v>
      </c>
      <c r="X33" s="5">
        <v>1</v>
      </c>
      <c r="Y33" s="5">
        <v>1</v>
      </c>
    </row>
    <row r="34" spans="16:25" x14ac:dyDescent="0.25">
      <c r="P34" t="s">
        <v>107</v>
      </c>
      <c r="Q34" t="s">
        <v>95</v>
      </c>
      <c r="R34" t="s">
        <v>96</v>
      </c>
      <c r="S34" s="5">
        <v>0.85958220767724303</v>
      </c>
      <c r="T34" s="5">
        <v>5.8838019158664288E-3</v>
      </c>
      <c r="U34" s="5">
        <v>8.2249879280646958E-3</v>
      </c>
      <c r="V34" s="5">
        <v>0.84465777371794004</v>
      </c>
      <c r="W34" s="5">
        <v>0.87000527345659695</v>
      </c>
      <c r="X34" s="5">
        <v>0</v>
      </c>
      <c r="Y34" s="5">
        <v>1</v>
      </c>
    </row>
    <row r="35" spans="16:25" x14ac:dyDescent="0.25">
      <c r="Q35" t="s">
        <v>97</v>
      </c>
      <c r="R35" t="s">
        <v>96</v>
      </c>
      <c r="S35" s="5">
        <v>0.85958220767724303</v>
      </c>
      <c r="T35" s="5">
        <v>5.8838019158664288E-3</v>
      </c>
      <c r="U35" s="5">
        <v>8.2249879280646958E-3</v>
      </c>
      <c r="V35" s="5">
        <v>0.84465777371794004</v>
      </c>
      <c r="W35" s="5">
        <v>0.87000527345659695</v>
      </c>
      <c r="X35" s="5">
        <v>0</v>
      </c>
      <c r="Y35" s="5">
        <v>1</v>
      </c>
    </row>
    <row r="36" spans="16:25" x14ac:dyDescent="0.25">
      <c r="Q36" t="s">
        <v>98</v>
      </c>
      <c r="R36" t="s">
        <v>96</v>
      </c>
      <c r="S36" s="5">
        <v>1</v>
      </c>
      <c r="T36" s="5">
        <v>0</v>
      </c>
      <c r="U36" s="5">
        <v>0</v>
      </c>
      <c r="V36" s="5">
        <v>1</v>
      </c>
      <c r="W36" s="5">
        <v>1</v>
      </c>
      <c r="X36" s="5">
        <v>1</v>
      </c>
      <c r="Y36" s="5">
        <v>1</v>
      </c>
    </row>
    <row r="37" spans="16:25" x14ac:dyDescent="0.25">
      <c r="P37" t="s">
        <v>108</v>
      </c>
      <c r="Q37" t="s">
        <v>95</v>
      </c>
      <c r="R37" t="s">
        <v>96</v>
      </c>
      <c r="S37" s="5">
        <v>0.85369868202434152</v>
      </c>
      <c r="T37" s="5">
        <v>6.774830857795836E-3</v>
      </c>
      <c r="U37" s="5">
        <v>9.4705605009894993E-3</v>
      </c>
      <c r="V37" s="5">
        <v>0.83618943731414597</v>
      </c>
      <c r="W37" s="5">
        <v>0.86586763783419696</v>
      </c>
      <c r="X37" s="5">
        <v>0</v>
      </c>
      <c r="Y37" s="5">
        <v>1</v>
      </c>
    </row>
    <row r="38" spans="16:25" x14ac:dyDescent="0.25">
      <c r="Q38" t="s">
        <v>97</v>
      </c>
      <c r="R38" t="s">
        <v>96</v>
      </c>
      <c r="S38" s="5">
        <v>0.85369868202434152</v>
      </c>
      <c r="T38" s="5">
        <v>6.774830857795836E-3</v>
      </c>
      <c r="U38" s="5">
        <v>9.4705605009894993E-3</v>
      </c>
      <c r="V38" s="5">
        <v>0.83618943731414597</v>
      </c>
      <c r="W38" s="5">
        <v>0.86586763783419696</v>
      </c>
      <c r="X38" s="5">
        <v>0</v>
      </c>
      <c r="Y38" s="5">
        <v>1</v>
      </c>
    </row>
    <row r="39" spans="16:25" x14ac:dyDescent="0.25">
      <c r="Q39" t="s">
        <v>98</v>
      </c>
      <c r="R39" t="s">
        <v>96</v>
      </c>
      <c r="S39" s="5">
        <v>1</v>
      </c>
      <c r="T39" s="5">
        <v>0</v>
      </c>
      <c r="U39" s="5">
        <v>0</v>
      </c>
      <c r="V39" s="5">
        <v>1</v>
      </c>
      <c r="W39" s="5">
        <v>1</v>
      </c>
      <c r="X39" s="5">
        <v>1</v>
      </c>
      <c r="Y39" s="5">
        <v>1</v>
      </c>
    </row>
    <row r="40" spans="16:25" x14ac:dyDescent="0.25">
      <c r="P40" t="s">
        <v>109</v>
      </c>
      <c r="Q40" t="s">
        <v>95</v>
      </c>
      <c r="R40" t="s">
        <v>96</v>
      </c>
      <c r="S40" s="5">
        <v>0.77500127942574837</v>
      </c>
      <c r="T40" s="5">
        <v>7.9650525926457348E-3</v>
      </c>
      <c r="U40" s="5">
        <v>1.1134375758682289E-2</v>
      </c>
      <c r="V40" s="5">
        <v>0.75864843854708297</v>
      </c>
      <c r="W40" s="5">
        <v>0.79252596119945096</v>
      </c>
      <c r="X40" s="5">
        <v>0</v>
      </c>
      <c r="Y40" s="5">
        <v>1</v>
      </c>
    </row>
    <row r="41" spans="16:25" x14ac:dyDescent="0.25">
      <c r="Q41" t="s">
        <v>97</v>
      </c>
      <c r="R41" t="s">
        <v>96</v>
      </c>
      <c r="S41" s="5">
        <v>0.77500127942574837</v>
      </c>
      <c r="T41" s="5">
        <v>7.9650525926457348E-3</v>
      </c>
      <c r="U41" s="5">
        <v>1.1134375758682289E-2</v>
      </c>
      <c r="V41" s="5">
        <v>0.75864843854708297</v>
      </c>
      <c r="W41" s="5">
        <v>0.79252596119945096</v>
      </c>
      <c r="X41" s="5">
        <v>0</v>
      </c>
      <c r="Y41" s="5">
        <v>1</v>
      </c>
    </row>
    <row r="42" spans="16:25" x14ac:dyDescent="0.25">
      <c r="Q42" t="s">
        <v>98</v>
      </c>
      <c r="R42" t="s">
        <v>96</v>
      </c>
      <c r="S42" s="5">
        <v>1</v>
      </c>
      <c r="T42" s="5">
        <v>0</v>
      </c>
      <c r="U42" s="5">
        <v>0</v>
      </c>
      <c r="V42" s="5">
        <v>1</v>
      </c>
      <c r="W42" s="5">
        <v>1</v>
      </c>
      <c r="X42" s="5">
        <v>1</v>
      </c>
      <c r="Y42" s="5">
        <v>1</v>
      </c>
    </row>
    <row r="43" spans="16:25" x14ac:dyDescent="0.25">
      <c r="P43" t="s">
        <v>110</v>
      </c>
      <c r="Q43" t="s">
        <v>95</v>
      </c>
      <c r="R43" t="s">
        <v>96</v>
      </c>
      <c r="S43" s="5">
        <v>0.85958220767724303</v>
      </c>
      <c r="T43" s="5">
        <v>5.8838019158664288E-3</v>
      </c>
      <c r="U43" s="5">
        <v>8.2249879280646958E-3</v>
      </c>
      <c r="V43" s="5">
        <v>0.84465777371794004</v>
      </c>
      <c r="W43" s="5">
        <v>0.87000527345659695</v>
      </c>
      <c r="X43" s="5">
        <v>0</v>
      </c>
      <c r="Y43" s="5">
        <v>1</v>
      </c>
    </row>
    <row r="44" spans="16:25" x14ac:dyDescent="0.25">
      <c r="Q44" t="s">
        <v>97</v>
      </c>
      <c r="R44" t="s">
        <v>96</v>
      </c>
      <c r="S44" s="5">
        <v>0.85958220767724303</v>
      </c>
      <c r="T44" s="5">
        <v>5.8838019158664288E-3</v>
      </c>
      <c r="U44" s="5">
        <v>8.2249879280646958E-3</v>
      </c>
      <c r="V44" s="5">
        <v>0.84465777371794004</v>
      </c>
      <c r="W44" s="5">
        <v>0.87000527345659695</v>
      </c>
      <c r="X44" s="5">
        <v>0</v>
      </c>
      <c r="Y44" s="5">
        <v>1</v>
      </c>
    </row>
    <row r="45" spans="16:25" x14ac:dyDescent="0.25">
      <c r="Q45" t="s">
        <v>98</v>
      </c>
      <c r="R45" t="s">
        <v>96</v>
      </c>
      <c r="S45" s="5">
        <v>1</v>
      </c>
      <c r="T45" s="5">
        <v>0</v>
      </c>
      <c r="U45" s="5">
        <v>0</v>
      </c>
      <c r="V45" s="5">
        <v>1</v>
      </c>
      <c r="W45" s="5">
        <v>1</v>
      </c>
      <c r="X45" s="5">
        <v>1</v>
      </c>
      <c r="Y45" s="5">
        <v>1</v>
      </c>
    </row>
    <row r="46" spans="16:25" x14ac:dyDescent="0.25">
      <c r="P46" t="s">
        <v>90</v>
      </c>
      <c r="Q46" t="s">
        <v>93</v>
      </c>
      <c r="R46" t="s">
        <v>72</v>
      </c>
      <c r="S46" s="5">
        <v>2.9620150611544198</v>
      </c>
      <c r="T46" s="5">
        <v>0.29747169945211638</v>
      </c>
      <c r="U46" s="5">
        <v>0.41583676199851366</v>
      </c>
      <c r="V46" s="5">
        <v>2.3924416646278499</v>
      </c>
      <c r="W46" s="5">
        <v>3.7422761400348601</v>
      </c>
      <c r="X46" s="5">
        <v>0</v>
      </c>
      <c r="Y46" s="5">
        <v>36</v>
      </c>
    </row>
    <row r="47" spans="16:25" x14ac:dyDescent="0.25">
      <c r="P47" t="s">
        <v>91</v>
      </c>
      <c r="Q47" t="s">
        <v>93</v>
      </c>
      <c r="R47" t="s">
        <v>72</v>
      </c>
      <c r="S47" s="5">
        <v>1.5119585770811181</v>
      </c>
      <c r="T47" s="5">
        <v>0.1220330504521152</v>
      </c>
      <c r="U47" s="5">
        <v>0.17059044154543959</v>
      </c>
      <c r="V47" s="5">
        <v>1.2409432816355801</v>
      </c>
      <c r="W47" s="5">
        <v>1.7520834896992801</v>
      </c>
      <c r="X47" s="5">
        <v>0</v>
      </c>
      <c r="Y47" s="5">
        <v>26</v>
      </c>
    </row>
    <row r="48" spans="16:25" x14ac:dyDescent="0.25">
      <c r="P48" t="s">
        <v>92</v>
      </c>
      <c r="Q48" t="s">
        <v>93</v>
      </c>
      <c r="R48" t="s">
        <v>72</v>
      </c>
      <c r="S48" s="5">
        <v>2.5461678573548379</v>
      </c>
      <c r="T48" s="5">
        <v>0.1357647963567922</v>
      </c>
      <c r="U48" s="5">
        <v>0.18978609869233531</v>
      </c>
      <c r="V48" s="5">
        <v>2.1762907983550299</v>
      </c>
      <c r="W48" s="5">
        <v>2.7399798743587298</v>
      </c>
      <c r="X48" s="5">
        <v>0</v>
      </c>
      <c r="Y48" s="5">
        <v>30</v>
      </c>
    </row>
    <row r="49" spans="16:25" x14ac:dyDescent="0.25">
      <c r="P49" t="s">
        <v>111</v>
      </c>
      <c r="Q49" t="s">
        <v>97</v>
      </c>
      <c r="R49" t="s">
        <v>112</v>
      </c>
      <c r="S49" s="5">
        <v>0.80316230491487484</v>
      </c>
      <c r="T49" s="5">
        <v>3.3416443147686586E-3</v>
      </c>
      <c r="U49" s="5">
        <v>4.6712966449025829E-3</v>
      </c>
      <c r="V49" s="5">
        <v>0.79714222975806304</v>
      </c>
      <c r="W49" s="5">
        <v>0.81086270984605202</v>
      </c>
      <c r="X49" s="5">
        <v>0</v>
      </c>
      <c r="Y49" s="5">
        <v>2</v>
      </c>
    </row>
    <row r="50" spans="16:25" x14ac:dyDescent="0.25">
      <c r="Q50" t="s">
        <v>98</v>
      </c>
      <c r="R50" t="s">
        <v>112</v>
      </c>
      <c r="S50" s="5">
        <v>2</v>
      </c>
      <c r="T50" s="5">
        <v>0</v>
      </c>
      <c r="U50" s="5">
        <v>0</v>
      </c>
      <c r="V50" s="5">
        <v>2</v>
      </c>
      <c r="W50" s="5">
        <v>2</v>
      </c>
      <c r="X50" s="5">
        <v>2</v>
      </c>
      <c r="Y50" s="5">
        <v>2</v>
      </c>
    </row>
    <row r="51" spans="16:25" x14ac:dyDescent="0.25">
      <c r="Q51" t="s">
        <v>113</v>
      </c>
      <c r="R51" t="s">
        <v>112</v>
      </c>
      <c r="S51" s="5">
        <v>0.40158115245743764</v>
      </c>
      <c r="T51" s="5">
        <v>1.6708221573839188E-3</v>
      </c>
      <c r="U51" s="5">
        <v>2.3356483224507181E-3</v>
      </c>
      <c r="V51" s="5">
        <v>0.39857111487903202</v>
      </c>
      <c r="W51" s="5">
        <v>0.40543135492302601</v>
      </c>
      <c r="X51" s="5">
        <v>0</v>
      </c>
      <c r="Y51" s="5">
        <v>1</v>
      </c>
    </row>
  </sheetData>
  <dataConsolidate/>
  <conditionalFormatting pivot="1" sqref="G3:G19">
    <cfRule type="expression" dxfId="37" priority="10">
      <formula>G3=200000000000000000000</formula>
    </cfRule>
  </conditionalFormatting>
  <conditionalFormatting pivot="1" sqref="T3:T51">
    <cfRule type="expression" dxfId="36" priority="9">
      <formula>T3=200000000000000000000</formula>
    </cfRule>
  </conditionalFormatting>
  <conditionalFormatting pivot="1" sqref="T3:T51">
    <cfRule type="expression" dxfId="35" priority="8">
      <formula>T3=300000000000000000000</formula>
    </cfRule>
  </conditionalFormatting>
  <conditionalFormatting pivot="1" sqref="G3:G19">
    <cfRule type="expression" dxfId="34" priority="7">
      <formula>G3=300000000000000000000</formula>
    </cfRule>
  </conditionalFormatting>
  <conditionalFormatting pivot="1" sqref="F3:F19">
    <cfRule type="expression" dxfId="33" priority="6">
      <formula>F3=0</formula>
    </cfRule>
  </conditionalFormatting>
  <conditionalFormatting pivot="1" sqref="F3:F19">
    <cfRule type="expression" dxfId="32" priority="5">
      <formula>F3=1</formula>
    </cfRule>
  </conditionalFormatting>
  <conditionalFormatting pivot="1" sqref="T3:T51">
    <cfRule type="expression" dxfId="31" priority="4">
      <formula>T3=400000000000000000000</formula>
    </cfRule>
  </conditionalFormatting>
  <conditionalFormatting pivot="1" sqref="AP3:AP29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1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71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44.42578125" bestFit="1" customWidth="1"/>
    <col min="5" max="5" width="13.285156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8.5703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40.460962606576601</v>
      </c>
      <c r="H2">
        <v>5.9921104456652401</v>
      </c>
      <c r="I2">
        <v>0</v>
      </c>
      <c r="J2">
        <v>342.40991241240403</v>
      </c>
      <c r="K2">
        <v>12468</v>
      </c>
      <c r="L2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39.207792077546941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3.1397154019506459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2" cm="1">
        <f t="array" ref="R2">MIN(IF((DiscreteStatsTable[GroupByKey]=DiscreteStatsTable[[#This Row],[GroupByKey]]),(DiscreteStatsTable[GroupByKey]=DiscreteStatsTable[[#This Row],[GroupByKey]])*DiscreteStatsTable[Average]))</f>
        <v>35.2198892420015</v>
      </c>
      <c r="S2" cm="1">
        <f t="array" ref="S2">MAX(IF((DiscreteStatsTable[GroupByKey]=DiscreteStatsTable[[#This Row],[GroupByKey]]),(DiscreteStatsTable[GroupByKey]=DiscreteStatsTable[[#This Row],[GroupByKey]])*DiscreteStatsTable[Average]))</f>
        <v>45.9584238562989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587.28081555318204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12454.5</v>
      </c>
      <c r="W2">
        <f>IF((DiscreteStatsTable[[#This Row],[RepsRequested]]&gt;1),DiscreteStatsTable[[#This Row],[HalfWidth]],DiscreteStatsTable[[#This Row],[BatchMeansHalfWidth]])</f>
        <v>2.246017095567856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41.279571338945402</v>
      </c>
      <c r="H3">
        <v>7.5654485403506699</v>
      </c>
      <c r="I3">
        <v>0</v>
      </c>
      <c r="J3">
        <v>368.549291035029</v>
      </c>
      <c r="K3">
        <v>12489</v>
      </c>
      <c r="L3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39.207792077546941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3.1397154019506459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3" cm="1">
        <f t="array" ref="R3">MIN(IF((DiscreteStatsTable[GroupByKey]=DiscreteStatsTable[[#This Row],[GroupByKey]]),(DiscreteStatsTable[GroupByKey]=DiscreteStatsTable[[#This Row],[GroupByKey]])*DiscreteStatsTable[Average]))</f>
        <v>35.2198892420015</v>
      </c>
      <c r="S3" cm="1">
        <f t="array" ref="S3">MAX(IF((DiscreteStatsTable[GroupByKey]=DiscreteStatsTable[[#This Row],[GroupByKey]]),(DiscreteStatsTable[GroupByKey]=DiscreteStatsTable[[#This Row],[GroupByKey]])*DiscreteStatsTable[Average]))</f>
        <v>45.9584238562989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587.28081555318204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12454.5</v>
      </c>
      <c r="W3">
        <f>IF((DiscreteStatsTable[[#This Row],[RepsRequested]]&gt;1),DiscreteStatsTable[[#This Row],[HalfWidth]],DiscreteStatsTable[[#This Row],[BatchMeansHalfWidth]])</f>
        <v>2.246017095567856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45.9584238562989</v>
      </c>
      <c r="H4">
        <v>13.510580473208099</v>
      </c>
      <c r="I4">
        <v>0</v>
      </c>
      <c r="J4">
        <v>587.28081555318204</v>
      </c>
      <c r="K4">
        <v>12593</v>
      </c>
      <c r="L4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39.207792077546941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3.1397154019506459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4" cm="1">
        <f t="array" ref="R4">MIN(IF((DiscreteStatsTable[GroupByKey]=DiscreteStatsTable[[#This Row],[GroupByKey]]),(DiscreteStatsTable[GroupByKey]=DiscreteStatsTable[[#This Row],[GroupByKey]])*DiscreteStatsTable[Average]))</f>
        <v>35.2198892420015</v>
      </c>
      <c r="S4" cm="1">
        <f t="array" ref="S4">MAX(IF((DiscreteStatsTable[GroupByKey]=DiscreteStatsTable[[#This Row],[GroupByKey]]),(DiscreteStatsTable[GroupByKey]=DiscreteStatsTable[[#This Row],[GroupByKey]])*DiscreteStatsTable[Average]))</f>
        <v>45.9584238562989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587.28081555318204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12454.5</v>
      </c>
      <c r="W4">
        <f>IF((DiscreteStatsTable[[#This Row],[RepsRequested]]&gt;1),DiscreteStatsTable[[#This Row],[HalfWidth]],DiscreteStatsTable[[#This Row],[BatchMeansHalfWidth]])</f>
        <v>2.246017095567856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38.084684754805899</v>
      </c>
      <c r="H5">
        <v>5.2506559134667903</v>
      </c>
      <c r="I5">
        <v>0</v>
      </c>
      <c r="J5">
        <v>333.64278522494698</v>
      </c>
      <c r="K5">
        <v>12455</v>
      </c>
      <c r="L5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39.207792077546941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3.1397154019506459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5" cm="1">
        <f t="array" ref="R5">MIN(IF((DiscreteStatsTable[GroupByKey]=DiscreteStatsTable[[#This Row],[GroupByKey]]),(DiscreteStatsTable[GroupByKey]=DiscreteStatsTable[[#This Row],[GroupByKey]])*DiscreteStatsTable[Average]))</f>
        <v>35.2198892420015</v>
      </c>
      <c r="S5" cm="1">
        <f t="array" ref="S5">MAX(IF((DiscreteStatsTable[GroupByKey]=DiscreteStatsTable[[#This Row],[GroupByKey]]),(DiscreteStatsTable[GroupByKey]=DiscreteStatsTable[[#This Row],[GroupByKey]])*DiscreteStatsTable[Average]))</f>
        <v>45.9584238562989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587.28081555318204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12454.5</v>
      </c>
      <c r="W5">
        <f>IF((DiscreteStatsTable[[#This Row],[RepsRequested]]&gt;1),DiscreteStatsTable[[#This Row],[HalfWidth]],DiscreteStatsTable[[#This Row],[BatchMeansHalfWidth]])</f>
        <v>2.246017095567856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37.179436768096203</v>
      </c>
      <c r="H6">
        <v>5.18012452552155</v>
      </c>
      <c r="I6">
        <v>0</v>
      </c>
      <c r="J6">
        <v>401.41465153619401</v>
      </c>
      <c r="K6">
        <v>12444</v>
      </c>
      <c r="L6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39.207792077546941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3.1397154019506459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6" cm="1">
        <f t="array" ref="R6">MIN(IF((DiscreteStatsTable[GroupByKey]=DiscreteStatsTable[[#This Row],[GroupByKey]]),(DiscreteStatsTable[GroupByKey]=DiscreteStatsTable[[#This Row],[GroupByKey]])*DiscreteStatsTable[Average]))</f>
        <v>35.2198892420015</v>
      </c>
      <c r="S6" cm="1">
        <f t="array" ref="S6">MAX(IF((DiscreteStatsTable[GroupByKey]=DiscreteStatsTable[[#This Row],[GroupByKey]]),(DiscreteStatsTable[GroupByKey]=DiscreteStatsTable[[#This Row],[GroupByKey]])*DiscreteStatsTable[Average]))</f>
        <v>45.9584238562989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587.28081555318204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12454.5</v>
      </c>
      <c r="W6">
        <f>IF((DiscreteStatsTable[[#This Row],[RepsRequested]]&gt;1),DiscreteStatsTable[[#This Row],[HalfWidth]],DiscreteStatsTable[[#This Row],[BatchMeansHalfWidth]])</f>
        <v>2.246017095567856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40.5176765634166</v>
      </c>
      <c r="H7">
        <v>8.2505457695928008</v>
      </c>
      <c r="I7">
        <v>0</v>
      </c>
      <c r="J7">
        <v>344.47149501040599</v>
      </c>
      <c r="K7">
        <v>12505</v>
      </c>
      <c r="L7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39.207792077546941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3.1397154019506459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7" cm="1">
        <f t="array" ref="R7">MIN(IF((DiscreteStatsTable[GroupByKey]=DiscreteStatsTable[[#This Row],[GroupByKey]]),(DiscreteStatsTable[GroupByKey]=DiscreteStatsTable[[#This Row],[GroupByKey]])*DiscreteStatsTable[Average]))</f>
        <v>35.2198892420015</v>
      </c>
      <c r="S7" cm="1">
        <f t="array" ref="S7">MAX(IF((DiscreteStatsTable[GroupByKey]=DiscreteStatsTable[[#This Row],[GroupByKey]]),(DiscreteStatsTable[GroupByKey]=DiscreteStatsTable[[#This Row],[GroupByKey]])*DiscreteStatsTable[Average]))</f>
        <v>45.9584238562989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587.28081555318204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12454.5</v>
      </c>
      <c r="W7">
        <f>IF((DiscreteStatsTable[[#This Row],[RepsRequested]]&gt;1),DiscreteStatsTable[[#This Row],[HalfWidth]],DiscreteStatsTable[[#This Row],[BatchMeansHalfWidth]])</f>
        <v>2.246017095567856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35.2198892420015</v>
      </c>
      <c r="H8">
        <v>4.9315769564643102</v>
      </c>
      <c r="I8">
        <v>0</v>
      </c>
      <c r="J8">
        <v>368.99885784054601</v>
      </c>
      <c r="K8">
        <v>12489</v>
      </c>
      <c r="L8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39.207792077546941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3.1397154019506459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8" cm="1">
        <f t="array" ref="R8">MIN(IF((DiscreteStatsTable[GroupByKey]=DiscreteStatsTable[[#This Row],[GroupByKey]]),(DiscreteStatsTable[GroupByKey]=DiscreteStatsTable[[#This Row],[GroupByKey]])*DiscreteStatsTable[Average]))</f>
        <v>35.2198892420015</v>
      </c>
      <c r="S8" cm="1">
        <f t="array" ref="S8">MAX(IF((DiscreteStatsTable[GroupByKey]=DiscreteStatsTable[[#This Row],[GroupByKey]]),(DiscreteStatsTable[GroupByKey]=DiscreteStatsTable[[#This Row],[GroupByKey]])*DiscreteStatsTable[Average]))</f>
        <v>45.9584238562989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587.28081555318204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12454.5</v>
      </c>
      <c r="W8">
        <f>IF((DiscreteStatsTable[[#This Row],[RepsRequested]]&gt;1),DiscreteStatsTable[[#This Row],[HalfWidth]],DiscreteStatsTable[[#This Row],[BatchMeansHalfWidth]])</f>
        <v>2.246017095567856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35.842426560475403</v>
      </c>
      <c r="H9">
        <v>6.0980718408995598</v>
      </c>
      <c r="I9">
        <v>0</v>
      </c>
      <c r="J9">
        <v>360.261256942133</v>
      </c>
      <c r="K9">
        <v>12306</v>
      </c>
      <c r="L9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39.207792077546941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3.1397154019506459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9" cm="1">
        <f t="array" ref="R9">MIN(IF((DiscreteStatsTable[GroupByKey]=DiscreteStatsTable[[#This Row],[GroupByKey]]),(DiscreteStatsTable[GroupByKey]=DiscreteStatsTable[[#This Row],[GroupByKey]])*DiscreteStatsTable[Average]))</f>
        <v>35.2198892420015</v>
      </c>
      <c r="S9" cm="1">
        <f t="array" ref="S9">MAX(IF((DiscreteStatsTable[GroupByKey]=DiscreteStatsTable[[#This Row],[GroupByKey]]),(DiscreteStatsTable[GroupByKey]=DiscreteStatsTable[[#This Row],[GroupByKey]])*DiscreteStatsTable[Average]))</f>
        <v>45.9584238562989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587.28081555318204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12454.5</v>
      </c>
      <c r="W9">
        <f>IF((DiscreteStatsTable[[#This Row],[RepsRequested]]&gt;1),DiscreteStatsTable[[#This Row],[HalfWidth]],DiscreteStatsTable[[#This Row],[BatchMeansHalfWidth]])</f>
        <v>2.246017095567856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39.902828929597497</v>
      </c>
      <c r="H10">
        <v>7.0504097343143597</v>
      </c>
      <c r="I10">
        <v>0</v>
      </c>
      <c r="J10">
        <v>355.86647990059998</v>
      </c>
      <c r="K10">
        <v>12562</v>
      </c>
      <c r="L10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39.207792077546941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3.1397154019506459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35.2198892420015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45.9584238562989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587.28081555318204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12454.5</v>
      </c>
      <c r="W10">
        <f>IF((DiscreteStatsTable[[#This Row],[RepsRequested]]&gt;1),DiscreteStatsTable[[#This Row],[HalfWidth]],DiscreteStatsTable[[#This Row],[BatchMeansHalfWidth]])</f>
        <v>2.246017095567856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37.632020155255397</v>
      </c>
      <c r="H11">
        <v>8.3684247746811007</v>
      </c>
      <c r="I11">
        <v>0</v>
      </c>
      <c r="J11">
        <v>333.49445565412998</v>
      </c>
      <c r="K11">
        <v>12234</v>
      </c>
      <c r="L11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39.207792077546941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3.1397154019506459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2.246017095567856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35.2198892420015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45.9584238562989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587.28081555318204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12454.5</v>
      </c>
      <c r="W11">
        <f>IF((DiscreteStatsTable[[#This Row],[RepsRequested]]&gt;1),DiscreteStatsTable[[#This Row],[HalfWidth]],DiscreteStatsTable[[#This Row],[BatchMeansHalfWidth]])</f>
        <v>2.246017095567856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1</v>
      </c>
      <c r="D12" t="s">
        <v>73</v>
      </c>
      <c r="E12" t="s">
        <v>74</v>
      </c>
      <c r="F12" t="s">
        <v>75</v>
      </c>
      <c r="G12">
        <v>0</v>
      </c>
      <c r="H12">
        <v>0</v>
      </c>
      <c r="I12">
        <v>0</v>
      </c>
      <c r="J12">
        <v>0</v>
      </c>
      <c r="K12">
        <v>12456</v>
      </c>
      <c r="L1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12441.9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1</v>
      </c>
      <c r="D13" t="s">
        <v>73</v>
      </c>
      <c r="E13" t="s">
        <v>76</v>
      </c>
      <c r="F13" t="s">
        <v>75</v>
      </c>
      <c r="G13">
        <v>0</v>
      </c>
      <c r="H13">
        <v>0</v>
      </c>
      <c r="I13">
        <v>0</v>
      </c>
      <c r="J13">
        <v>0</v>
      </c>
      <c r="K13">
        <v>12456</v>
      </c>
      <c r="L1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12441.9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1</v>
      </c>
      <c r="D14" t="s">
        <v>73</v>
      </c>
      <c r="E14" t="s">
        <v>77</v>
      </c>
      <c r="F14" t="s">
        <v>75</v>
      </c>
      <c r="G14">
        <v>353.50375397057098</v>
      </c>
      <c r="H14">
        <v>27.457996223225202</v>
      </c>
      <c r="I14">
        <v>85.527899649576298</v>
      </c>
      <c r="J14">
        <v>1194.03300748533</v>
      </c>
      <c r="K14">
        <v>12456</v>
      </c>
      <c r="L1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353.82556111299817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11.97332326127022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331.355585797689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373.76644480526198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82.055383523315001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1654.1892179890699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12441.9</v>
      </c>
      <c r="W14">
        <f>IF((DiscreteStatsTable[[#This Row],[RepsRequested]]&gt;1),DiscreteStatsTable[[#This Row],[HalfWidth]],DiscreteStatsTable[[#This Row],[BatchMeansHalfWidth]])</f>
        <v>8.565199482368854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1</v>
      </c>
      <c r="D15" t="s">
        <v>73</v>
      </c>
      <c r="E15" t="s">
        <v>78</v>
      </c>
      <c r="F15" t="s">
        <v>75</v>
      </c>
      <c r="G15">
        <v>15.8043824702132</v>
      </c>
      <c r="H15">
        <v>0.16842651727351299</v>
      </c>
      <c r="I15">
        <v>4.4999999999417897</v>
      </c>
      <c r="J15">
        <v>117.66060489480201</v>
      </c>
      <c r="K15">
        <v>12456</v>
      </c>
      <c r="L1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15.825589970296003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15.752758147786601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15.994532039391199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4.3333333333333304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144.84902439031401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12441.9</v>
      </c>
      <c r="W15">
        <f>IF((DiscreteStatsTable[[#This Row],[RepsRequested]]&gt;1),DiscreteStatsTable[[#This Row],[HalfWidth]],DiscreteStatsTable[[#This Row],[BatchMeansHalfWidth]])</f>
        <v>5.4362194933284765E-2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1</v>
      </c>
      <c r="D16" t="s">
        <v>73</v>
      </c>
      <c r="E16" t="s">
        <v>79</v>
      </c>
      <c r="F16" t="s">
        <v>75</v>
      </c>
      <c r="G16">
        <v>132.58791045373201</v>
      </c>
      <c r="H16">
        <v>3E+20</v>
      </c>
      <c r="I16">
        <v>66.119406483310698</v>
      </c>
      <c r="J16">
        <v>419.19778067682603</v>
      </c>
      <c r="K16">
        <v>12456</v>
      </c>
      <c r="L1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132.41852186059251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0.30751586336826864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131.721099744529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132.837532878931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60.758133538780399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441.34949113437301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12441.9</v>
      </c>
      <c r="W16">
        <f>IF((DiscreteStatsTable[[#This Row],[RepsRequested]]&gt;1),DiscreteStatsTable[[#This Row],[HalfWidth]],DiscreteStatsTable[[#This Row],[BatchMeansHalfWidth]])</f>
        <v>0.21998359655602229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1</v>
      </c>
      <c r="D17" t="s">
        <v>73</v>
      </c>
      <c r="E17" t="s">
        <v>80</v>
      </c>
      <c r="F17" t="s">
        <v>75</v>
      </c>
      <c r="G17">
        <v>205.111461046626</v>
      </c>
      <c r="H17">
        <v>27.418382805500499</v>
      </c>
      <c r="I17">
        <v>0</v>
      </c>
      <c r="J17">
        <v>1053.7372971694299</v>
      </c>
      <c r="K17">
        <v>12456</v>
      </c>
      <c r="L1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205.58144928211041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12.114375794707056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183.00039707077201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225.371193109704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1488.6130439000001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12441.9</v>
      </c>
      <c r="W17">
        <f>IF((DiscreteStatsTable[[#This Row],[RepsRequested]]&gt;1),DiscreteStatsTable[[#This Row],[HalfWidth]],DiscreteStatsTable[[#This Row],[BatchMeansHalfWidth]])</f>
        <v>8.6661023862675517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2</v>
      </c>
      <c r="D18" t="s">
        <v>73</v>
      </c>
      <c r="E18" t="s">
        <v>74</v>
      </c>
      <c r="F18" t="s">
        <v>75</v>
      </c>
      <c r="G18">
        <v>0</v>
      </c>
      <c r="H18">
        <v>0</v>
      </c>
      <c r="I18">
        <v>0</v>
      </c>
      <c r="J18">
        <v>0</v>
      </c>
      <c r="K18">
        <v>12469</v>
      </c>
      <c r="L1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12441.9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2</v>
      </c>
      <c r="D19" t="s">
        <v>73</v>
      </c>
      <c r="E19" t="s">
        <v>76</v>
      </c>
      <c r="F19" t="s">
        <v>75</v>
      </c>
      <c r="G19">
        <v>0</v>
      </c>
      <c r="H19">
        <v>0</v>
      </c>
      <c r="I19">
        <v>0</v>
      </c>
      <c r="J19">
        <v>0</v>
      </c>
      <c r="K19">
        <v>12469</v>
      </c>
      <c r="L1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12441.9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2</v>
      </c>
      <c r="D20" t="s">
        <v>73</v>
      </c>
      <c r="E20" t="s">
        <v>77</v>
      </c>
      <c r="F20" t="s">
        <v>75</v>
      </c>
      <c r="G20">
        <v>355.45500332422898</v>
      </c>
      <c r="H20">
        <v>30.680122593966299</v>
      </c>
      <c r="I20">
        <v>86.954729547898793</v>
      </c>
      <c r="J20">
        <v>1131.4245030823699</v>
      </c>
      <c r="K20">
        <v>12469</v>
      </c>
      <c r="L2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353.82556111299817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11.97332326127022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331.355585797689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373.76644480526198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82.055383523315001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1654.1892179890699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12441.9</v>
      </c>
      <c r="W20">
        <f>IF((DiscreteStatsTable[[#This Row],[RepsRequested]]&gt;1),DiscreteStatsTable[[#This Row],[HalfWidth]],DiscreteStatsTable[[#This Row],[BatchMeansHalfWidth]])</f>
        <v>8.565199482368854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2</v>
      </c>
      <c r="D21" t="s">
        <v>73</v>
      </c>
      <c r="E21" t="s">
        <v>78</v>
      </c>
      <c r="F21" t="s">
        <v>75</v>
      </c>
      <c r="G21">
        <v>15.7637179515723</v>
      </c>
      <c r="H21">
        <v>0.164413515707512</v>
      </c>
      <c r="I21">
        <v>4.4999999999417897</v>
      </c>
      <c r="J21">
        <v>109.71325538971</v>
      </c>
      <c r="K21">
        <v>12469</v>
      </c>
      <c r="L2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15.825589970296003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15.752758147786601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15.994532039391199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4.3333333333333304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144.84902439031401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12441.9</v>
      </c>
      <c r="W21">
        <f>IF((DiscreteStatsTable[[#This Row],[RepsRequested]]&gt;1),DiscreteStatsTable[[#This Row],[HalfWidth]],DiscreteStatsTable[[#This Row],[BatchMeansHalfWidth]])</f>
        <v>5.4362194933284765E-2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69</v>
      </c>
      <c r="C22">
        <v>2</v>
      </c>
      <c r="D22" t="s">
        <v>73</v>
      </c>
      <c r="E22" t="s">
        <v>79</v>
      </c>
      <c r="F22" t="s">
        <v>75</v>
      </c>
      <c r="G22">
        <v>132.49500469648299</v>
      </c>
      <c r="H22">
        <v>0.60668855924060505</v>
      </c>
      <c r="I22">
        <v>66.850393735483493</v>
      </c>
      <c r="J22">
        <v>352.26093945535803</v>
      </c>
      <c r="K22">
        <v>12469</v>
      </c>
      <c r="L2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132.41852186059251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0.30751586336826864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131.721099744529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132.837532878931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60.758133538780399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441.34949113437301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12441.9</v>
      </c>
      <c r="W22">
        <f>IF((DiscreteStatsTable[[#This Row],[RepsRequested]]&gt;1),DiscreteStatsTable[[#This Row],[HalfWidth]],DiscreteStatsTable[[#This Row],[BatchMeansHalfWidth]])</f>
        <v>0.21998359655602229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69</v>
      </c>
      <c r="C23">
        <v>2</v>
      </c>
      <c r="D23" t="s">
        <v>73</v>
      </c>
      <c r="E23" t="s">
        <v>80</v>
      </c>
      <c r="F23" t="s">
        <v>75</v>
      </c>
      <c r="G23">
        <v>207.19628067617501</v>
      </c>
      <c r="H23">
        <v>30.642781080026701</v>
      </c>
      <c r="I23">
        <v>0</v>
      </c>
      <c r="J23">
        <v>991.77822305932602</v>
      </c>
      <c r="K23">
        <v>12469</v>
      </c>
      <c r="L2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205.58144928211041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12.114375794707056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183.00039707077201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225.371193109704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1488.6130439000001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12441.9</v>
      </c>
      <c r="W23">
        <f>IF((DiscreteStatsTable[[#This Row],[RepsRequested]]&gt;1),DiscreteStatsTable[[#This Row],[HalfWidth]],DiscreteStatsTable[[#This Row],[BatchMeansHalfWidth]])</f>
        <v>8.6661023862675517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69</v>
      </c>
      <c r="C24">
        <v>3</v>
      </c>
      <c r="D24" t="s">
        <v>73</v>
      </c>
      <c r="E24" t="s">
        <v>74</v>
      </c>
      <c r="F24" t="s">
        <v>75</v>
      </c>
      <c r="G24">
        <v>0</v>
      </c>
      <c r="H24">
        <v>0</v>
      </c>
      <c r="I24">
        <v>0</v>
      </c>
      <c r="J24">
        <v>0</v>
      </c>
      <c r="K24">
        <v>12584</v>
      </c>
      <c r="L2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12441.9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69</v>
      </c>
      <c r="C25">
        <v>3</v>
      </c>
      <c r="D25" t="s">
        <v>73</v>
      </c>
      <c r="E25" t="s">
        <v>76</v>
      </c>
      <c r="F25" t="s">
        <v>75</v>
      </c>
      <c r="G25">
        <v>0</v>
      </c>
      <c r="H25">
        <v>0</v>
      </c>
      <c r="I25">
        <v>0</v>
      </c>
      <c r="J25">
        <v>0</v>
      </c>
      <c r="K25">
        <v>12584</v>
      </c>
      <c r="L2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12441.9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69</v>
      </c>
      <c r="C26">
        <v>3</v>
      </c>
      <c r="D26" t="s">
        <v>73</v>
      </c>
      <c r="E26" t="s">
        <v>77</v>
      </c>
      <c r="F26" t="s">
        <v>75</v>
      </c>
      <c r="G26">
        <v>373.76644480526198</v>
      </c>
      <c r="H26">
        <v>32.525676244729098</v>
      </c>
      <c r="I26">
        <v>87.379050961870206</v>
      </c>
      <c r="J26">
        <v>1493.98332655372</v>
      </c>
      <c r="K26">
        <v>12584</v>
      </c>
      <c r="L2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353.82556111299817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11.97332326127022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331.355585797689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373.76644480526198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82.055383523315001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1654.1892179890699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12441.9</v>
      </c>
      <c r="W26">
        <f>IF((DiscreteStatsTable[[#This Row],[RepsRequested]]&gt;1),DiscreteStatsTable[[#This Row],[HalfWidth]],DiscreteStatsTable[[#This Row],[BatchMeansHalfWidth]])</f>
        <v>8.565199482368854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69</v>
      </c>
      <c r="C27">
        <v>3</v>
      </c>
      <c r="D27" t="s">
        <v>73</v>
      </c>
      <c r="E27" t="s">
        <v>78</v>
      </c>
      <c r="F27" t="s">
        <v>75</v>
      </c>
      <c r="G27">
        <v>15.752758147786601</v>
      </c>
      <c r="H27">
        <v>0.180294189062115</v>
      </c>
      <c r="I27">
        <v>4.4999999999417897</v>
      </c>
      <c r="J27">
        <v>117.19883588306401</v>
      </c>
      <c r="K27">
        <v>12584</v>
      </c>
      <c r="L2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15.825589970296003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15.752758147786601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15.994532039391199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4.3333333333333304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144.84902439031401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12441.9</v>
      </c>
      <c r="W27">
        <f>IF((DiscreteStatsTable[[#This Row],[RepsRequested]]&gt;1),DiscreteStatsTable[[#This Row],[HalfWidth]],DiscreteStatsTable[[#This Row],[BatchMeansHalfWidth]])</f>
        <v>5.4362194933284765E-2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69</v>
      </c>
      <c r="C28">
        <v>3</v>
      </c>
      <c r="D28" t="s">
        <v>73</v>
      </c>
      <c r="E28" t="s">
        <v>79</v>
      </c>
      <c r="F28" t="s">
        <v>75</v>
      </c>
      <c r="G28">
        <v>132.642493547773</v>
      </c>
      <c r="H28">
        <v>0.682360924938062</v>
      </c>
      <c r="I28">
        <v>62.035877327984998</v>
      </c>
      <c r="J28">
        <v>388.31871724236402</v>
      </c>
      <c r="K28">
        <v>12584</v>
      </c>
      <c r="L2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132.41852186059251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0.30751586336826864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131.721099744529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132.837532878931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60.758133538780399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441.34949113437301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12441.9</v>
      </c>
      <c r="W28">
        <f>IF((DiscreteStatsTable[[#This Row],[RepsRequested]]&gt;1),DiscreteStatsTable[[#This Row],[HalfWidth]],DiscreteStatsTable[[#This Row],[BatchMeansHalfWidth]])</f>
        <v>0.21998359655602229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69</v>
      </c>
      <c r="C29">
        <v>3</v>
      </c>
      <c r="D29" t="s">
        <v>73</v>
      </c>
      <c r="E29" t="s">
        <v>80</v>
      </c>
      <c r="F29" t="s">
        <v>75</v>
      </c>
      <c r="G29">
        <v>225.371193109704</v>
      </c>
      <c r="H29">
        <v>32.484695111984003</v>
      </c>
      <c r="I29">
        <v>0</v>
      </c>
      <c r="J29">
        <v>1334.18156601799</v>
      </c>
      <c r="K29">
        <v>12584</v>
      </c>
      <c r="L2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205.58144928211041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12.114375794707056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183.00039707077201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225.371193109704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1488.6130439000001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12441.9</v>
      </c>
      <c r="W29">
        <f>IF((DiscreteStatsTable[[#This Row],[RepsRequested]]&gt;1),DiscreteStatsTable[[#This Row],[HalfWidth]],DiscreteStatsTable[[#This Row],[BatchMeansHalfWidth]])</f>
        <v>8.6661023862675517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69</v>
      </c>
      <c r="C30">
        <v>4</v>
      </c>
      <c r="D30" t="s">
        <v>73</v>
      </c>
      <c r="E30" t="s">
        <v>74</v>
      </c>
      <c r="F30" t="s">
        <v>75</v>
      </c>
      <c r="G30">
        <v>0</v>
      </c>
      <c r="H30">
        <v>0</v>
      </c>
      <c r="I30">
        <v>0</v>
      </c>
      <c r="J30">
        <v>0</v>
      </c>
      <c r="K30">
        <v>12444</v>
      </c>
      <c r="L3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12441.9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69</v>
      </c>
      <c r="C31">
        <v>4</v>
      </c>
      <c r="D31" t="s">
        <v>73</v>
      </c>
      <c r="E31" t="s">
        <v>76</v>
      </c>
      <c r="F31" t="s">
        <v>75</v>
      </c>
      <c r="G31">
        <v>0</v>
      </c>
      <c r="H31">
        <v>0</v>
      </c>
      <c r="I31">
        <v>0</v>
      </c>
      <c r="J31">
        <v>0</v>
      </c>
      <c r="K31">
        <v>12444</v>
      </c>
      <c r="L3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12441.9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69</v>
      </c>
      <c r="C32">
        <v>4</v>
      </c>
      <c r="D32" t="s">
        <v>73</v>
      </c>
      <c r="E32" t="s">
        <v>77</v>
      </c>
      <c r="F32" t="s">
        <v>75</v>
      </c>
      <c r="G32">
        <v>346.95513491517801</v>
      </c>
      <c r="H32">
        <v>25.556044289831402</v>
      </c>
      <c r="I32">
        <v>93.6241633674654</v>
      </c>
      <c r="J32">
        <v>1206.4613012407401</v>
      </c>
      <c r="K32">
        <v>12444</v>
      </c>
      <c r="L3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353.82556111299817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11.97332326127022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331.355585797689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373.76644480526198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82.055383523315001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1654.1892179890699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12441.9</v>
      </c>
      <c r="W32">
        <f>IF((DiscreteStatsTable[[#This Row],[RepsRequested]]&gt;1),DiscreteStatsTable[[#This Row],[HalfWidth]],DiscreteStatsTable[[#This Row],[BatchMeansHalfWidth]])</f>
        <v>8.565199482368854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69</v>
      </c>
      <c r="C33">
        <v>4</v>
      </c>
      <c r="D33" t="s">
        <v>73</v>
      </c>
      <c r="E33" t="s">
        <v>78</v>
      </c>
      <c r="F33" t="s">
        <v>75</v>
      </c>
      <c r="G33">
        <v>15.8208544350362</v>
      </c>
      <c r="H33">
        <v>0.15301521103874199</v>
      </c>
      <c r="I33">
        <v>4.4999999999417897</v>
      </c>
      <c r="J33">
        <v>88.542678565194393</v>
      </c>
      <c r="K33">
        <v>12444</v>
      </c>
      <c r="L3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15.825589970296003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15.752758147786601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15.994532039391199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4.3333333333333304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144.84902439031401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12441.9</v>
      </c>
      <c r="W33">
        <f>IF((DiscreteStatsTable[[#This Row],[RepsRequested]]&gt;1),DiscreteStatsTable[[#This Row],[HalfWidth]],DiscreteStatsTable[[#This Row],[BatchMeansHalfWidth]])</f>
        <v>5.4362194933284765E-2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69</v>
      </c>
      <c r="C34">
        <v>4</v>
      </c>
      <c r="D34" t="s">
        <v>73</v>
      </c>
      <c r="E34" t="s">
        <v>79</v>
      </c>
      <c r="F34" t="s">
        <v>75</v>
      </c>
      <c r="G34">
        <v>132.837532878931</v>
      </c>
      <c r="H34">
        <v>0.59626219548638204</v>
      </c>
      <c r="I34">
        <v>64.661268059891896</v>
      </c>
      <c r="J34">
        <v>441.34949113437301</v>
      </c>
      <c r="K34">
        <v>12444</v>
      </c>
      <c r="L3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132.41852186059251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0.30751586336826864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131.721099744529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132.837532878931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60.758133538780399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441.34949113437301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12441.9</v>
      </c>
      <c r="W34">
        <f>IF((DiscreteStatsTable[[#This Row],[RepsRequested]]&gt;1),DiscreteStatsTable[[#This Row],[HalfWidth]],DiscreteStatsTable[[#This Row],[BatchMeansHalfWidth]])</f>
        <v>0.21998359655602229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69</v>
      </c>
      <c r="C35">
        <v>4</v>
      </c>
      <c r="D35" t="s">
        <v>73</v>
      </c>
      <c r="E35" t="s">
        <v>80</v>
      </c>
      <c r="F35" t="s">
        <v>75</v>
      </c>
      <c r="G35">
        <v>198.296747601211</v>
      </c>
      <c r="H35">
        <v>25.811861339535401</v>
      </c>
      <c r="I35">
        <v>0</v>
      </c>
      <c r="J35">
        <v>979.00599989204795</v>
      </c>
      <c r="K35">
        <v>12444</v>
      </c>
      <c r="L3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205.58144928211041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12.114375794707056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183.00039707077201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225.371193109704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1488.6130439000001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12441.9</v>
      </c>
      <c r="W35">
        <f>IF((DiscreteStatsTable[[#This Row],[RepsRequested]]&gt;1),DiscreteStatsTable[[#This Row],[HalfWidth]],DiscreteStatsTable[[#This Row],[BatchMeansHalfWidth]])</f>
        <v>8.6661023862675517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69</v>
      </c>
      <c r="C36">
        <v>5</v>
      </c>
      <c r="D36" t="s">
        <v>73</v>
      </c>
      <c r="E36" t="s">
        <v>74</v>
      </c>
      <c r="F36" t="s">
        <v>75</v>
      </c>
      <c r="G36">
        <v>0</v>
      </c>
      <c r="H36">
        <v>0</v>
      </c>
      <c r="I36">
        <v>0</v>
      </c>
      <c r="J36">
        <v>0</v>
      </c>
      <c r="K36">
        <v>12429</v>
      </c>
      <c r="L3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12441.9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69</v>
      </c>
      <c r="C37">
        <v>5</v>
      </c>
      <c r="D37" t="s">
        <v>73</v>
      </c>
      <c r="E37" t="s">
        <v>76</v>
      </c>
      <c r="F37" t="s">
        <v>75</v>
      </c>
      <c r="G37">
        <v>0</v>
      </c>
      <c r="H37">
        <v>0</v>
      </c>
      <c r="I37">
        <v>0</v>
      </c>
      <c r="J37">
        <v>0</v>
      </c>
      <c r="K37">
        <v>12429</v>
      </c>
      <c r="L3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12441.9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69</v>
      </c>
      <c r="C38">
        <v>5</v>
      </c>
      <c r="D38" t="s">
        <v>73</v>
      </c>
      <c r="E38" t="s">
        <v>77</v>
      </c>
      <c r="F38" t="s">
        <v>75</v>
      </c>
      <c r="G38">
        <v>366.16133232431599</v>
      </c>
      <c r="H38">
        <v>36.139661763248803</v>
      </c>
      <c r="I38">
        <v>82.589066395099493</v>
      </c>
      <c r="J38">
        <v>1173.51337419264</v>
      </c>
      <c r="K38">
        <v>12429</v>
      </c>
      <c r="L3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353.82556111299817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11.97332326127022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331.355585797689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373.76644480526198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82.055383523315001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1654.1892179890699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12441.9</v>
      </c>
      <c r="W38">
        <f>IF((DiscreteStatsTable[[#This Row],[RepsRequested]]&gt;1),DiscreteStatsTable[[#This Row],[HalfWidth]],DiscreteStatsTable[[#This Row],[BatchMeansHalfWidth]])</f>
        <v>8.565199482368854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69</v>
      </c>
      <c r="C39">
        <v>5</v>
      </c>
      <c r="D39" t="s">
        <v>73</v>
      </c>
      <c r="E39" t="s">
        <v>78</v>
      </c>
      <c r="F39" t="s">
        <v>75</v>
      </c>
      <c r="G39">
        <v>15.792499083971901</v>
      </c>
      <c r="H39">
        <v>0.17361875001113</v>
      </c>
      <c r="I39">
        <v>4.3333333333333304</v>
      </c>
      <c r="J39">
        <v>104.904734431679</v>
      </c>
      <c r="K39">
        <v>12429</v>
      </c>
      <c r="L3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15.825589970296003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15.752758147786601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15.994532039391199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4.3333333333333304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144.84902439031401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12441.9</v>
      </c>
      <c r="W39">
        <f>IF((DiscreteStatsTable[[#This Row],[RepsRequested]]&gt;1),DiscreteStatsTable[[#This Row],[HalfWidth]],DiscreteStatsTable[[#This Row],[BatchMeansHalfWidth]])</f>
        <v>5.4362194933284765E-2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69</v>
      </c>
      <c r="C40">
        <v>5</v>
      </c>
      <c r="D40" t="s">
        <v>73</v>
      </c>
      <c r="E40" t="s">
        <v>79</v>
      </c>
      <c r="F40" t="s">
        <v>75</v>
      </c>
      <c r="G40">
        <v>131.721099744529</v>
      </c>
      <c r="H40">
        <v>0.59945121282885805</v>
      </c>
      <c r="I40">
        <v>64.276324530394007</v>
      </c>
      <c r="J40">
        <v>395.44336346784303</v>
      </c>
      <c r="K40">
        <v>12429</v>
      </c>
      <c r="L4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132.41852186059251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0.30751586336826864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131.721099744529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132.837532878931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60.758133538780399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441.34949113437301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12441.9</v>
      </c>
      <c r="W40">
        <f>IF((DiscreteStatsTable[[#This Row],[RepsRequested]]&gt;1),DiscreteStatsTable[[#This Row],[HalfWidth]],DiscreteStatsTable[[#This Row],[BatchMeansHalfWidth]])</f>
        <v>0.21998359655602229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69</v>
      </c>
      <c r="C41">
        <v>5</v>
      </c>
      <c r="D41" t="s">
        <v>73</v>
      </c>
      <c r="E41" t="s">
        <v>80</v>
      </c>
      <c r="F41" t="s">
        <v>75</v>
      </c>
      <c r="G41">
        <v>218.647733495816</v>
      </c>
      <c r="H41">
        <v>36.304772921659399</v>
      </c>
      <c r="I41">
        <v>0</v>
      </c>
      <c r="J41">
        <v>1058.7908655107001</v>
      </c>
      <c r="K41">
        <v>12429</v>
      </c>
      <c r="L4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205.58144928211041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12.114375794707056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183.00039707077201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225.371193109704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1488.6130439000001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12441.9</v>
      </c>
      <c r="W41">
        <f>IF((DiscreteStatsTable[[#This Row],[RepsRequested]]&gt;1),DiscreteStatsTable[[#This Row],[HalfWidth]],DiscreteStatsTable[[#This Row],[BatchMeansHalfWidth]])</f>
        <v>8.6661023862675517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69</v>
      </c>
      <c r="C42">
        <v>6</v>
      </c>
      <c r="D42" t="s">
        <v>73</v>
      </c>
      <c r="E42" t="s">
        <v>74</v>
      </c>
      <c r="F42" t="s">
        <v>75</v>
      </c>
      <c r="G42">
        <v>0</v>
      </c>
      <c r="H42">
        <v>0</v>
      </c>
      <c r="I42">
        <v>0</v>
      </c>
      <c r="J42">
        <v>0</v>
      </c>
      <c r="K42">
        <v>12500</v>
      </c>
      <c r="L4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12441.9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69</v>
      </c>
      <c r="C43">
        <v>6</v>
      </c>
      <c r="D43" t="s">
        <v>73</v>
      </c>
      <c r="E43" t="s">
        <v>76</v>
      </c>
      <c r="F43" t="s">
        <v>75</v>
      </c>
      <c r="G43">
        <v>0</v>
      </c>
      <c r="H43">
        <v>0</v>
      </c>
      <c r="I43">
        <v>0</v>
      </c>
      <c r="J43">
        <v>0</v>
      </c>
      <c r="K43">
        <v>12500</v>
      </c>
      <c r="L4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12441.9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69</v>
      </c>
      <c r="C44">
        <v>6</v>
      </c>
      <c r="D44" t="s">
        <v>73</v>
      </c>
      <c r="E44" t="s">
        <v>77</v>
      </c>
      <c r="F44" t="s">
        <v>75</v>
      </c>
      <c r="G44">
        <v>353.87159327317403</v>
      </c>
      <c r="H44">
        <v>28.715897325001301</v>
      </c>
      <c r="I44">
        <v>82.860260434768904</v>
      </c>
      <c r="J44">
        <v>1020.97956482487</v>
      </c>
      <c r="K44">
        <v>12500</v>
      </c>
      <c r="L4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353.82556111299817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11.97332326127022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331.355585797689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373.76644480526198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82.055383523315001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1654.1892179890699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12441.9</v>
      </c>
      <c r="W44">
        <f>IF((DiscreteStatsTable[[#This Row],[RepsRequested]]&gt;1),DiscreteStatsTable[[#This Row],[HalfWidth]],DiscreteStatsTable[[#This Row],[BatchMeansHalfWidth]])</f>
        <v>8.565199482368854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69</v>
      </c>
      <c r="C45">
        <v>6</v>
      </c>
      <c r="D45" t="s">
        <v>73</v>
      </c>
      <c r="E45" t="s">
        <v>78</v>
      </c>
      <c r="F45" t="s">
        <v>75</v>
      </c>
      <c r="G45">
        <v>15.9003815093167</v>
      </c>
      <c r="H45">
        <v>0.18368829982854501</v>
      </c>
      <c r="I45">
        <v>4.4999999999417897</v>
      </c>
      <c r="J45">
        <v>87.780349728614993</v>
      </c>
      <c r="K45">
        <v>12500</v>
      </c>
      <c r="L4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15.825589970296003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15.752758147786601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15.994532039391199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4.3333333333333304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144.84902439031401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12441.9</v>
      </c>
      <c r="W45">
        <f>IF((DiscreteStatsTable[[#This Row],[RepsRequested]]&gt;1),DiscreteStatsTable[[#This Row],[HalfWidth]],DiscreteStatsTable[[#This Row],[BatchMeansHalfWidth]])</f>
        <v>5.4362194933284765E-2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69</v>
      </c>
      <c r="C46">
        <v>6</v>
      </c>
      <c r="D46" t="s">
        <v>73</v>
      </c>
      <c r="E46" t="s">
        <v>79</v>
      </c>
      <c r="F46" t="s">
        <v>75</v>
      </c>
      <c r="G46">
        <v>132.58111979581199</v>
      </c>
      <c r="H46">
        <v>0.85772357005823396</v>
      </c>
      <c r="I46">
        <v>63.074551739555297</v>
      </c>
      <c r="J46">
        <v>434.68849646954197</v>
      </c>
      <c r="K46">
        <v>12500</v>
      </c>
      <c r="L4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132.41852186059251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0.30751586336826864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131.721099744529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132.837532878931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60.758133538780399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441.34949113437301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12441.9</v>
      </c>
      <c r="W46">
        <f>IF((DiscreteStatsTable[[#This Row],[RepsRequested]]&gt;1),DiscreteStatsTable[[#This Row],[HalfWidth]],DiscreteStatsTable[[#This Row],[BatchMeansHalfWidth]])</f>
        <v>0.21998359655602229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69</v>
      </c>
      <c r="C47">
        <v>6</v>
      </c>
      <c r="D47" t="s">
        <v>73</v>
      </c>
      <c r="E47" t="s">
        <v>80</v>
      </c>
      <c r="F47" t="s">
        <v>75</v>
      </c>
      <c r="G47">
        <v>205.390091968045</v>
      </c>
      <c r="H47">
        <v>28.456634902219601</v>
      </c>
      <c r="I47">
        <v>0</v>
      </c>
      <c r="J47">
        <v>874.90885056302102</v>
      </c>
      <c r="K47">
        <v>12500</v>
      </c>
      <c r="L4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205.58144928211041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12.114375794707056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183.00039707077201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225.371193109704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1488.6130439000001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12441.9</v>
      </c>
      <c r="W47">
        <f>IF((DiscreteStatsTable[[#This Row],[RepsRequested]]&gt;1),DiscreteStatsTable[[#This Row],[HalfWidth]],DiscreteStatsTable[[#This Row],[BatchMeansHalfWidth]])</f>
        <v>8.6661023862675517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69</v>
      </c>
      <c r="C48">
        <v>7</v>
      </c>
      <c r="D48" t="s">
        <v>73</v>
      </c>
      <c r="E48" t="s">
        <v>74</v>
      </c>
      <c r="F48" t="s">
        <v>75</v>
      </c>
      <c r="G48">
        <v>0</v>
      </c>
      <c r="H48">
        <v>0</v>
      </c>
      <c r="I48">
        <v>0</v>
      </c>
      <c r="J48">
        <v>0</v>
      </c>
      <c r="K48">
        <v>12474</v>
      </c>
      <c r="L4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12441.9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69</v>
      </c>
      <c r="C49">
        <v>7</v>
      </c>
      <c r="D49" t="s">
        <v>73</v>
      </c>
      <c r="E49" t="s">
        <v>76</v>
      </c>
      <c r="F49" t="s">
        <v>75</v>
      </c>
      <c r="G49">
        <v>0</v>
      </c>
      <c r="H49">
        <v>0</v>
      </c>
      <c r="I49">
        <v>0</v>
      </c>
      <c r="J49">
        <v>0</v>
      </c>
      <c r="K49">
        <v>12474</v>
      </c>
      <c r="L4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12441.9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69</v>
      </c>
      <c r="C50">
        <v>7</v>
      </c>
      <c r="D50" t="s">
        <v>73</v>
      </c>
      <c r="E50" t="s">
        <v>77</v>
      </c>
      <c r="F50" t="s">
        <v>75</v>
      </c>
      <c r="G50">
        <v>356.01261901793299</v>
      </c>
      <c r="H50">
        <v>27.4138435711608</v>
      </c>
      <c r="I50">
        <v>90.192103649103998</v>
      </c>
      <c r="J50">
        <v>1095.3487369382301</v>
      </c>
      <c r="K50">
        <v>12474</v>
      </c>
      <c r="L5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353.82556111299817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11.97332326127022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331.355585797689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373.76644480526198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82.055383523315001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1654.1892179890699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12441.9</v>
      </c>
      <c r="W50">
        <f>IF((DiscreteStatsTable[[#This Row],[RepsRequested]]&gt;1),DiscreteStatsTable[[#This Row],[HalfWidth]],DiscreteStatsTable[[#This Row],[BatchMeansHalfWidth]])</f>
        <v>8.565199482368854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69</v>
      </c>
      <c r="C51">
        <v>7</v>
      </c>
      <c r="D51" t="s">
        <v>73</v>
      </c>
      <c r="E51" t="s">
        <v>78</v>
      </c>
      <c r="F51" t="s">
        <v>75</v>
      </c>
      <c r="G51">
        <v>15.769707335161799</v>
      </c>
      <c r="H51">
        <v>0.19212509070025699</v>
      </c>
      <c r="I51">
        <v>4.4999999999417897</v>
      </c>
      <c r="J51">
        <v>111.710627471984</v>
      </c>
      <c r="K51">
        <v>12474</v>
      </c>
      <c r="L5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15.825589970296003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15.752758147786601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15.994532039391199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4.3333333333333304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144.84902439031401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12441.9</v>
      </c>
      <c r="W51">
        <f>IF((DiscreteStatsTable[[#This Row],[RepsRequested]]&gt;1),DiscreteStatsTable[[#This Row],[HalfWidth]],DiscreteStatsTable[[#This Row],[BatchMeansHalfWidth]])</f>
        <v>5.4362194933284765E-2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69</v>
      </c>
      <c r="C52">
        <v>7</v>
      </c>
      <c r="D52" t="s">
        <v>73</v>
      </c>
      <c r="E52" t="s">
        <v>79</v>
      </c>
      <c r="F52" t="s">
        <v>75</v>
      </c>
      <c r="G52">
        <v>132.22344754456901</v>
      </c>
      <c r="H52">
        <v>0.42895898300132501</v>
      </c>
      <c r="I52">
        <v>64.456831761694005</v>
      </c>
      <c r="J52">
        <v>379.00566354664602</v>
      </c>
      <c r="K52">
        <v>12474</v>
      </c>
      <c r="L5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132.41852186059251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0.30751586336826864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131.721099744529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132.837532878931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60.758133538780399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441.34949113437301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12441.9</v>
      </c>
      <c r="W52">
        <f>IF((DiscreteStatsTable[[#This Row],[RepsRequested]]&gt;1),DiscreteStatsTable[[#This Row],[HalfWidth]],DiscreteStatsTable[[#This Row],[BatchMeansHalfWidth]])</f>
        <v>0.21998359655602229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69</v>
      </c>
      <c r="C53">
        <v>7</v>
      </c>
      <c r="D53" t="s">
        <v>73</v>
      </c>
      <c r="E53" t="s">
        <v>80</v>
      </c>
      <c r="F53" t="s">
        <v>75</v>
      </c>
      <c r="G53">
        <v>208.019464138205</v>
      </c>
      <c r="H53">
        <v>27.513994486867901</v>
      </c>
      <c r="I53">
        <v>0</v>
      </c>
      <c r="J53">
        <v>916.36925589069097</v>
      </c>
      <c r="K53">
        <v>12474</v>
      </c>
      <c r="L5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205.58144928211041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12.114375794707056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183.00039707077201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225.371193109704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1488.6130439000001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12441.9</v>
      </c>
      <c r="W53">
        <f>IF((DiscreteStatsTable[[#This Row],[RepsRequested]]&gt;1),DiscreteStatsTable[[#This Row],[HalfWidth]],DiscreteStatsTable[[#This Row],[BatchMeansHalfWidth]])</f>
        <v>8.6661023862675517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69</v>
      </c>
      <c r="C54">
        <v>8</v>
      </c>
      <c r="D54" t="s">
        <v>73</v>
      </c>
      <c r="E54" t="s">
        <v>74</v>
      </c>
      <c r="F54" t="s">
        <v>75</v>
      </c>
      <c r="G54">
        <v>0</v>
      </c>
      <c r="H54">
        <v>0</v>
      </c>
      <c r="I54">
        <v>0</v>
      </c>
      <c r="J54">
        <v>0</v>
      </c>
      <c r="K54">
        <v>12289</v>
      </c>
      <c r="L5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12441.9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69</v>
      </c>
      <c r="C55">
        <v>8</v>
      </c>
      <c r="D55" t="s">
        <v>73</v>
      </c>
      <c r="E55" t="s">
        <v>76</v>
      </c>
      <c r="F55" t="s">
        <v>75</v>
      </c>
      <c r="G55">
        <v>0</v>
      </c>
      <c r="H55">
        <v>0</v>
      </c>
      <c r="I55">
        <v>0</v>
      </c>
      <c r="J55">
        <v>0</v>
      </c>
      <c r="K55">
        <v>12289</v>
      </c>
      <c r="L5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12441.9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69</v>
      </c>
      <c r="C56">
        <v>8</v>
      </c>
      <c r="D56" t="s">
        <v>73</v>
      </c>
      <c r="E56" t="s">
        <v>77</v>
      </c>
      <c r="F56" t="s">
        <v>75</v>
      </c>
      <c r="G56">
        <v>331.355585797689</v>
      </c>
      <c r="H56">
        <v>21.3465784817677</v>
      </c>
      <c r="I56">
        <v>84.045845785760307</v>
      </c>
      <c r="J56">
        <v>1197.1453839313899</v>
      </c>
      <c r="K56">
        <v>12289</v>
      </c>
      <c r="L5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353.82556111299817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11.97332326127022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331.355585797689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373.76644480526198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82.055383523315001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1654.1892179890699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12441.9</v>
      </c>
      <c r="W56">
        <f>IF((DiscreteStatsTable[[#This Row],[RepsRequested]]&gt;1),DiscreteStatsTable[[#This Row],[HalfWidth]],DiscreteStatsTable[[#This Row],[BatchMeansHalfWidth]])</f>
        <v>8.565199482368854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69</v>
      </c>
      <c r="C57">
        <v>8</v>
      </c>
      <c r="D57" t="s">
        <v>73</v>
      </c>
      <c r="E57" t="s">
        <v>78</v>
      </c>
      <c r="F57" t="s">
        <v>75</v>
      </c>
      <c r="G57">
        <v>15.873251194601099</v>
      </c>
      <c r="H57">
        <v>0.177593407589199</v>
      </c>
      <c r="I57">
        <v>4.4999999999417897</v>
      </c>
      <c r="J57">
        <v>94.783487150917594</v>
      </c>
      <c r="K57">
        <v>12289</v>
      </c>
      <c r="L5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15.825589970296003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15.752758147786601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15.994532039391199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4.3333333333333304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144.84902439031401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12441.9</v>
      </c>
      <c r="W57">
        <f>IF((DiscreteStatsTable[[#This Row],[RepsRequested]]&gt;1),DiscreteStatsTable[[#This Row],[HalfWidth]],DiscreteStatsTable[[#This Row],[BatchMeansHalfWidth]])</f>
        <v>5.4362194933284765E-2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69</v>
      </c>
      <c r="C58">
        <v>8</v>
      </c>
      <c r="D58" t="s">
        <v>73</v>
      </c>
      <c r="E58" t="s">
        <v>79</v>
      </c>
      <c r="F58" t="s">
        <v>75</v>
      </c>
      <c r="G58">
        <v>132.481937532313</v>
      </c>
      <c r="H58">
        <v>0.74986419816365901</v>
      </c>
      <c r="I58">
        <v>62.458543498767497</v>
      </c>
      <c r="J58">
        <v>363.63312494478299</v>
      </c>
      <c r="K58">
        <v>12289</v>
      </c>
      <c r="L5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132.41852186059251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0.30751586336826864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131.721099744529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132.837532878931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60.758133538780399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441.34949113437301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12441.9</v>
      </c>
      <c r="W58">
        <f>IF((DiscreteStatsTable[[#This Row],[RepsRequested]]&gt;1),DiscreteStatsTable[[#This Row],[HalfWidth]],DiscreteStatsTable[[#This Row],[BatchMeansHalfWidth]])</f>
        <v>0.21998359655602229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69</v>
      </c>
      <c r="C59">
        <v>8</v>
      </c>
      <c r="D59" t="s">
        <v>73</v>
      </c>
      <c r="E59" t="s">
        <v>80</v>
      </c>
      <c r="F59" t="s">
        <v>75</v>
      </c>
      <c r="G59">
        <v>183.00039707077201</v>
      </c>
      <c r="H59">
        <v>21.4081499897841</v>
      </c>
      <c r="I59">
        <v>0</v>
      </c>
      <c r="J59">
        <v>1000.5277078031</v>
      </c>
      <c r="K59">
        <v>12289</v>
      </c>
      <c r="L5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205.58144928211041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12.114375794707056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183.00039707077201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225.371193109704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1488.6130439000001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12441.9</v>
      </c>
      <c r="W59">
        <f>IF((DiscreteStatsTable[[#This Row],[RepsRequested]]&gt;1),DiscreteStatsTable[[#This Row],[HalfWidth]],DiscreteStatsTable[[#This Row],[BatchMeansHalfWidth]])</f>
        <v>8.6661023862675517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69</v>
      </c>
      <c r="C60">
        <v>9</v>
      </c>
      <c r="D60" t="s">
        <v>73</v>
      </c>
      <c r="E60" t="s">
        <v>74</v>
      </c>
      <c r="F60" t="s">
        <v>75</v>
      </c>
      <c r="G60">
        <v>0</v>
      </c>
      <c r="H60">
        <v>0</v>
      </c>
      <c r="I60">
        <v>0</v>
      </c>
      <c r="J60">
        <v>0</v>
      </c>
      <c r="K60">
        <v>12550</v>
      </c>
      <c r="L6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12441.9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69</v>
      </c>
      <c r="C61">
        <v>9</v>
      </c>
      <c r="D61" t="s">
        <v>73</v>
      </c>
      <c r="E61" t="s">
        <v>76</v>
      </c>
      <c r="F61" t="s">
        <v>75</v>
      </c>
      <c r="G61">
        <v>0</v>
      </c>
      <c r="H61">
        <v>0</v>
      </c>
      <c r="I61">
        <v>0</v>
      </c>
      <c r="J61">
        <v>0</v>
      </c>
      <c r="K61">
        <v>12550</v>
      </c>
      <c r="L6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12441.9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69</v>
      </c>
      <c r="C62">
        <v>9</v>
      </c>
      <c r="D62" t="s">
        <v>73</v>
      </c>
      <c r="E62" t="s">
        <v>77</v>
      </c>
      <c r="F62" t="s">
        <v>75</v>
      </c>
      <c r="G62">
        <v>359.52608690435102</v>
      </c>
      <c r="H62">
        <v>31.039966490587702</v>
      </c>
      <c r="I62">
        <v>91.302033327403507</v>
      </c>
      <c r="J62">
        <v>1438.01674155923</v>
      </c>
      <c r="K62">
        <v>12550</v>
      </c>
      <c r="L6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353.82556111299817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11.97332326127022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331.355585797689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373.76644480526198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82.055383523315001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1654.1892179890699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12441.9</v>
      </c>
      <c r="W62">
        <f>IF((DiscreteStatsTable[[#This Row],[RepsRequested]]&gt;1),DiscreteStatsTable[[#This Row],[HalfWidth]],DiscreteStatsTable[[#This Row],[BatchMeansHalfWidth]])</f>
        <v>8.565199482368854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69</v>
      </c>
      <c r="C63">
        <v>9</v>
      </c>
      <c r="D63" t="s">
        <v>73</v>
      </c>
      <c r="E63" t="s">
        <v>78</v>
      </c>
      <c r="F63" t="s">
        <v>75</v>
      </c>
      <c r="G63">
        <v>15.783815535909</v>
      </c>
      <c r="H63">
        <v>0.159876534655255</v>
      </c>
      <c r="I63">
        <v>4.4999999999417897</v>
      </c>
      <c r="J63">
        <v>129.82742921769699</v>
      </c>
      <c r="K63">
        <v>12550</v>
      </c>
      <c r="L6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15.825589970296003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15.752758147786601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15.994532039391199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4.3333333333333304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144.84902439031401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12441.9</v>
      </c>
      <c r="W63">
        <f>IF((DiscreteStatsTable[[#This Row],[RepsRequested]]&gt;1),DiscreteStatsTable[[#This Row],[HalfWidth]],DiscreteStatsTable[[#This Row],[BatchMeansHalfWidth]])</f>
        <v>5.4362194933284765E-2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69</v>
      </c>
      <c r="C64">
        <v>9</v>
      </c>
      <c r="D64" t="s">
        <v>73</v>
      </c>
      <c r="E64" t="s">
        <v>79</v>
      </c>
      <c r="F64" t="s">
        <v>75</v>
      </c>
      <c r="G64">
        <v>132.232561029989</v>
      </c>
      <c r="H64">
        <v>0.62462371823260199</v>
      </c>
      <c r="I64">
        <v>66.660195543227005</v>
      </c>
      <c r="J64">
        <v>404.72482442321802</v>
      </c>
      <c r="K64">
        <v>12550</v>
      </c>
      <c r="L6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132.41852186059251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0.30751586336826864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131.721099744529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132.837532878931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60.758133538780399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441.34949113437301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12441.9</v>
      </c>
      <c r="W64">
        <f>IF((DiscreteStatsTable[[#This Row],[RepsRequested]]&gt;1),DiscreteStatsTable[[#This Row],[HalfWidth]],DiscreteStatsTable[[#This Row],[BatchMeansHalfWidth]])</f>
        <v>0.21998359655602229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69</v>
      </c>
      <c r="C65">
        <v>9</v>
      </c>
      <c r="D65" t="s">
        <v>73</v>
      </c>
      <c r="E65" t="s">
        <v>80</v>
      </c>
      <c r="F65" t="s">
        <v>75</v>
      </c>
      <c r="G65">
        <v>211.509710338454</v>
      </c>
      <c r="H65">
        <v>31.1343020070574</v>
      </c>
      <c r="I65">
        <v>0</v>
      </c>
      <c r="J65">
        <v>1257.72432182176</v>
      </c>
      <c r="K65">
        <v>12550</v>
      </c>
      <c r="L6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205.58144928211041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12.114375794707056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183.00039707077201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225.371193109704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1488.6130439000001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12441.9</v>
      </c>
      <c r="W65">
        <f>IF((DiscreteStatsTable[[#This Row],[RepsRequested]]&gt;1),DiscreteStatsTable[[#This Row],[HalfWidth]],DiscreteStatsTable[[#This Row],[BatchMeansHalfWidth]])</f>
        <v>8.6661023862675517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69</v>
      </c>
      <c r="C66">
        <v>10</v>
      </c>
      <c r="D66" t="s">
        <v>73</v>
      </c>
      <c r="E66" t="s">
        <v>74</v>
      </c>
      <c r="F66" t="s">
        <v>75</v>
      </c>
      <c r="G66">
        <v>0</v>
      </c>
      <c r="H66">
        <v>0</v>
      </c>
      <c r="I66">
        <v>0</v>
      </c>
      <c r="J66">
        <v>0</v>
      </c>
      <c r="K66">
        <v>12224</v>
      </c>
      <c r="L6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12441.9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69</v>
      </c>
      <c r="C67">
        <v>10</v>
      </c>
      <c r="D67" t="s">
        <v>73</v>
      </c>
      <c r="E67" t="s">
        <v>76</v>
      </c>
      <c r="F67" t="s">
        <v>75</v>
      </c>
      <c r="G67">
        <v>0</v>
      </c>
      <c r="H67">
        <v>0</v>
      </c>
      <c r="I67">
        <v>0</v>
      </c>
      <c r="J67">
        <v>0</v>
      </c>
      <c r="K67">
        <v>12224</v>
      </c>
      <c r="L6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12441.9</v>
      </c>
      <c r="W67">
        <f>IF((DiscreteStatsTable[[#This Row],[RepsRequested]]&gt;1),DiscreteStatsTable[[#This Row],[HalfWidth]],DiscreteStatsTable[[#This Row],[BatchMeansHalfWidth]])</f>
        <v>0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69</v>
      </c>
      <c r="C68">
        <v>10</v>
      </c>
      <c r="D68" t="s">
        <v>73</v>
      </c>
      <c r="E68" t="s">
        <v>77</v>
      </c>
      <c r="F68" t="s">
        <v>75</v>
      </c>
      <c r="G68">
        <v>341.64805679727903</v>
      </c>
      <c r="H68">
        <v>50.298241706221503</v>
      </c>
      <c r="I68">
        <v>82.055383523315001</v>
      </c>
      <c r="J68">
        <v>1654.1892179890699</v>
      </c>
      <c r="K68">
        <v>12224</v>
      </c>
      <c r="L6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353.82556111299817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11.97332326127022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331.355585797689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373.76644480526198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82.055383523315001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1654.1892179890699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12441.9</v>
      </c>
      <c r="W68">
        <f>IF((DiscreteStatsTable[[#This Row],[RepsRequested]]&gt;1),DiscreteStatsTable[[#This Row],[HalfWidth]],DiscreteStatsTable[[#This Row],[BatchMeansHalfWidth]])</f>
        <v>8.565199482368854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69</v>
      </c>
      <c r="C69">
        <v>10</v>
      </c>
      <c r="D69" t="s">
        <v>73</v>
      </c>
      <c r="E69" t="s">
        <v>78</v>
      </c>
      <c r="F69" t="s">
        <v>75</v>
      </c>
      <c r="G69">
        <v>15.994532039391199</v>
      </c>
      <c r="H69">
        <v>0.203405263131792</v>
      </c>
      <c r="I69">
        <v>4.4999999999417897</v>
      </c>
      <c r="J69">
        <v>144.84902439031401</v>
      </c>
      <c r="K69">
        <v>12224</v>
      </c>
      <c r="L6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15.825589970296003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7.5993108446364879E-2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5.4362194933284765E-2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15.752758147786601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15.994532039391199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4.3333333333333304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144.84902439031401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12441.9</v>
      </c>
      <c r="W69">
        <f>IF((DiscreteStatsTable[[#This Row],[RepsRequested]]&gt;1),DiscreteStatsTable[[#This Row],[HalfWidth]],DiscreteStatsTable[[#This Row],[BatchMeansHalfWidth]])</f>
        <v>5.4362194933284765E-2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69</v>
      </c>
      <c r="C70">
        <v>10</v>
      </c>
      <c r="D70" t="s">
        <v>73</v>
      </c>
      <c r="E70" t="s">
        <v>79</v>
      </c>
      <c r="F70" t="s">
        <v>75</v>
      </c>
      <c r="G70">
        <v>132.382111381794</v>
      </c>
      <c r="H70">
        <v>0.66177992908420502</v>
      </c>
      <c r="I70">
        <v>60.758133538780399</v>
      </c>
      <c r="J70">
        <v>423.113624589285</v>
      </c>
      <c r="K70">
        <v>12224</v>
      </c>
      <c r="L7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132.41852186059251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0.30751586336826864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0.21998359655602229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131.721099744529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132.837532878931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60.758133538780399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441.34949113437301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12441.9</v>
      </c>
      <c r="W70">
        <f>IF((DiscreteStatsTable[[#This Row],[RepsRequested]]&gt;1),DiscreteStatsTable[[#This Row],[HalfWidth]],DiscreteStatsTable[[#This Row],[BatchMeansHalfWidth]])</f>
        <v>0.21998359655602229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69</v>
      </c>
      <c r="C71">
        <v>10</v>
      </c>
      <c r="D71" t="s">
        <v>73</v>
      </c>
      <c r="E71" t="s">
        <v>80</v>
      </c>
      <c r="F71" t="s">
        <v>75</v>
      </c>
      <c r="G71">
        <v>193.27141337609601</v>
      </c>
      <c r="H71">
        <v>50.0899187269141</v>
      </c>
      <c r="I71">
        <v>0</v>
      </c>
      <c r="J71">
        <v>1488.6130439000001</v>
      </c>
      <c r="K71">
        <v>12224</v>
      </c>
      <c r="L7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205.58144928211041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12.114375794707056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8.6661023862675517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183.00039707077201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225.371193109704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1488.6130439000001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12441.9</v>
      </c>
      <c r="W71">
        <f>IF((DiscreteStatsTable[[#This Row],[RepsRequested]]&gt;1),DiscreteStatsTable[[#This Row],[HalfWidth]],DiscreteStatsTable[[#This Row],[BatchMeansHalfWidth]])</f>
        <v>8.6661023862675517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69</v>
      </c>
      <c r="C72">
        <v>1</v>
      </c>
      <c r="D72" t="s">
        <v>81</v>
      </c>
      <c r="E72" t="s">
        <v>82</v>
      </c>
      <c r="F72" t="s">
        <v>83</v>
      </c>
      <c r="G72">
        <v>0.81880218368657698</v>
      </c>
      <c r="H72">
        <v>5.9476326456284999E-2</v>
      </c>
      <c r="I72">
        <v>0</v>
      </c>
      <c r="J72">
        <v>1</v>
      </c>
      <c r="K72">
        <v>12456</v>
      </c>
      <c r="L72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0.81986926649371017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0.78123742859441703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0.86378061681178198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1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12441.9</v>
      </c>
      <c r="W72">
        <f>IF((DiscreteStatsTable[[#This Row],[RepsRequested]]&gt;1),DiscreteStatsTable[[#This Row],[HalfWidth]],DiscreteStatsTable[[#This Row],[BatchMeansHalfWidth]])</f>
        <v>1.9440332659583281E-2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69</v>
      </c>
      <c r="C73">
        <v>2</v>
      </c>
      <c r="D73" t="s">
        <v>81</v>
      </c>
      <c r="E73" t="s">
        <v>82</v>
      </c>
      <c r="F73" t="s">
        <v>83</v>
      </c>
      <c r="G73">
        <v>0.81137220306359303</v>
      </c>
      <c r="H73">
        <v>6.7076643236155697E-2</v>
      </c>
      <c r="I73">
        <v>0</v>
      </c>
      <c r="J73">
        <v>1</v>
      </c>
      <c r="K73">
        <v>12469</v>
      </c>
      <c r="L73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0.81986926649371017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0.78123742859441703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0.86378061681178198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12441.9</v>
      </c>
      <c r="W73">
        <f>IF((DiscreteStatsTable[[#This Row],[RepsRequested]]&gt;1),DiscreteStatsTable[[#This Row],[HalfWidth]],DiscreteStatsTable[[#This Row],[BatchMeansHalfWidth]])</f>
        <v>1.9440332659583281E-2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69</v>
      </c>
      <c r="C74">
        <v>3</v>
      </c>
      <c r="D74" t="s">
        <v>81</v>
      </c>
      <c r="E74" t="s">
        <v>82</v>
      </c>
      <c r="F74" t="s">
        <v>83</v>
      </c>
      <c r="G74">
        <v>0.78130959949141898</v>
      </c>
      <c r="H74">
        <v>6.04666457928816E-2</v>
      </c>
      <c r="I74">
        <v>0</v>
      </c>
      <c r="J74">
        <v>1</v>
      </c>
      <c r="K74">
        <v>12584</v>
      </c>
      <c r="L74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0.81986926649371017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0.78123742859441703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0.86378061681178198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1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12441.9</v>
      </c>
      <c r="W74">
        <f>IF((DiscreteStatsTable[[#This Row],[RepsRequested]]&gt;1),DiscreteStatsTable[[#This Row],[HalfWidth]],DiscreteStatsTable[[#This Row],[BatchMeansHalfWidth]])</f>
        <v>1.9440332659583281E-2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69</v>
      </c>
      <c r="C75">
        <v>4</v>
      </c>
      <c r="D75" t="s">
        <v>81</v>
      </c>
      <c r="E75" t="s">
        <v>82</v>
      </c>
      <c r="F75" t="s">
        <v>83</v>
      </c>
      <c r="G75">
        <v>0.83831565413050901</v>
      </c>
      <c r="H75">
        <v>5.2863274467005499E-2</v>
      </c>
      <c r="I75">
        <v>0</v>
      </c>
      <c r="J75">
        <v>1</v>
      </c>
      <c r="K75">
        <v>12444</v>
      </c>
      <c r="L75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0.81986926649371017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0.78123742859441703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0.86378061681178198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1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12441.9</v>
      </c>
      <c r="W75">
        <f>IF((DiscreteStatsTable[[#This Row],[RepsRequested]]&gt;1),DiscreteStatsTable[[#This Row],[HalfWidth]],DiscreteStatsTable[[#This Row],[BatchMeansHalfWidth]])</f>
        <v>1.9440332659583281E-2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69</v>
      </c>
      <c r="C76">
        <v>5</v>
      </c>
      <c r="D76" t="s">
        <v>81</v>
      </c>
      <c r="E76" t="s">
        <v>82</v>
      </c>
      <c r="F76" t="s">
        <v>83</v>
      </c>
      <c r="G76">
        <v>0.78123742859441703</v>
      </c>
      <c r="H76">
        <v>7.4616857367559297E-2</v>
      </c>
      <c r="I76">
        <v>0</v>
      </c>
      <c r="J76">
        <v>1</v>
      </c>
      <c r="K76">
        <v>12429</v>
      </c>
      <c r="L76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0.81986926649371017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0.78123742859441703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0.86378061681178198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12441.9</v>
      </c>
      <c r="W76">
        <f>IF((DiscreteStatsTable[[#This Row],[RepsRequested]]&gt;1),DiscreteStatsTable[[#This Row],[HalfWidth]],DiscreteStatsTable[[#This Row],[BatchMeansHalfWidth]])</f>
        <v>1.9440332659583281E-2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69</v>
      </c>
      <c r="C77">
        <v>6</v>
      </c>
      <c r="D77" t="s">
        <v>81</v>
      </c>
      <c r="E77" t="s">
        <v>82</v>
      </c>
      <c r="F77" t="s">
        <v>83</v>
      </c>
      <c r="G77">
        <v>0.81032000000000204</v>
      </c>
      <c r="H77">
        <v>6.2750524469481497E-2</v>
      </c>
      <c r="I77">
        <v>0</v>
      </c>
      <c r="J77">
        <v>1</v>
      </c>
      <c r="K77">
        <v>12500</v>
      </c>
      <c r="L77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0.81986926649371017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0.78123742859441703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0.86378061681178198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1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12441.9</v>
      </c>
      <c r="W77">
        <f>IF((DiscreteStatsTable[[#This Row],[RepsRequested]]&gt;1),DiscreteStatsTable[[#This Row],[HalfWidth]],DiscreteStatsTable[[#This Row],[BatchMeansHalfWidth]])</f>
        <v>1.9440332659583281E-2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69</v>
      </c>
      <c r="C78">
        <v>7</v>
      </c>
      <c r="D78" t="s">
        <v>81</v>
      </c>
      <c r="E78" t="s">
        <v>82</v>
      </c>
      <c r="F78" t="s">
        <v>83</v>
      </c>
      <c r="G78">
        <v>0.82138848805515297</v>
      </c>
      <c r="H78">
        <v>5.8811547665769397E-2</v>
      </c>
      <c r="I78">
        <v>0</v>
      </c>
      <c r="J78">
        <v>1</v>
      </c>
      <c r="K78">
        <v>12474</v>
      </c>
      <c r="L78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0.81986926649371017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0.78123742859441703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0.86378061681178198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1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12441.9</v>
      </c>
      <c r="W78">
        <f>IF((DiscreteStatsTable[[#This Row],[RepsRequested]]&gt;1),DiscreteStatsTable[[#This Row],[HalfWidth]],DiscreteStatsTable[[#This Row],[BatchMeansHalfWidth]])</f>
        <v>1.9440332659583281E-2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69</v>
      </c>
      <c r="C79">
        <v>8</v>
      </c>
      <c r="D79" t="s">
        <v>81</v>
      </c>
      <c r="E79" t="s">
        <v>82</v>
      </c>
      <c r="F79" t="s">
        <v>83</v>
      </c>
      <c r="G79">
        <v>0.86378061681178198</v>
      </c>
      <c r="H79">
        <v>4.6765013438207E-2</v>
      </c>
      <c r="I79">
        <v>0</v>
      </c>
      <c r="J79">
        <v>1</v>
      </c>
      <c r="K79">
        <v>12289</v>
      </c>
      <c r="L79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0.81986926649371017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0.78123742859441703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0.86378061681178198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12441.9</v>
      </c>
      <c r="W79">
        <f>IF((DiscreteStatsTable[[#This Row],[RepsRequested]]&gt;1),DiscreteStatsTable[[#This Row],[HalfWidth]],DiscreteStatsTable[[#This Row],[BatchMeansHalfWidth]])</f>
        <v>1.9440332659583281E-2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69</v>
      </c>
      <c r="C80">
        <v>9</v>
      </c>
      <c r="D80" t="s">
        <v>81</v>
      </c>
      <c r="E80" t="s">
        <v>82</v>
      </c>
      <c r="F80" t="s">
        <v>83</v>
      </c>
      <c r="G80">
        <v>0.81729083665338598</v>
      </c>
      <c r="H80">
        <v>6.25895871838104E-2</v>
      </c>
      <c r="I80">
        <v>0</v>
      </c>
      <c r="J80">
        <v>1</v>
      </c>
      <c r="K80">
        <v>12550</v>
      </c>
      <c r="L80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0.81986926649371017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0.78123742859441703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0.86378061681178198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1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12441.9</v>
      </c>
      <c r="W80">
        <f>IF((DiscreteStatsTable[[#This Row],[RepsRequested]]&gt;1),DiscreteStatsTable[[#This Row],[HalfWidth]],DiscreteStatsTable[[#This Row],[BatchMeansHalfWidth]])</f>
        <v>1.9440332659583281E-2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69</v>
      </c>
      <c r="C81">
        <v>10</v>
      </c>
      <c r="D81" t="s">
        <v>81</v>
      </c>
      <c r="E81" t="s">
        <v>82</v>
      </c>
      <c r="F81" t="s">
        <v>83</v>
      </c>
      <c r="G81">
        <v>0.85487565445026403</v>
      </c>
      <c r="H81">
        <v>7.5783308165250404E-2</v>
      </c>
      <c r="I81">
        <v>0</v>
      </c>
      <c r="J81">
        <v>1</v>
      </c>
      <c r="K81">
        <v>12224</v>
      </c>
      <c r="L81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0.81986926649371017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2.7175711169244641E-2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1.9440332659583281E-2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0.78123742859441703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0.86378061681178198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1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12441.9</v>
      </c>
      <c r="W81">
        <f>IF((DiscreteStatsTable[[#This Row],[RepsRequested]]&gt;1),DiscreteStatsTable[[#This Row],[HalfWidth]],DiscreteStatsTable[[#This Row],[BatchMeansHalfWidth]])</f>
        <v>1.9440332659583281E-2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69</v>
      </c>
      <c r="C82">
        <v>1</v>
      </c>
      <c r="D82" t="s">
        <v>84</v>
      </c>
      <c r="E82" t="s">
        <v>71</v>
      </c>
      <c r="F82" t="s">
        <v>72</v>
      </c>
      <c r="G82">
        <v>26.6412489284718</v>
      </c>
      <c r="H82">
        <v>7.1033202225754497</v>
      </c>
      <c r="I82">
        <v>0</v>
      </c>
      <c r="J82">
        <v>242.57770276211599</v>
      </c>
      <c r="K82">
        <v>12459</v>
      </c>
      <c r="L82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25.252091255895653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2.5077856974855068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20.219114129714299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27.972144754713799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379.00216561589298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12444.6</v>
      </c>
      <c r="W82">
        <f>IF((DiscreteStatsTable[[#This Row],[RepsRequested]]&gt;1),DiscreteStatsTable[[#This Row],[HalfWidth]],DiscreteStatsTable[[#This Row],[BatchMeansHalfWidth]])</f>
        <v>1.7939618173907175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69</v>
      </c>
      <c r="C83">
        <v>2</v>
      </c>
      <c r="D83" t="s">
        <v>84</v>
      </c>
      <c r="E83" t="s">
        <v>71</v>
      </c>
      <c r="F83" t="s">
        <v>72</v>
      </c>
      <c r="G83">
        <v>26.951681010715799</v>
      </c>
      <c r="H83">
        <v>7.2297547563449296</v>
      </c>
      <c r="I83">
        <v>0</v>
      </c>
      <c r="J83">
        <v>236.22675280511601</v>
      </c>
      <c r="K83">
        <v>12472</v>
      </c>
      <c r="L83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25.252091255895653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2.5077856974855068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20.219114129714299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27.972144754713799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379.00216561589298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12444.6</v>
      </c>
      <c r="W83">
        <f>IF((DiscreteStatsTable[[#This Row],[RepsRequested]]&gt;1),DiscreteStatsTable[[#This Row],[HalfWidth]],DiscreteStatsTable[[#This Row],[BatchMeansHalfWidth]])</f>
        <v>1.7939618173907175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69</v>
      </c>
      <c r="C84">
        <v>3</v>
      </c>
      <c r="D84" t="s">
        <v>84</v>
      </c>
      <c r="E84" t="s">
        <v>71</v>
      </c>
      <c r="F84" t="s">
        <v>72</v>
      </c>
      <c r="G84">
        <v>27.905110029988599</v>
      </c>
      <c r="H84">
        <v>6.8921202693116301</v>
      </c>
      <c r="I84">
        <v>0</v>
      </c>
      <c r="J84">
        <v>379.00216561589298</v>
      </c>
      <c r="K84">
        <v>12585</v>
      </c>
      <c r="L84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25.252091255895653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2.5077856974855068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20.219114129714299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27.972144754713799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379.00216561589298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12444.6</v>
      </c>
      <c r="W84">
        <f>IF((DiscreteStatsTable[[#This Row],[RepsRequested]]&gt;1),DiscreteStatsTable[[#This Row],[HalfWidth]],DiscreteStatsTable[[#This Row],[BatchMeansHalfWidth]])</f>
        <v>1.7939618173907175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69</v>
      </c>
      <c r="C85">
        <v>4</v>
      </c>
      <c r="D85" t="s">
        <v>84</v>
      </c>
      <c r="E85" t="s">
        <v>71</v>
      </c>
      <c r="F85" t="s">
        <v>72</v>
      </c>
      <c r="G85">
        <v>25.0485218710668</v>
      </c>
      <c r="H85">
        <v>3E+20</v>
      </c>
      <c r="I85">
        <v>0</v>
      </c>
      <c r="J85">
        <v>231.46556764168</v>
      </c>
      <c r="K85">
        <v>12447</v>
      </c>
      <c r="L85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25.252091255895653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2.5077856974855068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20.219114129714299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27.972144754713799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379.00216561589298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12444.6</v>
      </c>
      <c r="W85">
        <f>IF((DiscreteStatsTable[[#This Row],[RepsRequested]]&gt;1),DiscreteStatsTable[[#This Row],[HalfWidth]],DiscreteStatsTable[[#This Row],[BatchMeansHalfWidth]])</f>
        <v>1.7939618173907175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69</v>
      </c>
      <c r="C86">
        <v>5</v>
      </c>
      <c r="D86" t="s">
        <v>84</v>
      </c>
      <c r="E86" t="s">
        <v>71</v>
      </c>
      <c r="F86" t="s">
        <v>72</v>
      </c>
      <c r="G86">
        <v>26.34187651089</v>
      </c>
      <c r="H86">
        <v>5.6831373587025098</v>
      </c>
      <c r="I86">
        <v>0</v>
      </c>
      <c r="J86">
        <v>207.53811345330899</v>
      </c>
      <c r="K86">
        <v>12432</v>
      </c>
      <c r="L86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25.252091255895653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2.5077856974855068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20.219114129714299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27.972144754713799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379.00216561589298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12444.6</v>
      </c>
      <c r="W86">
        <f>IF((DiscreteStatsTable[[#This Row],[RepsRequested]]&gt;1),DiscreteStatsTable[[#This Row],[HalfWidth]],DiscreteStatsTable[[#This Row],[BatchMeansHalfWidth]])</f>
        <v>1.7939618173907175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69</v>
      </c>
      <c r="C87">
        <v>6</v>
      </c>
      <c r="D87" t="s">
        <v>84</v>
      </c>
      <c r="E87" t="s">
        <v>71</v>
      </c>
      <c r="F87" t="s">
        <v>72</v>
      </c>
      <c r="G87">
        <v>22.228555294842302</v>
      </c>
      <c r="H87">
        <v>3.49207943844642</v>
      </c>
      <c r="I87">
        <v>0</v>
      </c>
      <c r="J87">
        <v>177.616826890895</v>
      </c>
      <c r="K87">
        <v>12502</v>
      </c>
      <c r="L87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25.252091255895653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2.5077856974855068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20.219114129714299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27.972144754713799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379.00216561589298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12444.6</v>
      </c>
      <c r="W87">
        <f>IF((DiscreteStatsTable[[#This Row],[RepsRequested]]&gt;1),DiscreteStatsTable[[#This Row],[HalfWidth]],DiscreteStatsTable[[#This Row],[BatchMeansHalfWidth]])</f>
        <v>1.7939618173907175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69</v>
      </c>
      <c r="C88">
        <v>7</v>
      </c>
      <c r="D88" t="s">
        <v>84</v>
      </c>
      <c r="E88" t="s">
        <v>71</v>
      </c>
      <c r="F88" t="s">
        <v>72</v>
      </c>
      <c r="G88">
        <v>25.242577566445298</v>
      </c>
      <c r="H88">
        <v>5.3045573051511097</v>
      </c>
      <c r="I88">
        <v>0</v>
      </c>
      <c r="J88">
        <v>225.175336681685</v>
      </c>
      <c r="K88">
        <v>12477</v>
      </c>
      <c r="L88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25.252091255895653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2.5077856974855068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20.219114129714299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27.972144754713799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379.00216561589298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12444.6</v>
      </c>
      <c r="W88">
        <f>IF((DiscreteStatsTable[[#This Row],[RepsRequested]]&gt;1),DiscreteStatsTable[[#This Row],[HalfWidth]],DiscreteStatsTable[[#This Row],[BatchMeansHalfWidth]])</f>
        <v>1.7939618173907175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69</v>
      </c>
      <c r="C89">
        <v>8</v>
      </c>
      <c r="D89" t="s">
        <v>84</v>
      </c>
      <c r="E89" t="s">
        <v>71</v>
      </c>
      <c r="F89" t="s">
        <v>72</v>
      </c>
      <c r="G89">
        <v>20.219114129714299</v>
      </c>
      <c r="H89">
        <v>3.8235589580652198</v>
      </c>
      <c r="I89">
        <v>0</v>
      </c>
      <c r="J89">
        <v>188.40102674532699</v>
      </c>
      <c r="K89">
        <v>12292</v>
      </c>
      <c r="L89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25.252091255895653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2.5077856974855068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20.219114129714299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27.972144754713799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379.00216561589298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12444.6</v>
      </c>
      <c r="W89">
        <f>IF((DiscreteStatsTable[[#This Row],[RepsRequested]]&gt;1),DiscreteStatsTable[[#This Row],[HalfWidth]],DiscreteStatsTable[[#This Row],[BatchMeansHalfWidth]])</f>
        <v>1.7939618173907175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69</v>
      </c>
      <c r="C90">
        <v>9</v>
      </c>
      <c r="D90" t="s">
        <v>84</v>
      </c>
      <c r="E90" t="s">
        <v>71</v>
      </c>
      <c r="F90" t="s">
        <v>72</v>
      </c>
      <c r="G90">
        <v>27.972144754713799</v>
      </c>
      <c r="H90">
        <v>7.3070465579027601</v>
      </c>
      <c r="I90">
        <v>0</v>
      </c>
      <c r="J90">
        <v>332.43906023691699</v>
      </c>
      <c r="K90">
        <v>12553</v>
      </c>
      <c r="L90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25.252091255895653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2.5077856974855068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20.219114129714299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27.972144754713799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379.00216561589298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12444.6</v>
      </c>
      <c r="W90">
        <f>IF((DiscreteStatsTable[[#This Row],[RepsRequested]]&gt;1),DiscreteStatsTable[[#This Row],[HalfWidth]],DiscreteStatsTable[[#This Row],[BatchMeansHalfWidth]])</f>
        <v>1.7939618173907175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69</v>
      </c>
      <c r="C91">
        <v>10</v>
      </c>
      <c r="D91" t="s">
        <v>84</v>
      </c>
      <c r="E91" t="s">
        <v>71</v>
      </c>
      <c r="F91" t="s">
        <v>72</v>
      </c>
      <c r="G91">
        <v>23.970082462107801</v>
      </c>
      <c r="H91">
        <v>9.5874410564770898</v>
      </c>
      <c r="I91">
        <v>0</v>
      </c>
      <c r="J91">
        <v>322.08506914621802</v>
      </c>
      <c r="K91">
        <v>12227</v>
      </c>
      <c r="L91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25.252091255895653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2.5077856974855068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1.7939618173907175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20.219114129714299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27.972144754713799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379.00216561589298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12444.6</v>
      </c>
      <c r="W91">
        <f>IF((DiscreteStatsTable[[#This Row],[RepsRequested]]&gt;1),DiscreteStatsTable[[#This Row],[HalfWidth]],DiscreteStatsTable[[#This Row],[BatchMeansHalfWidth]])</f>
        <v>1.7939618173907175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69</v>
      </c>
      <c r="C92">
        <v>1</v>
      </c>
      <c r="D92" t="s">
        <v>86</v>
      </c>
      <c r="E92" t="s">
        <v>71</v>
      </c>
      <c r="F92" t="s">
        <v>72</v>
      </c>
      <c r="G92">
        <v>0.129434956518654</v>
      </c>
      <c r="H92">
        <v>1.1801082148272199E-2</v>
      </c>
      <c r="I92">
        <v>0</v>
      </c>
      <c r="J92">
        <v>5.5868325634801304</v>
      </c>
      <c r="K92">
        <v>12466</v>
      </c>
      <c r="L92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0.13899748293877962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0.129434956518654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0.14362527886974299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6.0351730465772597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12452.7</v>
      </c>
      <c r="W92">
        <f>IF((DiscreteStatsTable[[#This Row],[RepsRequested]]&gt;1),DiscreteStatsTable[[#This Row],[HalfWidth]],DiscreteStatsTable[[#This Row],[BatchMeansHalfWidth]])</f>
        <v>3.5271181276138549E-3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69</v>
      </c>
      <c r="C93">
        <v>2</v>
      </c>
      <c r="D93" t="s">
        <v>86</v>
      </c>
      <c r="E93" t="s">
        <v>71</v>
      </c>
      <c r="F93" t="s">
        <v>72</v>
      </c>
      <c r="G93">
        <v>0.14314756151892</v>
      </c>
      <c r="H93">
        <v>1.48154198920956E-2</v>
      </c>
      <c r="I93">
        <v>0</v>
      </c>
      <c r="J93">
        <v>5.01561619955464</v>
      </c>
      <c r="K93">
        <v>12487</v>
      </c>
      <c r="L93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0.13899748293877962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0.129434956518654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0.14362527886974299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6.0351730465772597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12452.7</v>
      </c>
      <c r="W93">
        <f>IF((DiscreteStatsTable[[#This Row],[RepsRequested]]&gt;1),DiscreteStatsTable[[#This Row],[HalfWidth]],DiscreteStatsTable[[#This Row],[BatchMeansHalfWidth]])</f>
        <v>3.5271181276138549E-3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69</v>
      </c>
      <c r="C94">
        <v>3</v>
      </c>
      <c r="D94" t="s">
        <v>86</v>
      </c>
      <c r="E94" t="s">
        <v>71</v>
      </c>
      <c r="F94" t="s">
        <v>72</v>
      </c>
      <c r="G94">
        <v>0.13738807505901801</v>
      </c>
      <c r="H94">
        <v>9.93945484239518E-3</v>
      </c>
      <c r="I94">
        <v>0</v>
      </c>
      <c r="J94">
        <v>5.4095282128255304</v>
      </c>
      <c r="K94">
        <v>12591</v>
      </c>
      <c r="L94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0.13899748293877962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0.129434956518654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0.14362527886974299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6.0351730465772597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12452.7</v>
      </c>
      <c r="W94">
        <f>IF((DiscreteStatsTable[[#This Row],[RepsRequested]]&gt;1),DiscreteStatsTable[[#This Row],[HalfWidth]],DiscreteStatsTable[[#This Row],[BatchMeansHalfWidth]])</f>
        <v>3.5271181276138549E-3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69</v>
      </c>
      <c r="C95">
        <v>4</v>
      </c>
      <c r="D95" t="s">
        <v>86</v>
      </c>
      <c r="E95" t="s">
        <v>71</v>
      </c>
      <c r="F95" t="s">
        <v>72</v>
      </c>
      <c r="G95">
        <v>0.14350934755359199</v>
      </c>
      <c r="H95">
        <v>1.06591150866837E-2</v>
      </c>
      <c r="I95">
        <v>0</v>
      </c>
      <c r="J95">
        <v>6.0351730465772597</v>
      </c>
      <c r="K95">
        <v>12453</v>
      </c>
      <c r="L95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0.13899748293877962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0.129434956518654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0.14362527886974299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6.0351730465772597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12452.7</v>
      </c>
      <c r="W95">
        <f>IF((DiscreteStatsTable[[#This Row],[RepsRequested]]&gt;1),DiscreteStatsTable[[#This Row],[HalfWidth]],DiscreteStatsTable[[#This Row],[BatchMeansHalfWidth]])</f>
        <v>3.5271181276138549E-3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69</v>
      </c>
      <c r="C96">
        <v>5</v>
      </c>
      <c r="D96" t="s">
        <v>86</v>
      </c>
      <c r="E96" t="s">
        <v>71</v>
      </c>
      <c r="F96" t="s">
        <v>72</v>
      </c>
      <c r="G96">
        <v>0.14362527886974299</v>
      </c>
      <c r="H96">
        <v>9.2067976345618693E-3</v>
      </c>
      <c r="I96">
        <v>0</v>
      </c>
      <c r="J96">
        <v>5.5255394642590501</v>
      </c>
      <c r="K96">
        <v>12442</v>
      </c>
      <c r="L96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0.13899748293877962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0.129434956518654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0.14362527886974299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6.0351730465772597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12452.7</v>
      </c>
      <c r="W96">
        <f>IF((DiscreteStatsTable[[#This Row],[RepsRequested]]&gt;1),DiscreteStatsTable[[#This Row],[HalfWidth]],DiscreteStatsTable[[#This Row],[BatchMeansHalfWidth]])</f>
        <v>3.5271181276138549E-3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69</v>
      </c>
      <c r="C97">
        <v>6</v>
      </c>
      <c r="D97" t="s">
        <v>86</v>
      </c>
      <c r="E97" t="s">
        <v>71</v>
      </c>
      <c r="F97" t="s">
        <v>72</v>
      </c>
      <c r="G97">
        <v>0.142583444011294</v>
      </c>
      <c r="H97">
        <v>1.08480382156522E-2</v>
      </c>
      <c r="I97">
        <v>0</v>
      </c>
      <c r="J97">
        <v>4.6772430074779496</v>
      </c>
      <c r="K97">
        <v>12503</v>
      </c>
      <c r="L97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0.13899748293877962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0.129434956518654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0.14362527886974299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6.0351730465772597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12452.7</v>
      </c>
      <c r="W97">
        <f>IF((DiscreteStatsTable[[#This Row],[RepsRequested]]&gt;1),DiscreteStatsTable[[#This Row],[HalfWidth]],DiscreteStatsTable[[#This Row],[BatchMeansHalfWidth]])</f>
        <v>3.5271181276138549E-3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69</v>
      </c>
      <c r="C98">
        <v>7</v>
      </c>
      <c r="D98" t="s">
        <v>86</v>
      </c>
      <c r="E98" t="s">
        <v>71</v>
      </c>
      <c r="F98" t="s">
        <v>72</v>
      </c>
      <c r="G98">
        <v>0.13948226702326899</v>
      </c>
      <c r="H98">
        <v>1.17125911071047E-2</v>
      </c>
      <c r="I98">
        <v>0</v>
      </c>
      <c r="J98">
        <v>4.7389501302968702</v>
      </c>
      <c r="K98">
        <v>12488</v>
      </c>
      <c r="L98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0.13899748293877962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0.129434956518654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0.14362527886974299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6.0351730465772597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12452.7</v>
      </c>
      <c r="W98">
        <f>IF((DiscreteStatsTable[[#This Row],[RepsRequested]]&gt;1),DiscreteStatsTable[[#This Row],[HalfWidth]],DiscreteStatsTable[[#This Row],[BatchMeansHalfWidth]])</f>
        <v>3.5271181276138549E-3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69</v>
      </c>
      <c r="C99">
        <v>8</v>
      </c>
      <c r="D99" t="s">
        <v>86</v>
      </c>
      <c r="E99" t="s">
        <v>71</v>
      </c>
      <c r="F99" t="s">
        <v>72</v>
      </c>
      <c r="G99">
        <v>0.131815903226639</v>
      </c>
      <c r="H99">
        <v>1.06036381760114E-2</v>
      </c>
      <c r="I99">
        <v>0</v>
      </c>
      <c r="J99">
        <v>4.4886919833661496</v>
      </c>
      <c r="K99">
        <v>12305</v>
      </c>
      <c r="L99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0.13899748293877962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0.129434956518654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0.14362527886974299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6.0351730465772597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12452.7</v>
      </c>
      <c r="W99">
        <f>IF((DiscreteStatsTable[[#This Row],[RepsRequested]]&gt;1),DiscreteStatsTable[[#This Row],[HalfWidth]],DiscreteStatsTable[[#This Row],[BatchMeansHalfWidth]])</f>
        <v>3.5271181276138549E-3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69</v>
      </c>
      <c r="C100">
        <v>9</v>
      </c>
      <c r="D100" t="s">
        <v>86</v>
      </c>
      <c r="E100" t="s">
        <v>71</v>
      </c>
      <c r="F100" t="s">
        <v>72</v>
      </c>
      <c r="G100">
        <v>0.14004346975462201</v>
      </c>
      <c r="H100">
        <v>9.7006905349873093E-3</v>
      </c>
      <c r="I100">
        <v>0</v>
      </c>
      <c r="J100">
        <v>5.3247533698750003</v>
      </c>
      <c r="K100">
        <v>12560</v>
      </c>
      <c r="L100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0.13899748293877962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0.129434956518654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0.14362527886974299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6.0351730465772597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12452.7</v>
      </c>
      <c r="W100">
        <f>IF((DiscreteStatsTable[[#This Row],[RepsRequested]]&gt;1),DiscreteStatsTable[[#This Row],[HalfWidth]],DiscreteStatsTable[[#This Row],[BatchMeansHalfWidth]])</f>
        <v>3.5271181276138549E-3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69</v>
      </c>
      <c r="C101">
        <v>10</v>
      </c>
      <c r="D101" t="s">
        <v>86</v>
      </c>
      <c r="E101" t="s">
        <v>71</v>
      </c>
      <c r="F101" t="s">
        <v>72</v>
      </c>
      <c r="G101">
        <v>0.138944525852045</v>
      </c>
      <c r="H101">
        <v>9.5579884363727503E-3</v>
      </c>
      <c r="I101">
        <v>0</v>
      </c>
      <c r="J101">
        <v>5.9401316914590998</v>
      </c>
      <c r="K101">
        <v>12232</v>
      </c>
      <c r="L101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0.13899748293877962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4.930571157103633E-3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3.5271181276138549E-3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0.129434956518654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0.14362527886974299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6.0351730465772597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12452.7</v>
      </c>
      <c r="W101">
        <f>IF((DiscreteStatsTable[[#This Row],[RepsRequested]]&gt;1),DiscreteStatsTable[[#This Row],[HalfWidth]],DiscreteStatsTable[[#This Row],[BatchMeansHalfWidth]])</f>
        <v>3.5271181276138549E-3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69</v>
      </c>
      <c r="C102">
        <v>1</v>
      </c>
      <c r="D102" t="s">
        <v>87</v>
      </c>
      <c r="E102" t="s">
        <v>71</v>
      </c>
      <c r="F102" t="s">
        <v>72</v>
      </c>
      <c r="G102">
        <v>7.9045407998993997E-2</v>
      </c>
      <c r="H102">
        <v>6.9383621746125102E-3</v>
      </c>
      <c r="I102">
        <v>0</v>
      </c>
      <c r="J102">
        <v>3.6370971092255799</v>
      </c>
      <c r="K102">
        <v>9253</v>
      </c>
      <c r="L102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7.6228192147755031E-2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7.1742340399272395E-2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8.0818426663094203E-2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5.1270063897536602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02">
        <f>IF((DiscreteStatsTable[[#This Row],[RepsRequested]]&gt;1),DiscreteStatsTable[[#This Row],[HalfWidth]],DiscreteStatsTable[[#This Row],[BatchMeansHalfWidth]])</f>
        <v>2.2270794104771088E-3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69</v>
      </c>
      <c r="C103">
        <v>2</v>
      </c>
      <c r="D103" t="s">
        <v>87</v>
      </c>
      <c r="E103" t="s">
        <v>71</v>
      </c>
      <c r="F103" t="s">
        <v>72</v>
      </c>
      <c r="G103">
        <v>8.0818426663094203E-2</v>
      </c>
      <c r="H103">
        <v>7.9201359992323393E-3</v>
      </c>
      <c r="I103">
        <v>0</v>
      </c>
      <c r="J103">
        <v>3.48560666225967</v>
      </c>
      <c r="K103">
        <v>9436</v>
      </c>
      <c r="L103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7.6228192147755031E-2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7.1742340399272395E-2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8.0818426663094203E-2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5.1270063897536602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03">
        <f>IF((DiscreteStatsTable[[#This Row],[RepsRequested]]&gt;1),DiscreteStatsTable[[#This Row],[HalfWidth]],DiscreteStatsTable[[#This Row],[BatchMeansHalfWidth]])</f>
        <v>2.2270794104771088E-3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69</v>
      </c>
      <c r="C104">
        <v>3</v>
      </c>
      <c r="D104" t="s">
        <v>87</v>
      </c>
      <c r="E104" t="s">
        <v>71</v>
      </c>
      <c r="F104" t="s">
        <v>72</v>
      </c>
      <c r="G104">
        <v>7.7150100257278406E-2</v>
      </c>
      <c r="H104">
        <v>6.9240927535886704E-3</v>
      </c>
      <c r="I104">
        <v>0</v>
      </c>
      <c r="J104">
        <v>5.1270063897536602</v>
      </c>
      <c r="K104">
        <v>9495</v>
      </c>
      <c r="L104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7.6228192147755031E-2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7.1742340399272395E-2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8.0818426663094203E-2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5.1270063897536602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04">
        <f>IF((DiscreteStatsTable[[#This Row],[RepsRequested]]&gt;1),DiscreteStatsTable[[#This Row],[HalfWidth]],DiscreteStatsTable[[#This Row],[BatchMeansHalfWidth]])</f>
        <v>2.2270794104771088E-3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69</v>
      </c>
      <c r="C105">
        <v>4</v>
      </c>
      <c r="D105" t="s">
        <v>87</v>
      </c>
      <c r="E105" t="s">
        <v>71</v>
      </c>
      <c r="F105" t="s">
        <v>72</v>
      </c>
      <c r="G105">
        <v>7.9874741042908398E-2</v>
      </c>
      <c r="H105">
        <v>6.1003706309251003E-3</v>
      </c>
      <c r="I105">
        <v>0</v>
      </c>
      <c r="J105">
        <v>4.2948456964222697</v>
      </c>
      <c r="K105">
        <v>9519</v>
      </c>
      <c r="L105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7.6228192147755031E-2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7.1742340399272395E-2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8.0818426663094203E-2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5.1270063897536602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05">
        <f>IF((DiscreteStatsTable[[#This Row],[RepsRequested]]&gt;1),DiscreteStatsTable[[#This Row],[HalfWidth]],DiscreteStatsTable[[#This Row],[BatchMeansHalfWidth]])</f>
        <v>2.2270794104771088E-3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69</v>
      </c>
      <c r="C106">
        <v>5</v>
      </c>
      <c r="D106" t="s">
        <v>87</v>
      </c>
      <c r="E106" t="s">
        <v>71</v>
      </c>
      <c r="F106" t="s">
        <v>72</v>
      </c>
      <c r="G106">
        <v>7.3072770942536197E-2</v>
      </c>
      <c r="H106">
        <v>6.24412169973604E-3</v>
      </c>
      <c r="I106">
        <v>0</v>
      </c>
      <c r="J106">
        <v>4.4183871805726103</v>
      </c>
      <c r="K106">
        <v>9191</v>
      </c>
      <c r="L106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7.6228192147755031E-2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7.1742340399272395E-2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8.0818426663094203E-2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5.1270063897536602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06">
        <f>IF((DiscreteStatsTable[[#This Row],[RepsRequested]]&gt;1),DiscreteStatsTable[[#This Row],[HalfWidth]],DiscreteStatsTable[[#This Row],[BatchMeansHalfWidth]])</f>
        <v>2.2270794104771088E-3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69</v>
      </c>
      <c r="C107">
        <v>6</v>
      </c>
      <c r="D107" t="s">
        <v>87</v>
      </c>
      <c r="E107" t="s">
        <v>71</v>
      </c>
      <c r="F107" t="s">
        <v>72</v>
      </c>
      <c r="G107">
        <v>7.4046904071615002E-2</v>
      </c>
      <c r="H107">
        <v>7.1275241187736997E-3</v>
      </c>
      <c r="I107">
        <v>0</v>
      </c>
      <c r="J107">
        <v>3.64195868613024</v>
      </c>
      <c r="K107">
        <v>9577</v>
      </c>
      <c r="L107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7.6228192147755031E-2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7.1742340399272395E-2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8.0818426663094203E-2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5.1270063897536602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07">
        <f>IF((DiscreteStatsTable[[#This Row],[RepsRequested]]&gt;1),DiscreteStatsTable[[#This Row],[HalfWidth]],DiscreteStatsTable[[#This Row],[BatchMeansHalfWidth]])</f>
        <v>2.2270794104771088E-3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69</v>
      </c>
      <c r="C108">
        <v>7</v>
      </c>
      <c r="D108" t="s">
        <v>87</v>
      </c>
      <c r="E108" t="s">
        <v>71</v>
      </c>
      <c r="F108" t="s">
        <v>72</v>
      </c>
      <c r="G108">
        <v>7.3925748449201398E-2</v>
      </c>
      <c r="H108">
        <v>6.9532317770860897E-3</v>
      </c>
      <c r="I108">
        <v>0</v>
      </c>
      <c r="J108">
        <v>3.8866666214016701</v>
      </c>
      <c r="K108">
        <v>9359</v>
      </c>
      <c r="L108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7.6228192147755031E-2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7.1742340399272395E-2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8.0818426663094203E-2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5.1270063897536602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08">
        <f>IF((DiscreteStatsTable[[#This Row],[RepsRequested]]&gt;1),DiscreteStatsTable[[#This Row],[HalfWidth]],DiscreteStatsTable[[#This Row],[BatchMeansHalfWidth]])</f>
        <v>2.2270794104771088E-3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69</v>
      </c>
      <c r="C109">
        <v>8</v>
      </c>
      <c r="D109" t="s">
        <v>87</v>
      </c>
      <c r="E109" t="s">
        <v>71</v>
      </c>
      <c r="F109" t="s">
        <v>72</v>
      </c>
      <c r="G109">
        <v>7.4901601827616002E-2</v>
      </c>
      <c r="H109">
        <v>6.2722701315331602E-3</v>
      </c>
      <c r="I109">
        <v>0</v>
      </c>
      <c r="J109">
        <v>3.5217962047608999</v>
      </c>
      <c r="K109">
        <v>9253</v>
      </c>
      <c r="L109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7.6228192147755031E-2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7.1742340399272395E-2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8.0818426663094203E-2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5.1270063897536602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09">
        <f>IF((DiscreteStatsTable[[#This Row],[RepsRequested]]&gt;1),DiscreteStatsTable[[#This Row],[HalfWidth]],DiscreteStatsTable[[#This Row],[BatchMeansHalfWidth]])</f>
        <v>2.2270794104771088E-3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69</v>
      </c>
      <c r="C110">
        <v>9</v>
      </c>
      <c r="D110" t="s">
        <v>87</v>
      </c>
      <c r="E110" t="s">
        <v>71</v>
      </c>
      <c r="F110" t="s">
        <v>72</v>
      </c>
      <c r="G110">
        <v>7.7703879825034503E-2</v>
      </c>
      <c r="H110">
        <v>6.8549138608955899E-3</v>
      </c>
      <c r="I110">
        <v>0</v>
      </c>
      <c r="J110">
        <v>4.8186062801978604</v>
      </c>
      <c r="K110">
        <v>9389</v>
      </c>
      <c r="L110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7.6228192147755031E-2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7.1742340399272395E-2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8.0818426663094203E-2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5.1270063897536602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10">
        <f>IF((DiscreteStatsTable[[#This Row],[RepsRequested]]&gt;1),DiscreteStatsTable[[#This Row],[HalfWidth]],DiscreteStatsTable[[#This Row],[BatchMeansHalfWidth]])</f>
        <v>2.2270794104771088E-3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69</v>
      </c>
      <c r="C111">
        <v>10</v>
      </c>
      <c r="D111" t="s">
        <v>87</v>
      </c>
      <c r="E111" t="s">
        <v>71</v>
      </c>
      <c r="F111" t="s">
        <v>72</v>
      </c>
      <c r="G111">
        <v>7.1742340399272395E-2</v>
      </c>
      <c r="H111">
        <v>5.7749150916657204E-3</v>
      </c>
      <c r="I111">
        <v>0</v>
      </c>
      <c r="J111">
        <v>4.4431338535796403</v>
      </c>
      <c r="K111">
        <v>9195</v>
      </c>
      <c r="L111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7.6228192147755031E-2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3.1132423436315252E-3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2.2270794104771088E-3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7.1742340399272395E-2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8.0818426663094203E-2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5.1270063897536602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9366.7000000000007</v>
      </c>
      <c r="W111">
        <f>IF((DiscreteStatsTable[[#This Row],[RepsRequested]]&gt;1),DiscreteStatsTable[[#This Row],[HalfWidth]],DiscreteStatsTable[[#This Row],[BatchMeansHalfWidth]])</f>
        <v>2.2270794104771088E-3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69</v>
      </c>
      <c r="C112">
        <v>1</v>
      </c>
      <c r="D112" t="s">
        <v>88</v>
      </c>
      <c r="E112" t="s">
        <v>71</v>
      </c>
      <c r="F112" t="s">
        <v>72</v>
      </c>
      <c r="G112">
        <v>7.8697564896520106E-2</v>
      </c>
      <c r="H112">
        <v>6.8932348161944296E-3</v>
      </c>
      <c r="I112">
        <v>0</v>
      </c>
      <c r="J112">
        <v>3.24472608999349</v>
      </c>
      <c r="K112">
        <v>12462</v>
      </c>
      <c r="L112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8.0628737081575225E-2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7.5584474439310295E-2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8.7244240810121595E-2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4.4334092335702699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12448.4</v>
      </c>
      <c r="W112">
        <f>IF((DiscreteStatsTable[[#This Row],[RepsRequested]]&gt;1),DiscreteStatsTable[[#This Row],[HalfWidth]],DiscreteStatsTable[[#This Row],[BatchMeansHalfWidth]])</f>
        <v>2.3346660111291224E-3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69</v>
      </c>
      <c r="C113">
        <v>2</v>
      </c>
      <c r="D113" t="s">
        <v>88</v>
      </c>
      <c r="E113" t="s">
        <v>71</v>
      </c>
      <c r="F113" t="s">
        <v>72</v>
      </c>
      <c r="G113">
        <v>7.8685347481564999E-2</v>
      </c>
      <c r="H113">
        <v>4.5258284491513897E-3</v>
      </c>
      <c r="I113">
        <v>0</v>
      </c>
      <c r="J113">
        <v>3.4203804038261301</v>
      </c>
      <c r="K113">
        <v>12478</v>
      </c>
      <c r="L113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8.0628737081575225E-2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7.5584474439310295E-2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8.7244240810121595E-2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4.4334092335702699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12448.4</v>
      </c>
      <c r="W113">
        <f>IF((DiscreteStatsTable[[#This Row],[RepsRequested]]&gt;1),DiscreteStatsTable[[#This Row],[HalfWidth]],DiscreteStatsTable[[#This Row],[BatchMeansHalfWidth]])</f>
        <v>2.3346660111291224E-3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69</v>
      </c>
      <c r="C114">
        <v>3</v>
      </c>
      <c r="D114" t="s">
        <v>88</v>
      </c>
      <c r="E114" t="s">
        <v>71</v>
      </c>
      <c r="F114" t="s">
        <v>72</v>
      </c>
      <c r="G114">
        <v>8.0575203785087701E-2</v>
      </c>
      <c r="H114">
        <v>7.2521467546410598E-3</v>
      </c>
      <c r="I114">
        <v>0</v>
      </c>
      <c r="J114">
        <v>3.2998560717969698</v>
      </c>
      <c r="K114">
        <v>12589</v>
      </c>
      <c r="L114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8.0628737081575225E-2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7.5584474439310295E-2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8.7244240810121595E-2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4.4334092335702699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12448.4</v>
      </c>
      <c r="W114">
        <f>IF((DiscreteStatsTable[[#This Row],[RepsRequested]]&gt;1),DiscreteStatsTable[[#This Row],[HalfWidth]],DiscreteStatsTable[[#This Row],[BatchMeansHalfWidth]])</f>
        <v>2.3346660111291224E-3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69</v>
      </c>
      <c r="C115">
        <v>4</v>
      </c>
      <c r="D115" t="s">
        <v>88</v>
      </c>
      <c r="E115" t="s">
        <v>71</v>
      </c>
      <c r="F115" t="s">
        <v>72</v>
      </c>
      <c r="G115">
        <v>8.7244240810121595E-2</v>
      </c>
      <c r="H115">
        <v>6.9785571044804597E-3</v>
      </c>
      <c r="I115">
        <v>0</v>
      </c>
      <c r="J115">
        <v>3.0338080750661902</v>
      </c>
      <c r="K115">
        <v>12449</v>
      </c>
      <c r="L115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8.0628737081575225E-2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7.5584474439310295E-2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8.7244240810121595E-2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4.4334092335702699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12448.4</v>
      </c>
      <c r="W115">
        <f>IF((DiscreteStatsTable[[#This Row],[RepsRequested]]&gt;1),DiscreteStatsTable[[#This Row],[HalfWidth]],DiscreteStatsTable[[#This Row],[BatchMeansHalfWidth]])</f>
        <v>2.3346660111291224E-3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69</v>
      </c>
      <c r="C116">
        <v>5</v>
      </c>
      <c r="D116" t="s">
        <v>88</v>
      </c>
      <c r="E116" t="s">
        <v>71</v>
      </c>
      <c r="F116" t="s">
        <v>72</v>
      </c>
      <c r="G116">
        <v>8.2976529539985702E-2</v>
      </c>
      <c r="H116">
        <v>6.0094507260532101E-3</v>
      </c>
      <c r="I116">
        <v>0</v>
      </c>
      <c r="J116">
        <v>4.4334092335702699</v>
      </c>
      <c r="K116">
        <v>12438</v>
      </c>
      <c r="L116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8.0628737081575225E-2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7.5584474439310295E-2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8.7244240810121595E-2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4.4334092335702699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12448.4</v>
      </c>
      <c r="W116">
        <f>IF((DiscreteStatsTable[[#This Row],[RepsRequested]]&gt;1),DiscreteStatsTable[[#This Row],[HalfWidth]],DiscreteStatsTable[[#This Row],[BatchMeansHalfWidth]])</f>
        <v>2.3346660111291224E-3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69</v>
      </c>
      <c r="C117">
        <v>6</v>
      </c>
      <c r="D117" t="s">
        <v>88</v>
      </c>
      <c r="E117" t="s">
        <v>71</v>
      </c>
      <c r="F117" t="s">
        <v>72</v>
      </c>
      <c r="G117">
        <v>7.9567768894977298E-2</v>
      </c>
      <c r="H117">
        <v>5.5610352080727602E-3</v>
      </c>
      <c r="I117">
        <v>0</v>
      </c>
      <c r="J117">
        <v>3.6188094366661998</v>
      </c>
      <c r="K117">
        <v>12502</v>
      </c>
      <c r="L117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8.0628737081575225E-2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7.5584474439310295E-2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8.7244240810121595E-2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4.4334092335702699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12448.4</v>
      </c>
      <c r="W117">
        <f>IF((DiscreteStatsTable[[#This Row],[RepsRequested]]&gt;1),DiscreteStatsTable[[#This Row],[HalfWidth]],DiscreteStatsTable[[#This Row],[BatchMeansHalfWidth]])</f>
        <v>2.3346660111291224E-3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69</v>
      </c>
      <c r="C118">
        <v>7</v>
      </c>
      <c r="D118" t="s">
        <v>88</v>
      </c>
      <c r="E118" t="s">
        <v>71</v>
      </c>
      <c r="F118" t="s">
        <v>72</v>
      </c>
      <c r="G118">
        <v>7.8588375196516902E-2</v>
      </c>
      <c r="H118">
        <v>6.9753271232880498E-3</v>
      </c>
      <c r="I118">
        <v>0</v>
      </c>
      <c r="J118">
        <v>4.3595803001408102</v>
      </c>
      <c r="K118">
        <v>12480</v>
      </c>
      <c r="L118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8.0628737081575225E-2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7.5584474439310295E-2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8.7244240810121595E-2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4.4334092335702699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12448.4</v>
      </c>
      <c r="W118">
        <f>IF((DiscreteStatsTable[[#This Row],[RepsRequested]]&gt;1),DiscreteStatsTable[[#This Row],[HalfWidth]],DiscreteStatsTable[[#This Row],[BatchMeansHalfWidth]])</f>
        <v>2.3346660111291224E-3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25">
      <c r="A119" t="s">
        <v>67</v>
      </c>
      <c r="B119" t="s">
        <v>69</v>
      </c>
      <c r="C119">
        <v>8</v>
      </c>
      <c r="D119" t="s">
        <v>88</v>
      </c>
      <c r="E119" t="s">
        <v>71</v>
      </c>
      <c r="F119" t="s">
        <v>72</v>
      </c>
      <c r="G119">
        <v>7.5584474439310295E-2</v>
      </c>
      <c r="H119">
        <v>5.3567995055484397E-3</v>
      </c>
      <c r="I119">
        <v>0</v>
      </c>
      <c r="J119">
        <v>3.0804780012113002</v>
      </c>
      <c r="K119">
        <v>12299</v>
      </c>
      <c r="L119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8.0628737081575225E-2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7.5584474439310295E-2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8.7244240810121595E-2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4.4334092335702699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12448.4</v>
      </c>
      <c r="W119">
        <f>IF((DiscreteStatsTable[[#This Row],[RepsRequested]]&gt;1),DiscreteStatsTable[[#This Row],[HalfWidth]],DiscreteStatsTable[[#This Row],[BatchMeansHalfWidth]])</f>
        <v>2.3346660111291224E-3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25">
      <c r="A120" t="s">
        <v>67</v>
      </c>
      <c r="B120" t="s">
        <v>69</v>
      </c>
      <c r="C120">
        <v>9</v>
      </c>
      <c r="D120" t="s">
        <v>88</v>
      </c>
      <c r="E120" t="s">
        <v>71</v>
      </c>
      <c r="F120" t="s">
        <v>72</v>
      </c>
      <c r="G120">
        <v>8.3507817640751894E-2</v>
      </c>
      <c r="H120">
        <v>6.6073001433109299E-3</v>
      </c>
      <c r="I120">
        <v>0</v>
      </c>
      <c r="J120">
        <v>3.8531593165680502</v>
      </c>
      <c r="K120">
        <v>12557</v>
      </c>
      <c r="L120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8.0628737081575225E-2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7.5584474439310295E-2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8.7244240810121595E-2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4.4334092335702699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12448.4</v>
      </c>
      <c r="W120">
        <f>IF((DiscreteStatsTable[[#This Row],[RepsRequested]]&gt;1),DiscreteStatsTable[[#This Row],[HalfWidth]],DiscreteStatsTable[[#This Row],[BatchMeansHalfWidth]])</f>
        <v>2.3346660111291224E-3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25">
      <c r="A121" t="s">
        <v>67</v>
      </c>
      <c r="B121" t="s">
        <v>69</v>
      </c>
      <c r="C121">
        <v>10</v>
      </c>
      <c r="D121" t="s">
        <v>88</v>
      </c>
      <c r="E121" t="s">
        <v>71</v>
      </c>
      <c r="F121" t="s">
        <v>72</v>
      </c>
      <c r="G121">
        <v>8.0860048130915796E-2</v>
      </c>
      <c r="H121">
        <v>5.0057119535952396E-3</v>
      </c>
      <c r="I121">
        <v>0</v>
      </c>
      <c r="J121">
        <v>3.3464792461163602</v>
      </c>
      <c r="K121">
        <v>12230</v>
      </c>
      <c r="L121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8.0628737081575225E-2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3.2636380408758675E-3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2.3346660111291224E-3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7.5584474439310295E-2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8.7244240810121595E-2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4.4334092335702699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12448.4</v>
      </c>
      <c r="W121">
        <f>IF((DiscreteStatsTable[[#This Row],[RepsRequested]]&gt;1),DiscreteStatsTable[[#This Row],[HalfWidth]],DiscreteStatsTable[[#This Row],[BatchMeansHalfWidth]])</f>
        <v>2.3346660111291224E-3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25">
      <c r="A122" t="s">
        <v>67</v>
      </c>
      <c r="B122" t="s">
        <v>69</v>
      </c>
      <c r="C122">
        <v>1</v>
      </c>
      <c r="D122" t="s">
        <v>85</v>
      </c>
      <c r="E122" t="s">
        <v>71</v>
      </c>
      <c r="F122" t="s">
        <v>72</v>
      </c>
      <c r="G122">
        <v>8.5695618315994398E-2</v>
      </c>
      <c r="H122">
        <v>6.8265990520519999E-3</v>
      </c>
      <c r="I122">
        <v>0</v>
      </c>
      <c r="J122">
        <v>5.0055172938518799</v>
      </c>
      <c r="K122">
        <v>14017</v>
      </c>
      <c r="L122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8.5295665001166893E-2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7.8738833794348206E-2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9.1983612971957507E-2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5.8757957259949798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14002.8</v>
      </c>
      <c r="W122" s="5">
        <f>IF((DiscreteStatsTable[[#This Row],[RepsRequested]]&gt;1),DiscreteStatsTable[[#This Row],[HalfWidth]],DiscreteStatsTable[[#This Row],[BatchMeansHalfWidth]])</f>
        <v>2.5913204895777618E-3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67</v>
      </c>
      <c r="B123" t="s">
        <v>69</v>
      </c>
      <c r="C123">
        <v>2</v>
      </c>
      <c r="D123" t="s">
        <v>85</v>
      </c>
      <c r="E123" t="s">
        <v>71</v>
      </c>
      <c r="F123" t="s">
        <v>72</v>
      </c>
      <c r="G123">
        <v>8.6095384590998802E-2</v>
      </c>
      <c r="H123">
        <v>3E+20</v>
      </c>
      <c r="I123">
        <v>0</v>
      </c>
      <c r="J123">
        <v>4.9182168449933696</v>
      </c>
      <c r="K123">
        <v>13979</v>
      </c>
      <c r="L123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8.5295665001166893E-2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7.8738833794348206E-2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9.1983612971957507E-2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5.8757957259949798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14002.8</v>
      </c>
      <c r="W123" s="5">
        <f>IF((DiscreteStatsTable[[#This Row],[RepsRequested]]&gt;1),DiscreteStatsTable[[#This Row],[HalfWidth]],DiscreteStatsTable[[#This Row],[BatchMeansHalfWidth]])</f>
        <v>2.5913204895777618E-3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67</v>
      </c>
      <c r="B124" t="s">
        <v>69</v>
      </c>
      <c r="C124">
        <v>3</v>
      </c>
      <c r="D124" t="s">
        <v>85</v>
      </c>
      <c r="E124" t="s">
        <v>71</v>
      </c>
      <c r="F124" t="s">
        <v>72</v>
      </c>
      <c r="G124">
        <v>8.5902046773397606E-2</v>
      </c>
      <c r="H124">
        <v>7.2234332054493498E-3</v>
      </c>
      <c r="I124">
        <v>0</v>
      </c>
      <c r="J124">
        <v>5.8757957259949798</v>
      </c>
      <c r="K124">
        <v>14204</v>
      </c>
      <c r="L124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8.5295665001166893E-2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7.8738833794348206E-2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9.1983612971957507E-2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5.8757957259949798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14002.8</v>
      </c>
      <c r="W124" s="5">
        <f>IF((DiscreteStatsTable[[#This Row],[RepsRequested]]&gt;1),DiscreteStatsTable[[#This Row],[HalfWidth]],DiscreteStatsTable[[#This Row],[BatchMeansHalfWidth]])</f>
        <v>2.5913204895777618E-3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67</v>
      </c>
      <c r="B125" t="s">
        <v>69</v>
      </c>
      <c r="C125">
        <v>4</v>
      </c>
      <c r="D125" t="s">
        <v>85</v>
      </c>
      <c r="E125" t="s">
        <v>71</v>
      </c>
      <c r="F125" t="s">
        <v>72</v>
      </c>
      <c r="G125">
        <v>8.3093859825107599E-2</v>
      </c>
      <c r="H125">
        <v>6.2466956081230797E-3</v>
      </c>
      <c r="I125">
        <v>0</v>
      </c>
      <c r="J125">
        <v>4.9089672130212403</v>
      </c>
      <c r="K125">
        <v>13996</v>
      </c>
      <c r="L125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8.5295665001166893E-2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7.8738833794348206E-2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9.1983612971957507E-2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5.8757957259949798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14002.8</v>
      </c>
      <c r="W125" s="5">
        <f>IF((DiscreteStatsTable[[#This Row],[RepsRequested]]&gt;1),DiscreteStatsTable[[#This Row],[HalfWidth]],DiscreteStatsTable[[#This Row],[BatchMeansHalfWidth]])</f>
        <v>2.5913204895777618E-3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67</v>
      </c>
      <c r="B126" t="s">
        <v>69</v>
      </c>
      <c r="C126">
        <v>5</v>
      </c>
      <c r="D126" t="s">
        <v>85</v>
      </c>
      <c r="E126" t="s">
        <v>71</v>
      </c>
      <c r="F126" t="s">
        <v>72</v>
      </c>
      <c r="G126">
        <v>7.8738833794348206E-2</v>
      </c>
      <c r="H126">
        <v>7.0393488567293203E-3</v>
      </c>
      <c r="I126">
        <v>0</v>
      </c>
      <c r="J126">
        <v>4.6024304929014797</v>
      </c>
      <c r="K126">
        <v>14169</v>
      </c>
      <c r="L126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8.5295665001166893E-2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7.8738833794348206E-2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9.1983612971957507E-2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5.8757957259949798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14002.8</v>
      </c>
      <c r="W126" s="5">
        <f>IF((DiscreteStatsTable[[#This Row],[RepsRequested]]&gt;1),DiscreteStatsTable[[#This Row],[HalfWidth]],DiscreteStatsTable[[#This Row],[BatchMeansHalfWidth]])</f>
        <v>2.5913204895777618E-3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67</v>
      </c>
      <c r="B127" t="s">
        <v>69</v>
      </c>
      <c r="C127">
        <v>6</v>
      </c>
      <c r="D127" t="s">
        <v>85</v>
      </c>
      <c r="E127" t="s">
        <v>71</v>
      </c>
      <c r="F127" t="s">
        <v>72</v>
      </c>
      <c r="G127">
        <v>8.9558937636777303E-2</v>
      </c>
      <c r="H127">
        <v>6.5258717768608802E-3</v>
      </c>
      <c r="I127">
        <v>0</v>
      </c>
      <c r="J127">
        <v>5.4673958867060701</v>
      </c>
      <c r="K127">
        <v>13958</v>
      </c>
      <c r="L127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8.5295665001166893E-2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7.8738833794348206E-2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9.1983612971957507E-2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5.8757957259949798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14002.8</v>
      </c>
      <c r="W127" s="5">
        <f>IF((DiscreteStatsTable[[#This Row],[RepsRequested]]&gt;1),DiscreteStatsTable[[#This Row],[HalfWidth]],DiscreteStatsTable[[#This Row],[BatchMeansHalfWidth]])</f>
        <v>2.5913204895777618E-3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67</v>
      </c>
      <c r="B128" t="s">
        <v>69</v>
      </c>
      <c r="C128">
        <v>7</v>
      </c>
      <c r="D128" t="s">
        <v>85</v>
      </c>
      <c r="E128" t="s">
        <v>71</v>
      </c>
      <c r="F128" t="s">
        <v>72</v>
      </c>
      <c r="G128">
        <v>8.4704185598601406E-2</v>
      </c>
      <c r="H128">
        <v>5.67231915803548E-3</v>
      </c>
      <c r="I128">
        <v>0</v>
      </c>
      <c r="J128">
        <v>5.2237459896277896</v>
      </c>
      <c r="K128">
        <v>14111</v>
      </c>
      <c r="L128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8.5295665001166893E-2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7.8738833794348206E-2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9.1983612971957507E-2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5.8757957259949798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14002.8</v>
      </c>
      <c r="W128" s="5">
        <f>IF((DiscreteStatsTable[[#This Row],[RepsRequested]]&gt;1),DiscreteStatsTable[[#This Row],[HalfWidth]],DiscreteStatsTable[[#This Row],[BatchMeansHalfWidth]])</f>
        <v>2.5913204895777618E-3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67</v>
      </c>
      <c r="B129" t="s">
        <v>69</v>
      </c>
      <c r="C129">
        <v>8</v>
      </c>
      <c r="D129" t="s">
        <v>85</v>
      </c>
      <c r="E129" t="s">
        <v>71</v>
      </c>
      <c r="F129" t="s">
        <v>72</v>
      </c>
      <c r="G129">
        <v>8.3466497970051207E-2</v>
      </c>
      <c r="H129">
        <v>5.9503226102607196E-3</v>
      </c>
      <c r="I129">
        <v>0</v>
      </c>
      <c r="J129">
        <v>5.1160275040019796</v>
      </c>
      <c r="K129">
        <v>13779</v>
      </c>
      <c r="L129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8.5295665001166893E-2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7.8738833794348206E-2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9.1983612971957507E-2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5.8757957259949798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14002.8</v>
      </c>
      <c r="W129" s="5">
        <f>IF((DiscreteStatsTable[[#This Row],[RepsRequested]]&gt;1),DiscreteStatsTable[[#This Row],[HalfWidth]],DiscreteStatsTable[[#This Row],[BatchMeansHalfWidth]])</f>
        <v>2.5913204895777618E-3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67</v>
      </c>
      <c r="B130" t="s">
        <v>69</v>
      </c>
      <c r="C130">
        <v>9</v>
      </c>
      <c r="D130" t="s">
        <v>85</v>
      </c>
      <c r="E130" t="s">
        <v>71</v>
      </c>
      <c r="F130" t="s">
        <v>72</v>
      </c>
      <c r="G130">
        <v>9.1983612971957507E-2</v>
      </c>
      <c r="H130">
        <v>3E+20</v>
      </c>
      <c r="I130">
        <v>0</v>
      </c>
      <c r="J130">
        <v>5.0462168199592297</v>
      </c>
      <c r="K130">
        <v>14087</v>
      </c>
      <c r="L130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8.5295665001166893E-2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7.8738833794348206E-2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9.1983612971957507E-2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5.8757957259949798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14002.8</v>
      </c>
      <c r="W130" s="5">
        <f>IF((DiscreteStatsTable[[#This Row],[RepsRequested]]&gt;1),DiscreteStatsTable[[#This Row],[HalfWidth]],DiscreteStatsTable[[#This Row],[BatchMeansHalfWidth]])</f>
        <v>2.5913204895777618E-3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67</v>
      </c>
      <c r="B131" t="s">
        <v>69</v>
      </c>
      <c r="C131">
        <v>10</v>
      </c>
      <c r="D131" t="s">
        <v>85</v>
      </c>
      <c r="E131" t="s">
        <v>71</v>
      </c>
      <c r="F131" t="s">
        <v>72</v>
      </c>
      <c r="G131">
        <v>8.37176725344351E-2</v>
      </c>
      <c r="H131">
        <v>6.6623042227441504E-3</v>
      </c>
      <c r="I131">
        <v>0</v>
      </c>
      <c r="J131">
        <v>5.1985297062783502</v>
      </c>
      <c r="K131">
        <v>13728</v>
      </c>
      <c r="L131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8.5295665001166893E-2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3.6224162623573336E-3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2.5913204895777618E-3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7.8738833794348206E-2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9.1983612971957507E-2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5.8757957259949798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14002.8</v>
      </c>
      <c r="W131" s="5">
        <f>IF((DiscreteStatsTable[[#This Row],[RepsRequested]]&gt;1),DiscreteStatsTable[[#This Row],[HalfWidth]],DiscreteStatsTable[[#This Row],[BatchMeansHalfWidth]])</f>
        <v>2.5913204895777618E-3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67</v>
      </c>
      <c r="B132" t="s">
        <v>69</v>
      </c>
      <c r="C132">
        <v>1</v>
      </c>
      <c r="D132" t="s">
        <v>89</v>
      </c>
      <c r="E132" t="s">
        <v>82</v>
      </c>
      <c r="F132" t="s">
        <v>83</v>
      </c>
      <c r="G132">
        <v>353.50375397057098</v>
      </c>
      <c r="H132">
        <v>27.457996223225202</v>
      </c>
      <c r="I132">
        <v>85.527899649576298</v>
      </c>
      <c r="J132">
        <v>1194.03300748533</v>
      </c>
      <c r="K132">
        <v>12456</v>
      </c>
      <c r="L132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353.82556111299817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11.97332326127022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331.355585797689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373.76644480526198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82.055383523315001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1654.1892179890699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12441.9</v>
      </c>
      <c r="W132" s="5">
        <f>IF((DiscreteStatsTable[[#This Row],[RepsRequested]]&gt;1),DiscreteStatsTable[[#This Row],[HalfWidth]],DiscreteStatsTable[[#This Row],[BatchMeansHalfWidth]])</f>
        <v>8.565199482368854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67</v>
      </c>
      <c r="B133" t="s">
        <v>69</v>
      </c>
      <c r="C133">
        <v>2</v>
      </c>
      <c r="D133" t="s">
        <v>89</v>
      </c>
      <c r="E133" t="s">
        <v>82</v>
      </c>
      <c r="F133" t="s">
        <v>83</v>
      </c>
      <c r="G133">
        <v>355.45500332422898</v>
      </c>
      <c r="H133">
        <v>30.680122593966299</v>
      </c>
      <c r="I133">
        <v>86.954729547898793</v>
      </c>
      <c r="J133">
        <v>1131.4245030823699</v>
      </c>
      <c r="K133">
        <v>12469</v>
      </c>
      <c r="L133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353.82556111299817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11.97332326127022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331.355585797689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373.76644480526198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82.055383523315001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1654.1892179890699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12441.9</v>
      </c>
      <c r="W133" s="5">
        <f>IF((DiscreteStatsTable[[#This Row],[RepsRequested]]&gt;1),DiscreteStatsTable[[#This Row],[HalfWidth]],DiscreteStatsTable[[#This Row],[BatchMeansHalfWidth]])</f>
        <v>8.565199482368854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67</v>
      </c>
      <c r="B134" t="s">
        <v>69</v>
      </c>
      <c r="C134">
        <v>3</v>
      </c>
      <c r="D134" t="s">
        <v>89</v>
      </c>
      <c r="E134" t="s">
        <v>82</v>
      </c>
      <c r="F134" t="s">
        <v>83</v>
      </c>
      <c r="G134">
        <v>373.76644480526198</v>
      </c>
      <c r="H134">
        <v>32.525676244729098</v>
      </c>
      <c r="I134">
        <v>87.379050961870206</v>
      </c>
      <c r="J134">
        <v>1493.98332655372</v>
      </c>
      <c r="K134">
        <v>12584</v>
      </c>
      <c r="L134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353.82556111299817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11.97332326127022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331.355585797689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373.76644480526198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82.055383523315001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1654.1892179890699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12441.9</v>
      </c>
      <c r="W134" s="5">
        <f>IF((DiscreteStatsTable[[#This Row],[RepsRequested]]&gt;1),DiscreteStatsTable[[#This Row],[HalfWidth]],DiscreteStatsTable[[#This Row],[BatchMeansHalfWidth]])</f>
        <v>8.565199482368854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67</v>
      </c>
      <c r="B135" t="s">
        <v>69</v>
      </c>
      <c r="C135">
        <v>4</v>
      </c>
      <c r="D135" t="s">
        <v>89</v>
      </c>
      <c r="E135" t="s">
        <v>82</v>
      </c>
      <c r="F135" t="s">
        <v>83</v>
      </c>
      <c r="G135">
        <v>346.95513491517801</v>
      </c>
      <c r="H135">
        <v>25.556044289831402</v>
      </c>
      <c r="I135">
        <v>93.6241633674654</v>
      </c>
      <c r="J135">
        <v>1206.4613012407401</v>
      </c>
      <c r="K135">
        <v>12444</v>
      </c>
      <c r="L135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353.82556111299817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11.97332326127022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331.355585797689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373.76644480526198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82.055383523315001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1654.1892179890699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12441.9</v>
      </c>
      <c r="W135" s="5">
        <f>IF((DiscreteStatsTable[[#This Row],[RepsRequested]]&gt;1),DiscreteStatsTable[[#This Row],[HalfWidth]],DiscreteStatsTable[[#This Row],[BatchMeansHalfWidth]])</f>
        <v>8.565199482368854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67</v>
      </c>
      <c r="B136" t="s">
        <v>69</v>
      </c>
      <c r="C136">
        <v>5</v>
      </c>
      <c r="D136" t="s">
        <v>89</v>
      </c>
      <c r="E136" t="s">
        <v>82</v>
      </c>
      <c r="F136" t="s">
        <v>83</v>
      </c>
      <c r="G136">
        <v>366.16133232431599</v>
      </c>
      <c r="H136">
        <v>36.139661763248803</v>
      </c>
      <c r="I136">
        <v>82.589066395099493</v>
      </c>
      <c r="J136">
        <v>1173.51337419264</v>
      </c>
      <c r="K136">
        <v>12429</v>
      </c>
      <c r="L136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353.82556111299817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11.97332326127022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331.355585797689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373.76644480526198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82.055383523315001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1654.1892179890699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12441.9</v>
      </c>
      <c r="W136" s="5">
        <f>IF((DiscreteStatsTable[[#This Row],[RepsRequested]]&gt;1),DiscreteStatsTable[[#This Row],[HalfWidth]],DiscreteStatsTable[[#This Row],[BatchMeansHalfWidth]])</f>
        <v>8.565199482368854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67</v>
      </c>
      <c r="B137" t="s">
        <v>69</v>
      </c>
      <c r="C137">
        <v>6</v>
      </c>
      <c r="D137" t="s">
        <v>89</v>
      </c>
      <c r="E137" t="s">
        <v>82</v>
      </c>
      <c r="F137" t="s">
        <v>83</v>
      </c>
      <c r="G137">
        <v>353.87159327317403</v>
      </c>
      <c r="H137">
        <v>28.715897325001301</v>
      </c>
      <c r="I137">
        <v>82.860260434768904</v>
      </c>
      <c r="J137">
        <v>1020.97956482487</v>
      </c>
      <c r="K137">
        <v>12500</v>
      </c>
      <c r="L137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353.82556111299817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11.97332326127022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331.355585797689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373.76644480526198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82.055383523315001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1654.1892179890699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12441.9</v>
      </c>
      <c r="W137" s="5">
        <f>IF((DiscreteStatsTable[[#This Row],[RepsRequested]]&gt;1),DiscreteStatsTable[[#This Row],[HalfWidth]],DiscreteStatsTable[[#This Row],[BatchMeansHalfWidth]])</f>
        <v>8.565199482368854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67</v>
      </c>
      <c r="B138" t="s">
        <v>69</v>
      </c>
      <c r="C138">
        <v>7</v>
      </c>
      <c r="D138" t="s">
        <v>89</v>
      </c>
      <c r="E138" t="s">
        <v>82</v>
      </c>
      <c r="F138" t="s">
        <v>83</v>
      </c>
      <c r="G138">
        <v>356.01261901793299</v>
      </c>
      <c r="H138">
        <v>27.4138435711608</v>
      </c>
      <c r="I138">
        <v>90.192103649103998</v>
      </c>
      <c r="J138">
        <v>1095.3487369382301</v>
      </c>
      <c r="K138">
        <v>12474</v>
      </c>
      <c r="L138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353.82556111299817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11.97332326127022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331.355585797689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373.76644480526198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82.055383523315001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1654.1892179890699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12441.9</v>
      </c>
      <c r="W138" s="5">
        <f>IF((DiscreteStatsTable[[#This Row],[RepsRequested]]&gt;1),DiscreteStatsTable[[#This Row],[HalfWidth]],DiscreteStatsTable[[#This Row],[BatchMeansHalfWidth]])</f>
        <v>8.565199482368854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67</v>
      </c>
      <c r="B139" t="s">
        <v>69</v>
      </c>
      <c r="C139">
        <v>8</v>
      </c>
      <c r="D139" t="s">
        <v>89</v>
      </c>
      <c r="E139" t="s">
        <v>82</v>
      </c>
      <c r="F139" t="s">
        <v>83</v>
      </c>
      <c r="G139">
        <v>331.355585797689</v>
      </c>
      <c r="H139">
        <v>21.3465784817677</v>
      </c>
      <c r="I139">
        <v>84.045845785760307</v>
      </c>
      <c r="J139">
        <v>1197.1453839313899</v>
      </c>
      <c r="K139">
        <v>12289</v>
      </c>
      <c r="L139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353.82556111299817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11.97332326127022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331.355585797689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373.76644480526198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82.055383523315001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1654.1892179890699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12441.9</v>
      </c>
      <c r="W139" s="5">
        <f>IF((DiscreteStatsTable[[#This Row],[RepsRequested]]&gt;1),DiscreteStatsTable[[#This Row],[HalfWidth]],DiscreteStatsTable[[#This Row],[BatchMeansHalfWidth]])</f>
        <v>8.565199482368854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67</v>
      </c>
      <c r="B140" t="s">
        <v>69</v>
      </c>
      <c r="C140">
        <v>9</v>
      </c>
      <c r="D140" t="s">
        <v>89</v>
      </c>
      <c r="E140" t="s">
        <v>82</v>
      </c>
      <c r="F140" t="s">
        <v>83</v>
      </c>
      <c r="G140">
        <v>359.52608690435102</v>
      </c>
      <c r="H140">
        <v>31.039966490587702</v>
      </c>
      <c r="I140">
        <v>91.302033327403507</v>
      </c>
      <c r="J140">
        <v>1438.01674155923</v>
      </c>
      <c r="K140">
        <v>12550</v>
      </c>
      <c r="L140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353.82556111299817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11.97332326127022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331.355585797689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373.76644480526198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82.055383523315001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1654.1892179890699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12441.9</v>
      </c>
      <c r="W140" s="5">
        <f>IF((DiscreteStatsTable[[#This Row],[RepsRequested]]&gt;1),DiscreteStatsTable[[#This Row],[HalfWidth]],DiscreteStatsTable[[#This Row],[BatchMeansHalfWidth]])</f>
        <v>8.565199482368854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67</v>
      </c>
      <c r="B141" t="s">
        <v>69</v>
      </c>
      <c r="C141">
        <v>10</v>
      </c>
      <c r="D141" t="s">
        <v>89</v>
      </c>
      <c r="E141" t="s">
        <v>82</v>
      </c>
      <c r="F141" t="s">
        <v>83</v>
      </c>
      <c r="G141">
        <v>341.64805679727903</v>
      </c>
      <c r="H141">
        <v>50.298241706221503</v>
      </c>
      <c r="I141">
        <v>82.055383523315001</v>
      </c>
      <c r="J141">
        <v>1654.1892179890699</v>
      </c>
      <c r="K141">
        <v>12224</v>
      </c>
      <c r="L141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353.82556111299817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11.97332326127022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8.565199482368854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331.355585797689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373.76644480526198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82.055383523315001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1654.1892179890699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12441.9</v>
      </c>
      <c r="W141" s="5">
        <f>IF((DiscreteStatsTable[[#This Row],[RepsRequested]]&gt;1),DiscreteStatsTable[[#This Row],[HalfWidth]],DiscreteStatsTable[[#This Row],[BatchMeansHalfWidth]])</f>
        <v>8.565199482368854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67</v>
      </c>
      <c r="B142" t="s">
        <v>69</v>
      </c>
      <c r="C142">
        <v>1</v>
      </c>
      <c r="D142" t="s">
        <v>90</v>
      </c>
      <c r="E142" t="s">
        <v>71</v>
      </c>
      <c r="F142" t="s">
        <v>72</v>
      </c>
      <c r="G142">
        <v>48.069963792044199</v>
      </c>
      <c r="H142">
        <v>3E+20</v>
      </c>
      <c r="I142">
        <v>0</v>
      </c>
      <c r="J142">
        <v>320.242170872109</v>
      </c>
      <c r="K142">
        <v>14017</v>
      </c>
      <c r="L142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52.7379257973043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6.9179971917787419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43.495770958635802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65.916175752948106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514.11792190253595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14003.5</v>
      </c>
      <c r="W142" s="5">
        <f>IF((DiscreteStatsTable[[#This Row],[RepsRequested]]&gt;1),DiscreteStatsTable[[#This Row],[HalfWidth]],DiscreteStatsTable[[#This Row],[BatchMeansHalfWidth]])</f>
        <v>4.9488370666245878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67</v>
      </c>
      <c r="B143" t="s">
        <v>69</v>
      </c>
      <c r="C143">
        <v>2</v>
      </c>
      <c r="D143" t="s">
        <v>90</v>
      </c>
      <c r="E143" t="s">
        <v>71</v>
      </c>
      <c r="F143" t="s">
        <v>72</v>
      </c>
      <c r="G143">
        <v>50.501371525181199</v>
      </c>
      <c r="H143">
        <v>9.7330759310698802</v>
      </c>
      <c r="I143">
        <v>0</v>
      </c>
      <c r="J143">
        <v>309.757191296332</v>
      </c>
      <c r="K143">
        <v>13979</v>
      </c>
      <c r="L143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52.7379257973043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6.9179971917787419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43.495770958635802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65.916175752948106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514.11792190253595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14003.5</v>
      </c>
      <c r="W143" s="5">
        <f>IF((DiscreteStatsTable[[#This Row],[RepsRequested]]&gt;1),DiscreteStatsTable[[#This Row],[HalfWidth]],DiscreteStatsTable[[#This Row],[BatchMeansHalfWidth]])</f>
        <v>4.9488370666245878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67</v>
      </c>
      <c r="B144" t="s">
        <v>69</v>
      </c>
      <c r="C144">
        <v>3</v>
      </c>
      <c r="D144" t="s">
        <v>90</v>
      </c>
      <c r="E144" t="s">
        <v>71</v>
      </c>
      <c r="F144" t="s">
        <v>72</v>
      </c>
      <c r="G144">
        <v>61.140164693765499</v>
      </c>
      <c r="H144">
        <v>11.6413906488363</v>
      </c>
      <c r="I144">
        <v>0</v>
      </c>
      <c r="J144">
        <v>493.31646563750098</v>
      </c>
      <c r="K144">
        <v>14205</v>
      </c>
      <c r="L144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52.7379257973043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6.9179971917787419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43.495770958635802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65.916175752948106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514.11792190253595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14003.5</v>
      </c>
      <c r="W144" s="5">
        <f>IF((DiscreteStatsTable[[#This Row],[RepsRequested]]&gt;1),DiscreteStatsTable[[#This Row],[HalfWidth]],DiscreteStatsTable[[#This Row],[BatchMeansHalfWidth]])</f>
        <v>4.9488370666245878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67</v>
      </c>
      <c r="B145" t="s">
        <v>69</v>
      </c>
      <c r="C145">
        <v>4</v>
      </c>
      <c r="D145" t="s">
        <v>90</v>
      </c>
      <c r="E145" t="s">
        <v>71</v>
      </c>
      <c r="F145" t="s">
        <v>72</v>
      </c>
      <c r="G145">
        <v>49.085633811269901</v>
      </c>
      <c r="H145">
        <v>11.0448642811815</v>
      </c>
      <c r="I145">
        <v>0</v>
      </c>
      <c r="J145">
        <v>320.12780990876502</v>
      </c>
      <c r="K145">
        <v>13997</v>
      </c>
      <c r="L145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52.7379257973043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6.9179971917787419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43.495770958635802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65.916175752948106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514.11792190253595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14003.5</v>
      </c>
      <c r="W145" s="5">
        <f>IF((DiscreteStatsTable[[#This Row],[RepsRequested]]&gt;1),DiscreteStatsTable[[#This Row],[HalfWidth]],DiscreteStatsTable[[#This Row],[BatchMeansHalfWidth]])</f>
        <v>4.9488370666245878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67</v>
      </c>
      <c r="B146" t="s">
        <v>69</v>
      </c>
      <c r="C146">
        <v>5</v>
      </c>
      <c r="D146" t="s">
        <v>90</v>
      </c>
      <c r="E146" t="s">
        <v>71</v>
      </c>
      <c r="F146" t="s">
        <v>72</v>
      </c>
      <c r="G146">
        <v>65.916175752948106</v>
      </c>
      <c r="H146">
        <v>18.7900625866449</v>
      </c>
      <c r="I146">
        <v>0</v>
      </c>
      <c r="J146">
        <v>514.11792190253595</v>
      </c>
      <c r="K146">
        <v>14170</v>
      </c>
      <c r="L146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52.7379257973043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6.9179971917787419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43.495770958635802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65.916175752948106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514.11792190253595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14003.5</v>
      </c>
      <c r="W146" s="5">
        <f>IF((DiscreteStatsTable[[#This Row],[RepsRequested]]&gt;1),DiscreteStatsTable[[#This Row],[HalfWidth]],DiscreteStatsTable[[#This Row],[BatchMeansHalfWidth]])</f>
        <v>4.9488370666245878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67</v>
      </c>
      <c r="B147" t="s">
        <v>69</v>
      </c>
      <c r="C147">
        <v>6</v>
      </c>
      <c r="D147" t="s">
        <v>90</v>
      </c>
      <c r="E147" t="s">
        <v>71</v>
      </c>
      <c r="F147" t="s">
        <v>72</v>
      </c>
      <c r="G147">
        <v>52.110259335601498</v>
      </c>
      <c r="H147">
        <v>8.5028576458470297</v>
      </c>
      <c r="I147">
        <v>0</v>
      </c>
      <c r="J147">
        <v>332.20568890578602</v>
      </c>
      <c r="K147">
        <v>13958</v>
      </c>
      <c r="L147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52.7379257973043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6.9179971917787419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43.495770958635802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65.916175752948106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514.11792190253595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14003.5</v>
      </c>
      <c r="W147" s="5">
        <f>IF((DiscreteStatsTable[[#This Row],[RepsRequested]]&gt;1),DiscreteStatsTable[[#This Row],[HalfWidth]],DiscreteStatsTable[[#This Row],[BatchMeansHalfWidth]])</f>
        <v>4.9488370666245878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67</v>
      </c>
      <c r="B148" t="s">
        <v>69</v>
      </c>
      <c r="C148">
        <v>7</v>
      </c>
      <c r="D148" t="s">
        <v>90</v>
      </c>
      <c r="E148" t="s">
        <v>71</v>
      </c>
      <c r="F148" t="s">
        <v>72</v>
      </c>
      <c r="G148">
        <v>58.678790388129997</v>
      </c>
      <c r="H148">
        <v>13.169719805058699</v>
      </c>
      <c r="I148">
        <v>0</v>
      </c>
      <c r="J148">
        <v>403.01721695045097</v>
      </c>
      <c r="K148">
        <v>14112</v>
      </c>
      <c r="L148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52.7379257973043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6.9179971917787419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43.495770958635802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65.916175752948106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514.11792190253595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14003.5</v>
      </c>
      <c r="W148" s="5">
        <f>IF((DiscreteStatsTable[[#This Row],[RepsRequested]]&gt;1),DiscreteStatsTable[[#This Row],[HalfWidth]],DiscreteStatsTable[[#This Row],[BatchMeansHalfWidth]])</f>
        <v>4.9488370666245878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67</v>
      </c>
      <c r="B149" t="s">
        <v>69</v>
      </c>
      <c r="C149">
        <v>8</v>
      </c>
      <c r="D149" t="s">
        <v>90</v>
      </c>
      <c r="E149" t="s">
        <v>71</v>
      </c>
      <c r="F149" t="s">
        <v>72</v>
      </c>
      <c r="G149">
        <v>49.017101901800203</v>
      </c>
      <c r="H149">
        <v>9.4949558369674598</v>
      </c>
      <c r="I149">
        <v>0</v>
      </c>
      <c r="J149">
        <v>322.46923451418098</v>
      </c>
      <c r="K149">
        <v>13780</v>
      </c>
      <c r="L149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52.7379257973043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6.9179971917787419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43.495770958635802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65.916175752948106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514.11792190253595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14003.5</v>
      </c>
      <c r="W149" s="5">
        <f>IF((DiscreteStatsTable[[#This Row],[RepsRequested]]&gt;1),DiscreteStatsTable[[#This Row],[HalfWidth]],DiscreteStatsTable[[#This Row],[BatchMeansHalfWidth]])</f>
        <v>4.9488370666245878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67</v>
      </c>
      <c r="B150" t="s">
        <v>69</v>
      </c>
      <c r="C150">
        <v>9</v>
      </c>
      <c r="D150" t="s">
        <v>90</v>
      </c>
      <c r="E150" t="s">
        <v>71</v>
      </c>
      <c r="F150" t="s">
        <v>72</v>
      </c>
      <c r="G150">
        <v>49.364025813666601</v>
      </c>
      <c r="H150">
        <v>9.7699382972922795</v>
      </c>
      <c r="I150">
        <v>0</v>
      </c>
      <c r="J150">
        <v>291.84372402016697</v>
      </c>
      <c r="K150">
        <v>14088</v>
      </c>
      <c r="L150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52.7379257973043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6.9179971917787419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43.495770958635802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65.916175752948106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514.11792190253595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14003.5</v>
      </c>
      <c r="W150" s="5">
        <f>IF((DiscreteStatsTable[[#This Row],[RepsRequested]]&gt;1),DiscreteStatsTable[[#This Row],[HalfWidth]],DiscreteStatsTable[[#This Row],[BatchMeansHalfWidth]])</f>
        <v>4.9488370666245878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67</v>
      </c>
      <c r="B151" t="s">
        <v>69</v>
      </c>
      <c r="C151">
        <v>10</v>
      </c>
      <c r="D151" t="s">
        <v>90</v>
      </c>
      <c r="E151" t="s">
        <v>71</v>
      </c>
      <c r="F151" t="s">
        <v>72</v>
      </c>
      <c r="G151">
        <v>43.495770958635802</v>
      </c>
      <c r="H151">
        <v>7.6285591845454199</v>
      </c>
      <c r="I151">
        <v>0</v>
      </c>
      <c r="J151">
        <v>374.54917529643001</v>
      </c>
      <c r="K151">
        <v>13729</v>
      </c>
      <c r="L151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52.7379257973043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6.9179971917787419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4.9488370666245878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43.495770958635802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65.916175752948106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514.11792190253595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14003.5</v>
      </c>
      <c r="W151" s="5">
        <f>IF((DiscreteStatsTable[[#This Row],[RepsRequested]]&gt;1),DiscreteStatsTable[[#This Row],[HalfWidth]],DiscreteStatsTable[[#This Row],[BatchMeansHalfWidth]])</f>
        <v>4.9488370666245878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67</v>
      </c>
      <c r="B152" t="s">
        <v>69</v>
      </c>
      <c r="C152">
        <v>1</v>
      </c>
      <c r="D152" t="s">
        <v>91</v>
      </c>
      <c r="E152" t="s">
        <v>71</v>
      </c>
      <c r="F152" t="s">
        <v>72</v>
      </c>
      <c r="G152">
        <v>40.161858336083</v>
      </c>
      <c r="H152">
        <v>3E+20</v>
      </c>
      <c r="I152">
        <v>0</v>
      </c>
      <c r="J152">
        <v>425.61887125659302</v>
      </c>
      <c r="K152">
        <v>9254</v>
      </c>
      <c r="L152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40.258784148154987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4.241889231132923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33.696632190626602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46.257815451767698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509.78708232535399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9367.5</v>
      </c>
      <c r="W152" s="5">
        <f>IF((DiscreteStatsTable[[#This Row],[RepsRequested]]&gt;1),DiscreteStatsTable[[#This Row],[HalfWidth]],DiscreteStatsTable[[#This Row],[BatchMeansHalfWidth]])</f>
        <v>3.0344647558535294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67</v>
      </c>
      <c r="B153" t="s">
        <v>69</v>
      </c>
      <c r="C153">
        <v>2</v>
      </c>
      <c r="D153" t="s">
        <v>91</v>
      </c>
      <c r="E153" t="s">
        <v>71</v>
      </c>
      <c r="F153" t="s">
        <v>72</v>
      </c>
      <c r="G153">
        <v>40.359182808923897</v>
      </c>
      <c r="H153">
        <v>8.2134503218746797</v>
      </c>
      <c r="I153">
        <v>0</v>
      </c>
      <c r="J153">
        <v>296.36078363298998</v>
      </c>
      <c r="K153">
        <v>9437</v>
      </c>
      <c r="L153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40.258784148154987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4.241889231132923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33.696632190626602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46.257815451767698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509.78708232535399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9367.5</v>
      </c>
      <c r="W153" s="5">
        <f>IF((DiscreteStatsTable[[#This Row],[RepsRequested]]&gt;1),DiscreteStatsTable[[#This Row],[HalfWidth]],DiscreteStatsTable[[#This Row],[BatchMeansHalfWidth]])</f>
        <v>3.0344647558535294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67</v>
      </c>
      <c r="B154" t="s">
        <v>69</v>
      </c>
      <c r="C154">
        <v>3</v>
      </c>
      <c r="D154" t="s">
        <v>91</v>
      </c>
      <c r="E154" t="s">
        <v>71</v>
      </c>
      <c r="F154" t="s">
        <v>72</v>
      </c>
      <c r="G154">
        <v>36.788270123744198</v>
      </c>
      <c r="H154">
        <v>4.6841316924013796</v>
      </c>
      <c r="I154">
        <v>0</v>
      </c>
      <c r="J154">
        <v>249.224249026709</v>
      </c>
      <c r="K154">
        <v>9496</v>
      </c>
      <c r="L154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40.258784148154987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4.241889231132923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33.696632190626602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46.257815451767698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509.78708232535399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9367.5</v>
      </c>
      <c r="W154" s="5">
        <f>IF((DiscreteStatsTable[[#This Row],[RepsRequested]]&gt;1),DiscreteStatsTable[[#This Row],[HalfWidth]],DiscreteStatsTable[[#This Row],[BatchMeansHalfWidth]])</f>
        <v>3.0344647558535294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67</v>
      </c>
      <c r="B155" t="s">
        <v>69</v>
      </c>
      <c r="C155">
        <v>4</v>
      </c>
      <c r="D155" t="s">
        <v>91</v>
      </c>
      <c r="E155" t="s">
        <v>71</v>
      </c>
      <c r="F155" t="s">
        <v>72</v>
      </c>
      <c r="G155">
        <v>43.255389147758699</v>
      </c>
      <c r="H155">
        <v>7.0019244417191802</v>
      </c>
      <c r="I155">
        <v>0</v>
      </c>
      <c r="J155">
        <v>430.36369029829098</v>
      </c>
      <c r="K155">
        <v>9520</v>
      </c>
      <c r="L155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40.258784148154987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4.241889231132923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33.696632190626602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46.257815451767698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509.78708232535399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9367.5</v>
      </c>
      <c r="W155" s="5">
        <f>IF((DiscreteStatsTable[[#This Row],[RepsRequested]]&gt;1),DiscreteStatsTable[[#This Row],[HalfWidth]],DiscreteStatsTable[[#This Row],[BatchMeansHalfWidth]])</f>
        <v>3.0344647558535294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67</v>
      </c>
      <c r="B156" t="s">
        <v>69</v>
      </c>
      <c r="C156">
        <v>5</v>
      </c>
      <c r="D156" t="s">
        <v>91</v>
      </c>
      <c r="E156" t="s">
        <v>71</v>
      </c>
      <c r="F156" t="s">
        <v>72</v>
      </c>
      <c r="G156">
        <v>33.696632190626602</v>
      </c>
      <c r="H156">
        <v>4.1394478397408596</v>
      </c>
      <c r="I156">
        <v>0</v>
      </c>
      <c r="J156">
        <v>337.54866516337597</v>
      </c>
      <c r="K156">
        <v>9192</v>
      </c>
      <c r="L156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40.258784148154987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4.241889231132923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33.696632190626602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46.257815451767698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509.78708232535399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9367.5</v>
      </c>
      <c r="W156" s="5">
        <f>IF((DiscreteStatsTable[[#This Row],[RepsRequested]]&gt;1),DiscreteStatsTable[[#This Row],[HalfWidth]],DiscreteStatsTable[[#This Row],[BatchMeansHalfWidth]])</f>
        <v>3.0344647558535294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67</v>
      </c>
      <c r="B157" t="s">
        <v>69</v>
      </c>
      <c r="C157">
        <v>6</v>
      </c>
      <c r="D157" t="s">
        <v>91</v>
      </c>
      <c r="E157" t="s">
        <v>71</v>
      </c>
      <c r="F157" t="s">
        <v>72</v>
      </c>
      <c r="G157">
        <v>45.6635730425958</v>
      </c>
      <c r="H157">
        <v>7.4314895291943701</v>
      </c>
      <c r="I157">
        <v>0</v>
      </c>
      <c r="J157">
        <v>348.67404400469201</v>
      </c>
      <c r="K157">
        <v>9577</v>
      </c>
      <c r="L157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40.258784148154987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4.241889231132923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33.696632190626602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46.257815451767698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509.78708232535399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9367.5</v>
      </c>
      <c r="W157" s="5">
        <f>IF((DiscreteStatsTable[[#This Row],[RepsRequested]]&gt;1),DiscreteStatsTable[[#This Row],[HalfWidth]],DiscreteStatsTable[[#This Row],[BatchMeansHalfWidth]])</f>
        <v>3.0344647558535294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67</v>
      </c>
      <c r="B158" t="s">
        <v>69</v>
      </c>
      <c r="C158">
        <v>7</v>
      </c>
      <c r="D158" t="s">
        <v>91</v>
      </c>
      <c r="E158" t="s">
        <v>71</v>
      </c>
      <c r="F158" t="s">
        <v>72</v>
      </c>
      <c r="G158">
        <v>36.8792630675892</v>
      </c>
      <c r="H158">
        <v>5.2518166069236196</v>
      </c>
      <c r="I158">
        <v>0</v>
      </c>
      <c r="J158">
        <v>276.98333446317702</v>
      </c>
      <c r="K158">
        <v>9360</v>
      </c>
      <c r="L158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40.258784148154987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4.241889231132923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33.696632190626602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46.257815451767698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509.78708232535399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9367.5</v>
      </c>
      <c r="W158" s="5">
        <f>IF((DiscreteStatsTable[[#This Row],[RepsRequested]]&gt;1),DiscreteStatsTable[[#This Row],[HalfWidth]],DiscreteStatsTable[[#This Row],[BatchMeansHalfWidth]])</f>
        <v>3.0344647558535294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67</v>
      </c>
      <c r="B159" t="s">
        <v>69</v>
      </c>
      <c r="C159">
        <v>8</v>
      </c>
      <c r="D159" t="s">
        <v>91</v>
      </c>
      <c r="E159" t="s">
        <v>71</v>
      </c>
      <c r="F159" t="s">
        <v>72</v>
      </c>
      <c r="G159">
        <v>36.5439094996565</v>
      </c>
      <c r="H159">
        <v>5.4616062694844496</v>
      </c>
      <c r="I159">
        <v>0</v>
      </c>
      <c r="J159">
        <v>346.33120229117401</v>
      </c>
      <c r="K159">
        <v>9254</v>
      </c>
      <c r="L159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40.258784148154987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4.241889231132923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33.696632190626602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46.257815451767698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509.78708232535399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9367.5</v>
      </c>
      <c r="W159" s="5">
        <f>IF((DiscreteStatsTable[[#This Row],[RepsRequested]]&gt;1),DiscreteStatsTable[[#This Row],[HalfWidth]],DiscreteStatsTable[[#This Row],[BatchMeansHalfWidth]])</f>
        <v>3.0344647558535294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67</v>
      </c>
      <c r="B160" t="s">
        <v>69</v>
      </c>
      <c r="C160">
        <v>9</v>
      </c>
      <c r="D160" t="s">
        <v>91</v>
      </c>
      <c r="E160" t="s">
        <v>71</v>
      </c>
      <c r="F160" t="s">
        <v>72</v>
      </c>
      <c r="G160">
        <v>46.257815451767698</v>
      </c>
      <c r="H160">
        <v>10.914217369186099</v>
      </c>
      <c r="I160">
        <v>0</v>
      </c>
      <c r="J160">
        <v>379.231852158999</v>
      </c>
      <c r="K160">
        <v>9390</v>
      </c>
      <c r="L160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40.258784148154987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4.241889231132923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33.696632190626602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46.257815451767698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509.78708232535399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9367.5</v>
      </c>
      <c r="W160" s="5">
        <f>IF((DiscreteStatsTable[[#This Row],[RepsRequested]]&gt;1),DiscreteStatsTable[[#This Row],[HalfWidth]],DiscreteStatsTable[[#This Row],[BatchMeansHalfWidth]])</f>
        <v>3.0344647558535294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67</v>
      </c>
      <c r="B161" t="s">
        <v>69</v>
      </c>
      <c r="C161">
        <v>10</v>
      </c>
      <c r="D161" t="s">
        <v>91</v>
      </c>
      <c r="E161" t="s">
        <v>71</v>
      </c>
      <c r="F161" t="s">
        <v>72</v>
      </c>
      <c r="G161">
        <v>42.9819478128043</v>
      </c>
      <c r="H161">
        <v>16.457904470185401</v>
      </c>
      <c r="I161">
        <v>0</v>
      </c>
      <c r="J161">
        <v>509.78708232535399</v>
      </c>
      <c r="K161">
        <v>9195</v>
      </c>
      <c r="L161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40.258784148154987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4.241889231132923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3.0344647558535294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33.696632190626602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46.257815451767698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509.78708232535399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9367.5</v>
      </c>
      <c r="W161" s="5">
        <f>IF((DiscreteStatsTable[[#This Row],[RepsRequested]]&gt;1),DiscreteStatsTable[[#This Row],[HalfWidth]],DiscreteStatsTable[[#This Row],[BatchMeansHalfWidth]])</f>
        <v>3.0344647558535294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67</v>
      </c>
      <c r="B162" t="s">
        <v>69</v>
      </c>
      <c r="C162">
        <v>1</v>
      </c>
      <c r="D162" t="s">
        <v>92</v>
      </c>
      <c r="E162" t="s">
        <v>71</v>
      </c>
      <c r="F162" t="s">
        <v>72</v>
      </c>
      <c r="G162">
        <v>53.684497189183404</v>
      </c>
      <c r="H162">
        <v>9.7291599902386103</v>
      </c>
      <c r="I162">
        <v>0</v>
      </c>
      <c r="J162">
        <v>403.67661667427501</v>
      </c>
      <c r="K162">
        <v>12462</v>
      </c>
      <c r="L162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51.030840724143573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3.5546634027466997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44.162725321833697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54.683770930027002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477.98431457352098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12449.2</v>
      </c>
      <c r="W162" s="5">
        <f>IF((DiscreteStatsTable[[#This Row],[RepsRequested]]&gt;1),DiscreteStatsTable[[#This Row],[HalfWidth]],DiscreteStatsTable[[#This Row],[BatchMeansHalfWidth]])</f>
        <v>2.5428530135560337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67</v>
      </c>
      <c r="B163" t="s">
        <v>69</v>
      </c>
      <c r="C163">
        <v>2</v>
      </c>
      <c r="D163" t="s">
        <v>92</v>
      </c>
      <c r="E163" t="s">
        <v>71</v>
      </c>
      <c r="F163" t="s">
        <v>72</v>
      </c>
      <c r="G163">
        <v>51.502584345467199</v>
      </c>
      <c r="H163">
        <v>9.9467744318858404</v>
      </c>
      <c r="I163">
        <v>0</v>
      </c>
      <c r="J163">
        <v>324.85596628941101</v>
      </c>
      <c r="K163">
        <v>12479</v>
      </c>
      <c r="L163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51.030840724143573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3.5546634027466997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44.162725321833697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54.683770930027002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477.98431457352098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12449.2</v>
      </c>
      <c r="W163" s="5">
        <f>IF((DiscreteStatsTable[[#This Row],[RepsRequested]]&gt;1),DiscreteStatsTable[[#This Row],[HalfWidth]],DiscreteStatsTable[[#This Row],[BatchMeansHalfWidth]])</f>
        <v>2.5428530135560337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67</v>
      </c>
      <c r="B164" t="s">
        <v>69</v>
      </c>
      <c r="C164">
        <v>3</v>
      </c>
      <c r="D164" t="s">
        <v>92</v>
      </c>
      <c r="E164" t="s">
        <v>71</v>
      </c>
      <c r="F164" t="s">
        <v>72</v>
      </c>
      <c r="G164">
        <v>54.325123253629499</v>
      </c>
      <c r="H164">
        <v>10.3422770244663</v>
      </c>
      <c r="I164">
        <v>0</v>
      </c>
      <c r="J164">
        <v>355.80749085613201</v>
      </c>
      <c r="K164">
        <v>12589</v>
      </c>
      <c r="L164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51.030840724143573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3.5546634027466997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44.162725321833697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54.683770930027002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477.98431457352098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12449.2</v>
      </c>
      <c r="W164" s="5">
        <f>IF((DiscreteStatsTable[[#This Row],[RepsRequested]]&gt;1),DiscreteStatsTable[[#This Row],[HalfWidth]],DiscreteStatsTable[[#This Row],[BatchMeansHalfWidth]])</f>
        <v>2.5428530135560337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67</v>
      </c>
      <c r="B165" t="s">
        <v>69</v>
      </c>
      <c r="C165">
        <v>4</v>
      </c>
      <c r="D165" t="s">
        <v>92</v>
      </c>
      <c r="E165" t="s">
        <v>71</v>
      </c>
      <c r="F165" t="s">
        <v>72</v>
      </c>
      <c r="G165">
        <v>46.441670203951603</v>
      </c>
      <c r="H165">
        <v>8.9379290368007904</v>
      </c>
      <c r="I165">
        <v>0</v>
      </c>
      <c r="J165">
        <v>318.91610314042202</v>
      </c>
      <c r="K165">
        <v>12450</v>
      </c>
      <c r="L165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51.030840724143573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3.5546634027466997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44.162725321833697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54.683770930027002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477.98431457352098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12449.2</v>
      </c>
      <c r="W165" s="5">
        <f>IF((DiscreteStatsTable[[#This Row],[RepsRequested]]&gt;1),DiscreteStatsTable[[#This Row],[HalfWidth]],DiscreteStatsTable[[#This Row],[BatchMeansHalfWidth]])</f>
        <v>2.5428530135560337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67</v>
      </c>
      <c r="B166" t="s">
        <v>69</v>
      </c>
      <c r="C166">
        <v>5</v>
      </c>
      <c r="D166" t="s">
        <v>92</v>
      </c>
      <c r="E166" t="s">
        <v>71</v>
      </c>
      <c r="F166" t="s">
        <v>72</v>
      </c>
      <c r="G166">
        <v>54.683770930027002</v>
      </c>
      <c r="H166">
        <v>10.8691849702124</v>
      </c>
      <c r="I166">
        <v>0</v>
      </c>
      <c r="J166">
        <v>395.93803644589201</v>
      </c>
      <c r="K166">
        <v>12439</v>
      </c>
      <c r="L166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51.030840724143573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3.5546634027466997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44.162725321833697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54.683770930027002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477.98431457352098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12449.2</v>
      </c>
      <c r="W166" s="5">
        <f>IF((DiscreteStatsTable[[#This Row],[RepsRequested]]&gt;1),DiscreteStatsTable[[#This Row],[HalfWidth]],DiscreteStatsTable[[#This Row],[BatchMeansHalfWidth]])</f>
        <v>2.5428530135560337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67</v>
      </c>
      <c r="B167" t="s">
        <v>69</v>
      </c>
      <c r="C167">
        <v>6</v>
      </c>
      <c r="D167" t="s">
        <v>92</v>
      </c>
      <c r="E167" t="s">
        <v>71</v>
      </c>
      <c r="F167" t="s">
        <v>72</v>
      </c>
      <c r="G167">
        <v>49.061217338184903</v>
      </c>
      <c r="H167">
        <v>8.9488207981760404</v>
      </c>
      <c r="I167">
        <v>0</v>
      </c>
      <c r="J167">
        <v>362.04924056311597</v>
      </c>
      <c r="K167">
        <v>12503</v>
      </c>
      <c r="L167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51.030840724143573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3.5546634027466997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44.162725321833697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54.683770930027002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477.98431457352098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12449.2</v>
      </c>
      <c r="W167" s="5">
        <f>IF((DiscreteStatsTable[[#This Row],[RepsRequested]]&gt;1),DiscreteStatsTable[[#This Row],[HalfWidth]],DiscreteStatsTable[[#This Row],[BatchMeansHalfWidth]])</f>
        <v>2.5428530135560337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67</v>
      </c>
      <c r="B168" t="s">
        <v>69</v>
      </c>
      <c r="C168">
        <v>7</v>
      </c>
      <c r="D168" t="s">
        <v>92</v>
      </c>
      <c r="E168" t="s">
        <v>71</v>
      </c>
      <c r="F168" t="s">
        <v>72</v>
      </c>
      <c r="G168">
        <v>53.143393892346602</v>
      </c>
      <c r="H168">
        <v>10.5425232925634</v>
      </c>
      <c r="I168">
        <v>0</v>
      </c>
      <c r="J168">
        <v>477.98431457352098</v>
      </c>
      <c r="K168">
        <v>12481</v>
      </c>
      <c r="L168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51.030840724143573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3.5546634027466997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44.162725321833697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54.683770930027002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477.98431457352098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12449.2</v>
      </c>
      <c r="W168" s="5">
        <f>IF((DiscreteStatsTable[[#This Row],[RepsRequested]]&gt;1),DiscreteStatsTable[[#This Row],[HalfWidth]],DiscreteStatsTable[[#This Row],[BatchMeansHalfWidth]])</f>
        <v>2.5428530135560337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67</v>
      </c>
      <c r="B169" t="s">
        <v>69</v>
      </c>
      <c r="C169">
        <v>8</v>
      </c>
      <c r="D169" t="s">
        <v>92</v>
      </c>
      <c r="E169" t="s">
        <v>71</v>
      </c>
      <c r="F169" t="s">
        <v>72</v>
      </c>
      <c r="G169">
        <v>44.162725321833697</v>
      </c>
      <c r="H169">
        <v>7.0861823465645299</v>
      </c>
      <c r="I169">
        <v>0</v>
      </c>
      <c r="J169">
        <v>400.89207025043999</v>
      </c>
      <c r="K169">
        <v>12300</v>
      </c>
      <c r="L169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51.030840724143573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3.5546634027466997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44.162725321833697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54.683770930027002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477.98431457352098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12449.2</v>
      </c>
      <c r="W169" s="5">
        <f>IF((DiscreteStatsTable[[#This Row],[RepsRequested]]&gt;1),DiscreteStatsTable[[#This Row],[HalfWidth]],DiscreteStatsTable[[#This Row],[BatchMeansHalfWidth]])</f>
        <v>2.5428530135560337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67</v>
      </c>
      <c r="B170" t="s">
        <v>69</v>
      </c>
      <c r="C170">
        <v>9</v>
      </c>
      <c r="D170" t="s">
        <v>92</v>
      </c>
      <c r="E170" t="s">
        <v>71</v>
      </c>
      <c r="F170" t="s">
        <v>72</v>
      </c>
      <c r="G170">
        <v>53.219401823506601</v>
      </c>
      <c r="H170">
        <v>12.3615775576442</v>
      </c>
      <c r="I170">
        <v>0</v>
      </c>
      <c r="J170">
        <v>444.18521191657101</v>
      </c>
      <c r="K170">
        <v>12558</v>
      </c>
      <c r="L170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51.030840724143573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3.5546634027466997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44.162725321833697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54.683770930027002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477.98431457352098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12449.2</v>
      </c>
      <c r="W170" s="5">
        <f>IF((DiscreteStatsTable[[#This Row],[RepsRequested]]&gt;1),DiscreteStatsTable[[#This Row],[HalfWidth]],DiscreteStatsTable[[#This Row],[BatchMeansHalfWidth]])</f>
        <v>2.5428530135560337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67</v>
      </c>
      <c r="B171" t="s">
        <v>69</v>
      </c>
      <c r="C171">
        <v>10</v>
      </c>
      <c r="D171" t="s">
        <v>92</v>
      </c>
      <c r="E171" t="s">
        <v>71</v>
      </c>
      <c r="F171" t="s">
        <v>72</v>
      </c>
      <c r="G171">
        <v>50.0840229433053</v>
      </c>
      <c r="H171">
        <v>19.6088298635744</v>
      </c>
      <c r="I171">
        <v>0</v>
      </c>
      <c r="J171">
        <v>460.34426550147299</v>
      </c>
      <c r="K171">
        <v>12231</v>
      </c>
      <c r="L171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51.030840724143573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3.5546634027466997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2.5428530135560337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44.162725321833697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54.683770930027002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477.98431457352098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12449.2</v>
      </c>
      <c r="W171" s="5">
        <f>IF((DiscreteStatsTable[[#This Row],[RepsRequested]]&gt;1),DiscreteStatsTable[[#This Row],[HalfWidth]],DiscreteStatsTable[[#This Row],[BatchMeansHalfWidth]])</f>
        <v>2.5428530135560337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 s="5">
        <f>IF(DiscreteStatsTable[[#This Row],[RepsRequested]]=DiscreteStatsTable[[#This Row],[RepsWithStatObserved]],1,0)</f>
        <v>1</v>
      </c>
    </row>
  </sheetData>
  <phoneticPr fontId="2" type="noConversion"/>
  <conditionalFormatting sqref="H2:H171 Q2:Q171">
    <cfRule type="expression" dxfId="27" priority="23">
      <formula>H2=200000000000000000000</formula>
    </cfRule>
  </conditionalFormatting>
  <conditionalFormatting sqref="H2:H171">
    <cfRule type="expression" dxfId="26" priority="21">
      <formula>H2=300000000000000000000</formula>
    </cfRule>
  </conditionalFormatting>
  <conditionalFormatting sqref="L2:Y171">
    <cfRule type="expression" dxfId="25" priority="19">
      <formula>MOD(ROW(),2)=0</formula>
    </cfRule>
  </conditionalFormatting>
  <conditionalFormatting sqref="Y2:Y171">
    <cfRule type="expression" dxfId="24" priority="14">
      <formula>Y2=0</formula>
    </cfRule>
    <cfRule type="expression" dxfId="23" priority="16">
      <formula>Y2=1</formula>
    </cfRule>
  </conditionalFormatting>
  <conditionalFormatting sqref="Y3:Y171">
    <cfRule type="expression" dxfId="22" priority="15">
      <formula>Y3=1</formula>
    </cfRule>
  </conditionalFormatting>
  <conditionalFormatting sqref="W2:W17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171 W2:W17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91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44.42578125" bestFit="1" customWidth="1"/>
    <col min="5" max="5" width="23.5703125" bestFit="1" customWidth="1"/>
    <col min="6" max="6" width="11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93</v>
      </c>
      <c r="F2" t="s">
        <v>72</v>
      </c>
      <c r="G2">
        <v>2.0211028917419802</v>
      </c>
      <c r="H2">
        <v>0.338120297242403</v>
      </c>
      <c r="I2">
        <v>0</v>
      </c>
      <c r="J2">
        <v>23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1.76226441002947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2.3188373788375798</v>
      </c>
      <c r="U2">
        <f>IF((ContinuousStatsTable[[#This Row],[RepsRequested]]&gt;1),ContinuousStatsTable[[#This Row],[HalfWidth]],ContinuousStatsTable[[#This Row],[BatchMeansHalfWidth]])</f>
        <v>0.12049041629004678</v>
      </c>
    </row>
    <row r="3" spans="1:21" x14ac:dyDescent="0.25">
      <c r="A3" t="s">
        <v>67</v>
      </c>
      <c r="B3" t="s">
        <v>69</v>
      </c>
      <c r="C3">
        <v>1</v>
      </c>
      <c r="D3" t="s">
        <v>94</v>
      </c>
      <c r="E3" t="s">
        <v>95</v>
      </c>
      <c r="F3" t="s">
        <v>96</v>
      </c>
      <c r="G3">
        <v>0.75941584946369001</v>
      </c>
      <c r="H3">
        <v>2.0359426678004399E-2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0.73578099184835299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0.76817992377286104</v>
      </c>
      <c r="U3">
        <f>IF((ContinuousStatsTable[[#This Row],[RepsRequested]]&gt;1),ContinuousStatsTable[[#This Row],[HalfWidth]],ContinuousStatsTable[[#This Row],[BatchMeansHalfWidth]])</f>
        <v>6.6348533752732253E-3</v>
      </c>
    </row>
    <row r="4" spans="1:21" x14ac:dyDescent="0.25">
      <c r="A4" t="s">
        <v>67</v>
      </c>
      <c r="B4" t="s">
        <v>69</v>
      </c>
      <c r="C4">
        <v>1</v>
      </c>
      <c r="D4" t="s">
        <v>94</v>
      </c>
      <c r="E4" t="s">
        <v>97</v>
      </c>
      <c r="F4" t="s">
        <v>96</v>
      </c>
      <c r="G4">
        <v>1.51883169892738</v>
      </c>
      <c r="H4">
        <v>4.0718853356008902E-2</v>
      </c>
      <c r="I4">
        <v>0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1.47156198369671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1.5363598475457201</v>
      </c>
      <c r="U4">
        <f>IF((ContinuousStatsTable[[#This Row],[RepsRequested]]&gt;1),ContinuousStatsTable[[#This Row],[HalfWidth]],ContinuousStatsTable[[#This Row],[BatchMeansHalfWidth]])</f>
        <v>1.3269706750545264E-2</v>
      </c>
    </row>
    <row r="5" spans="1:21" x14ac:dyDescent="0.25">
      <c r="A5" t="s">
        <v>67</v>
      </c>
      <c r="B5" t="s">
        <v>69</v>
      </c>
      <c r="C5">
        <v>1</v>
      </c>
      <c r="D5" t="s">
        <v>94</v>
      </c>
      <c r="E5" t="s">
        <v>98</v>
      </c>
      <c r="F5" t="s">
        <v>96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67</v>
      </c>
      <c r="B6" t="s">
        <v>69</v>
      </c>
      <c r="C6">
        <v>1</v>
      </c>
      <c r="D6" t="s">
        <v>99</v>
      </c>
      <c r="E6" t="s">
        <v>95</v>
      </c>
      <c r="F6" t="s">
        <v>96</v>
      </c>
      <c r="G6">
        <v>0.75525335881657396</v>
      </c>
      <c r="H6">
        <v>1.9265279145478799E-2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0.73777590022083495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0.76666045600624</v>
      </c>
      <c r="U6">
        <f>IF((ContinuousStatsTable[[#This Row],[RepsRequested]]&gt;1),ContinuousStatsTable[[#This Row],[HalfWidth]],ContinuousStatsTable[[#This Row],[BatchMeansHalfWidth]])</f>
        <v>6.5760437266769349E-3</v>
      </c>
    </row>
    <row r="7" spans="1:21" x14ac:dyDescent="0.25">
      <c r="A7" t="s">
        <v>67</v>
      </c>
      <c r="B7" t="s">
        <v>69</v>
      </c>
      <c r="C7">
        <v>1</v>
      </c>
      <c r="D7" t="s">
        <v>99</v>
      </c>
      <c r="E7" t="s">
        <v>97</v>
      </c>
      <c r="F7" t="s">
        <v>96</v>
      </c>
      <c r="G7">
        <v>0.75525335881657396</v>
      </c>
      <c r="H7">
        <v>1.9265279145478799E-2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0.73777590022083495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0.76666045600624</v>
      </c>
      <c r="U7">
        <f>IF((ContinuousStatsTable[[#This Row],[RepsRequested]]&gt;1),ContinuousStatsTable[[#This Row],[HalfWidth]],ContinuousStatsTable[[#This Row],[BatchMeansHalfWidth]])</f>
        <v>6.5760437266769349E-3</v>
      </c>
    </row>
    <row r="8" spans="1:21" x14ac:dyDescent="0.25">
      <c r="A8" t="s">
        <v>67</v>
      </c>
      <c r="B8" t="s">
        <v>69</v>
      </c>
      <c r="C8">
        <v>1</v>
      </c>
      <c r="D8" t="s">
        <v>99</v>
      </c>
      <c r="E8" t="s">
        <v>98</v>
      </c>
      <c r="F8" t="s">
        <v>96</v>
      </c>
      <c r="G8">
        <v>1</v>
      </c>
      <c r="H8">
        <v>2E+20</v>
      </c>
      <c r="I8">
        <v>1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25">
      <c r="A9" t="s">
        <v>67</v>
      </c>
      <c r="B9" t="s">
        <v>69</v>
      </c>
      <c r="C9">
        <v>1</v>
      </c>
      <c r="D9" t="s">
        <v>100</v>
      </c>
      <c r="E9" t="s">
        <v>95</v>
      </c>
      <c r="F9" t="s">
        <v>96</v>
      </c>
      <c r="G9">
        <v>0.76357834011080805</v>
      </c>
      <c r="H9">
        <v>2.2356506484216599E-2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0.73378608347586405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0.76969939153947697</v>
      </c>
      <c r="U9">
        <f>IF((ContinuousStatsTable[[#This Row],[RepsRequested]]&gt;1),ContinuousStatsTable[[#This Row],[HalfWidth]],ContinuousStatsTable[[#This Row],[BatchMeansHalfWidth]])</f>
        <v>7.298068329198576E-3</v>
      </c>
    </row>
    <row r="10" spans="1:21" x14ac:dyDescent="0.25">
      <c r="A10" t="s">
        <v>67</v>
      </c>
      <c r="B10" t="s">
        <v>69</v>
      </c>
      <c r="C10">
        <v>1</v>
      </c>
      <c r="D10" t="s">
        <v>100</v>
      </c>
      <c r="E10" t="s">
        <v>97</v>
      </c>
      <c r="F10" t="s">
        <v>96</v>
      </c>
      <c r="G10">
        <v>0.76357834011080805</v>
      </c>
      <c r="H10">
        <v>2.2356506484216599E-2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0.73378608347586405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0.76969939153947697</v>
      </c>
      <c r="U10">
        <f>IF((ContinuousStatsTable[[#This Row],[RepsRequested]]&gt;1),ContinuousStatsTable[[#This Row],[HalfWidth]],ContinuousStatsTable[[#This Row],[BatchMeansHalfWidth]])</f>
        <v>7.298068329198576E-3</v>
      </c>
    </row>
    <row r="11" spans="1:21" x14ac:dyDescent="0.25">
      <c r="A11" t="s">
        <v>67</v>
      </c>
      <c r="B11" t="s">
        <v>69</v>
      </c>
      <c r="C11">
        <v>1</v>
      </c>
      <c r="D11" t="s">
        <v>100</v>
      </c>
      <c r="E11" t="s">
        <v>98</v>
      </c>
      <c r="F11" t="s">
        <v>96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25">
      <c r="A12" t="s">
        <v>67</v>
      </c>
      <c r="B12" t="s">
        <v>69</v>
      </c>
      <c r="C12">
        <v>1</v>
      </c>
      <c r="D12" t="s">
        <v>73</v>
      </c>
      <c r="E12" t="s">
        <v>101</v>
      </c>
      <c r="F12" t="s">
        <v>75</v>
      </c>
      <c r="G12">
        <v>17.647065796092701</v>
      </c>
      <c r="H12">
        <v>1.5775703490400199</v>
      </c>
      <c r="I12">
        <v>0</v>
      </c>
      <c r="J12">
        <v>48</v>
      </c>
      <c r="K12">
        <v>12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16.327634071208799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18.8479471560706</v>
      </c>
      <c r="U12">
        <f>IF((ContinuousStatsTable[[#This Row],[RepsRequested]]&gt;1),ContinuousStatsTable[[#This Row],[HalfWidth]],ContinuousStatsTable[[#This Row],[BatchMeansHalfWidth]])</f>
        <v>0.51828581657665529</v>
      </c>
    </row>
    <row r="13" spans="1:21" x14ac:dyDescent="0.25">
      <c r="A13" t="s">
        <v>67</v>
      </c>
      <c r="B13" t="s">
        <v>69</v>
      </c>
      <c r="C13">
        <v>1</v>
      </c>
      <c r="D13" t="s">
        <v>84</v>
      </c>
      <c r="E13" t="s">
        <v>93</v>
      </c>
      <c r="F13" t="s">
        <v>72</v>
      </c>
      <c r="G13">
        <v>1.32982099519163</v>
      </c>
      <c r="H13">
        <v>3E+20</v>
      </c>
      <c r="I13">
        <v>0</v>
      </c>
      <c r="J13">
        <v>14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0.99579270827195998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1.40699442999762</v>
      </c>
      <c r="U13">
        <f>IF((ContinuousStatsTable[[#This Row],[RepsRequested]]&gt;1),ContinuousStatsTable[[#This Row],[HalfWidth]],ContinuousStatsTable[[#This Row],[BatchMeansHalfWidth]])</f>
        <v>9.4525954407496268E-2</v>
      </c>
    </row>
    <row r="14" spans="1:21" x14ac:dyDescent="0.25">
      <c r="A14" t="s">
        <v>67</v>
      </c>
      <c r="B14" t="s">
        <v>69</v>
      </c>
      <c r="C14">
        <v>1</v>
      </c>
      <c r="D14" t="s">
        <v>102</v>
      </c>
      <c r="E14" t="s">
        <v>95</v>
      </c>
      <c r="F14" t="s">
        <v>96</v>
      </c>
      <c r="G14">
        <v>0.86735749968503995</v>
      </c>
      <c r="H14">
        <v>1.35805330603368E-2</v>
      </c>
      <c r="I14">
        <v>0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0.85300206766602205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0.87632698102425799</v>
      </c>
      <c r="U14">
        <f>IF((ContinuousStatsTable[[#This Row],[RepsRequested]]&gt;1),ContinuousStatsTable[[#This Row],[HalfWidth]],ContinuousStatsTable[[#This Row],[BatchMeansHalfWidth]])</f>
        <v>5.2410393061669046E-3</v>
      </c>
    </row>
    <row r="15" spans="1:21" x14ac:dyDescent="0.25">
      <c r="A15" t="s">
        <v>67</v>
      </c>
      <c r="B15" t="s">
        <v>69</v>
      </c>
      <c r="C15">
        <v>1</v>
      </c>
      <c r="D15" t="s">
        <v>102</v>
      </c>
      <c r="E15" t="s">
        <v>97</v>
      </c>
      <c r="F15" t="s">
        <v>96</v>
      </c>
      <c r="G15">
        <v>0.86735749968503995</v>
      </c>
      <c r="H15">
        <v>1.35805330603368E-2</v>
      </c>
      <c r="I15">
        <v>0</v>
      </c>
      <c r="J15">
        <v>1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0.85300206766602205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0.87632698102425799</v>
      </c>
      <c r="U15">
        <f>IF((ContinuousStatsTable[[#This Row],[RepsRequested]]&gt;1),ContinuousStatsTable[[#This Row],[HalfWidth]],ContinuousStatsTable[[#This Row],[BatchMeansHalfWidth]])</f>
        <v>5.2410393061669046E-3</v>
      </c>
    </row>
    <row r="16" spans="1:21" x14ac:dyDescent="0.25">
      <c r="A16" t="s">
        <v>67</v>
      </c>
      <c r="B16" t="s">
        <v>69</v>
      </c>
      <c r="C16">
        <v>1</v>
      </c>
      <c r="D16" t="s">
        <v>102</v>
      </c>
      <c r="E16" t="s">
        <v>98</v>
      </c>
      <c r="F16" t="s">
        <v>96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>
        <f>IF((ContinuousStatsTable[[#This Row],[RepsRequested]]&gt;1),ContinuousStatsTable[[#This Row],[HalfWidth]],ContinuousStatsTable[[#This Row],[BatchMeansHalfWidth]])</f>
        <v>0</v>
      </c>
    </row>
    <row r="17" spans="1:21" x14ac:dyDescent="0.25">
      <c r="A17" t="s">
        <v>67</v>
      </c>
      <c r="B17" t="s">
        <v>69</v>
      </c>
      <c r="C17">
        <v>1</v>
      </c>
      <c r="D17" t="s">
        <v>103</v>
      </c>
      <c r="E17" t="s">
        <v>95</v>
      </c>
      <c r="F17" t="s">
        <v>96</v>
      </c>
      <c r="G17">
        <v>0.86783609808824702</v>
      </c>
      <c r="H17">
        <v>1.44483638969191E-2</v>
      </c>
      <c r="I17">
        <v>0</v>
      </c>
      <c r="J17">
        <v>1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0.85267322894137698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0.87300868153341904</v>
      </c>
      <c r="U17">
        <f>IF((ContinuousStatsTable[[#This Row],[RepsRequested]]&gt;1),ContinuousStatsTable[[#This Row],[HalfWidth]],ContinuousStatsTable[[#This Row],[BatchMeansHalfWidth]])</f>
        <v>5.1492506011230968E-3</v>
      </c>
    </row>
    <row r="18" spans="1:21" x14ac:dyDescent="0.25">
      <c r="A18" t="s">
        <v>67</v>
      </c>
      <c r="B18" t="s">
        <v>69</v>
      </c>
      <c r="C18">
        <v>1</v>
      </c>
      <c r="D18" t="s">
        <v>103</v>
      </c>
      <c r="E18" t="s">
        <v>97</v>
      </c>
      <c r="F18" t="s">
        <v>96</v>
      </c>
      <c r="G18">
        <v>0.86783609808824702</v>
      </c>
      <c r="H18">
        <v>1.44483638969191E-2</v>
      </c>
      <c r="I18">
        <v>0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0.85267322894137698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0.87300868153341904</v>
      </c>
      <c r="U18">
        <f>IF((ContinuousStatsTable[[#This Row],[RepsRequested]]&gt;1),ContinuousStatsTable[[#This Row],[HalfWidth]],ContinuousStatsTable[[#This Row],[BatchMeansHalfWidth]])</f>
        <v>5.1492506011230968E-3</v>
      </c>
    </row>
    <row r="19" spans="1:21" x14ac:dyDescent="0.25">
      <c r="A19" t="s">
        <v>67</v>
      </c>
      <c r="B19" t="s">
        <v>69</v>
      </c>
      <c r="C19">
        <v>1</v>
      </c>
      <c r="D19" t="s">
        <v>103</v>
      </c>
      <c r="E19" t="s">
        <v>98</v>
      </c>
      <c r="F19" t="s">
        <v>96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69</v>
      </c>
      <c r="C20">
        <v>1</v>
      </c>
      <c r="D20" t="s">
        <v>104</v>
      </c>
      <c r="E20" t="s">
        <v>95</v>
      </c>
      <c r="F20" t="s">
        <v>96</v>
      </c>
      <c r="G20">
        <v>0.86805729565568301</v>
      </c>
      <c r="H20">
        <v>1.5099005869112701E-2</v>
      </c>
      <c r="I20">
        <v>0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0.85312589705184705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0.87436351179675398</v>
      </c>
      <c r="U20">
        <f>IF((ContinuousStatsTable[[#This Row],[RepsRequested]]&gt;1),ContinuousStatsTable[[#This Row],[HalfWidth]],ContinuousStatsTable[[#This Row],[BatchMeansHalfWidth]])</f>
        <v>5.093233831135466E-3</v>
      </c>
    </row>
    <row r="21" spans="1:21" x14ac:dyDescent="0.25">
      <c r="A21" t="s">
        <v>67</v>
      </c>
      <c r="B21" t="s">
        <v>69</v>
      </c>
      <c r="C21">
        <v>1</v>
      </c>
      <c r="D21" t="s">
        <v>104</v>
      </c>
      <c r="E21" t="s">
        <v>97</v>
      </c>
      <c r="F21" t="s">
        <v>96</v>
      </c>
      <c r="G21">
        <v>0.86805729565568301</v>
      </c>
      <c r="H21">
        <v>1.5099005869112701E-2</v>
      </c>
      <c r="I21">
        <v>0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0.85312589705184705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0.87436351179675398</v>
      </c>
      <c r="U21">
        <f>IF((ContinuousStatsTable[[#This Row],[RepsRequested]]&gt;1),ContinuousStatsTable[[#This Row],[HalfWidth]],ContinuousStatsTable[[#This Row],[BatchMeansHalfWidth]])</f>
        <v>5.093233831135466E-3</v>
      </c>
    </row>
    <row r="22" spans="1:21" x14ac:dyDescent="0.25">
      <c r="A22" t="s">
        <v>67</v>
      </c>
      <c r="B22" t="s">
        <v>69</v>
      </c>
      <c r="C22">
        <v>1</v>
      </c>
      <c r="D22" t="s">
        <v>104</v>
      </c>
      <c r="E22" t="s">
        <v>98</v>
      </c>
      <c r="F22" t="s">
        <v>96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67</v>
      </c>
      <c r="B23" t="s">
        <v>69</v>
      </c>
      <c r="C23">
        <v>1</v>
      </c>
      <c r="D23" t="s">
        <v>85</v>
      </c>
      <c r="E23" t="s">
        <v>93</v>
      </c>
      <c r="F23" t="s">
        <v>72</v>
      </c>
      <c r="G23">
        <v>4.8124818987792398E-3</v>
      </c>
      <c r="H23">
        <v>4.1854916754314E-4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4.46975375012869E-3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5.19139886192292E-3</v>
      </c>
      <c r="U23">
        <f>IF((ContinuousStatsTable[[#This Row],[RepsRequested]]&gt;1),ContinuousStatsTable[[#This Row],[HalfWidth]],ContinuousStatsTable[[#This Row],[BatchMeansHalfWidth]])</f>
        <v>1.5212674323174428E-4</v>
      </c>
    </row>
    <row r="24" spans="1:21" x14ac:dyDescent="0.25">
      <c r="A24" t="s">
        <v>67</v>
      </c>
      <c r="B24" t="s">
        <v>69</v>
      </c>
      <c r="C24">
        <v>1</v>
      </c>
      <c r="D24" t="s">
        <v>86</v>
      </c>
      <c r="E24" t="s">
        <v>93</v>
      </c>
      <c r="F24" t="s">
        <v>72</v>
      </c>
      <c r="G24">
        <v>6.4644878524100302E-3</v>
      </c>
      <c r="H24">
        <v>6.1880467962316995E-4</v>
      </c>
      <c r="I24">
        <v>0</v>
      </c>
      <c r="J24">
        <v>4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6.4644878524100302E-3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7.1613926309565699E-3</v>
      </c>
      <c r="U24">
        <f>IF((ContinuousStatsTable[[#This Row],[RepsRequested]]&gt;1),ContinuousStatsTable[[#This Row],[HalfWidth]],ContinuousStatsTable[[#This Row],[BatchMeansHalfWidth]])</f>
        <v>1.9039143298908446E-4</v>
      </c>
    </row>
    <row r="25" spans="1:21" x14ac:dyDescent="0.25">
      <c r="A25" t="s">
        <v>67</v>
      </c>
      <c r="B25" t="s">
        <v>69</v>
      </c>
      <c r="C25">
        <v>1</v>
      </c>
      <c r="D25" t="s">
        <v>87</v>
      </c>
      <c r="E25" t="s">
        <v>93</v>
      </c>
      <c r="F25" t="s">
        <v>72</v>
      </c>
      <c r="G25">
        <v>2.9303171482960399E-3</v>
      </c>
      <c r="H25">
        <v>3.0146851934360203E-4</v>
      </c>
      <c r="I25">
        <v>0</v>
      </c>
      <c r="J25">
        <v>1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2.6429119389876198E-3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3.0552991746512601E-3</v>
      </c>
      <c r="U25">
        <f>IF((ContinuousStatsTable[[#This Row],[RepsRequested]]&gt;1),ContinuousStatsTable[[#This Row],[HalfWidth]],ContinuousStatsTable[[#This Row],[BatchMeansHalfWidth]])</f>
        <v>1.0063752504111057E-4</v>
      </c>
    </row>
    <row r="26" spans="1:21" x14ac:dyDescent="0.25">
      <c r="A26" t="s">
        <v>67</v>
      </c>
      <c r="B26" t="s">
        <v>69</v>
      </c>
      <c r="C26">
        <v>1</v>
      </c>
      <c r="D26" t="s">
        <v>88</v>
      </c>
      <c r="E26" t="s">
        <v>93</v>
      </c>
      <c r="F26" t="s">
        <v>72</v>
      </c>
      <c r="G26">
        <v>3.92920293966519E-3</v>
      </c>
      <c r="H26">
        <v>3.8883040335477E-4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3.7244128651004798E-3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4.35137641764906E-3</v>
      </c>
      <c r="U26">
        <f>IF((ContinuousStatsTable[[#This Row],[RepsRequested]]&gt;1),ContinuousStatsTable[[#This Row],[HalfWidth]],ContinuousStatsTable[[#This Row],[BatchMeansHalfWidth]])</f>
        <v>1.2471918446914371E-4</v>
      </c>
    </row>
    <row r="27" spans="1:21" x14ac:dyDescent="0.25">
      <c r="A27" t="s">
        <v>67</v>
      </c>
      <c r="B27" t="s">
        <v>69</v>
      </c>
      <c r="C27">
        <v>1</v>
      </c>
      <c r="D27" t="s">
        <v>105</v>
      </c>
      <c r="E27" t="s">
        <v>95</v>
      </c>
      <c r="F27" t="s">
        <v>96</v>
      </c>
      <c r="G27">
        <v>0.85147859918309698</v>
      </c>
      <c r="H27">
        <v>2.15229953898552E-2</v>
      </c>
      <c r="I27">
        <v>0</v>
      </c>
      <c r="J27">
        <v>1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0.83618943731414597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0.86586763783419696</v>
      </c>
      <c r="U27">
        <f>IF((ContinuousStatsTable[[#This Row],[RepsRequested]]&gt;1),ContinuousStatsTable[[#This Row],[HalfWidth]],ContinuousStatsTable[[#This Row],[BatchMeansHalfWidth]])</f>
        <v>6.774830857795836E-3</v>
      </c>
    </row>
    <row r="28" spans="1:21" x14ac:dyDescent="0.25">
      <c r="A28" t="s">
        <v>67</v>
      </c>
      <c r="B28" t="s">
        <v>69</v>
      </c>
      <c r="C28">
        <v>1</v>
      </c>
      <c r="D28" t="s">
        <v>105</v>
      </c>
      <c r="E28" t="s">
        <v>97</v>
      </c>
      <c r="F28" t="s">
        <v>96</v>
      </c>
      <c r="G28">
        <v>0.85147859918309698</v>
      </c>
      <c r="H28">
        <v>2.15229953898552E-2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0.83618943731414597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0.86586763783419696</v>
      </c>
      <c r="U28">
        <f>IF((ContinuousStatsTable[[#This Row],[RepsRequested]]&gt;1),ContinuousStatsTable[[#This Row],[HalfWidth]],ContinuousStatsTable[[#This Row],[BatchMeansHalfWidth]])</f>
        <v>6.774830857795836E-3</v>
      </c>
    </row>
    <row r="29" spans="1:21" x14ac:dyDescent="0.25">
      <c r="A29" t="s">
        <v>67</v>
      </c>
      <c r="B29" t="s">
        <v>69</v>
      </c>
      <c r="C29">
        <v>1</v>
      </c>
      <c r="D29" t="s">
        <v>105</v>
      </c>
      <c r="E29" t="s">
        <v>98</v>
      </c>
      <c r="F29" t="s">
        <v>96</v>
      </c>
      <c r="G29">
        <v>1</v>
      </c>
      <c r="H29">
        <v>2E+20</v>
      </c>
      <c r="I29">
        <v>1</v>
      </c>
      <c r="J29">
        <v>1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1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>
        <f>IF((ContinuousStatsTable[[#This Row],[RepsRequested]]&gt;1),ContinuousStatsTable[[#This Row],[HalfWidth]],ContinuousStatsTable[[#This Row],[BatchMeansHalfWidth]])</f>
        <v>0</v>
      </c>
    </row>
    <row r="30" spans="1:21" x14ac:dyDescent="0.25">
      <c r="A30" t="s">
        <v>67</v>
      </c>
      <c r="B30" t="s">
        <v>69</v>
      </c>
      <c r="C30">
        <v>1</v>
      </c>
      <c r="D30" t="s">
        <v>106</v>
      </c>
      <c r="E30" t="s">
        <v>95</v>
      </c>
      <c r="F30" t="s">
        <v>96</v>
      </c>
      <c r="G30">
        <v>0.76726685462145205</v>
      </c>
      <c r="H30">
        <v>2.2123273113485099E-2</v>
      </c>
      <c r="I30">
        <v>0</v>
      </c>
      <c r="J30">
        <v>1</v>
      </c>
      <c r="K30">
        <v>1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0.75864843854708297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0.79252596119945096</v>
      </c>
      <c r="U30">
        <f>IF((ContinuousStatsTable[[#This Row],[RepsRequested]]&gt;1),ContinuousStatsTable[[#This Row],[HalfWidth]],ContinuousStatsTable[[#This Row],[BatchMeansHalfWidth]])</f>
        <v>7.9650525926457348E-3</v>
      </c>
    </row>
    <row r="31" spans="1:21" x14ac:dyDescent="0.25">
      <c r="A31" t="s">
        <v>67</v>
      </c>
      <c r="B31" t="s">
        <v>69</v>
      </c>
      <c r="C31">
        <v>1</v>
      </c>
      <c r="D31" t="s">
        <v>106</v>
      </c>
      <c r="E31" t="s">
        <v>97</v>
      </c>
      <c r="F31" t="s">
        <v>96</v>
      </c>
      <c r="G31">
        <v>0.76726685462145205</v>
      </c>
      <c r="H31">
        <v>2.2123273113485099E-2</v>
      </c>
      <c r="I31">
        <v>0</v>
      </c>
      <c r="J31">
        <v>1</v>
      </c>
      <c r="K31">
        <v>1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0.75864843854708297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0.79252596119945096</v>
      </c>
      <c r="U31">
        <f>IF((ContinuousStatsTable[[#This Row],[RepsRequested]]&gt;1),ContinuousStatsTable[[#This Row],[HalfWidth]],ContinuousStatsTable[[#This Row],[BatchMeansHalfWidth]])</f>
        <v>7.9650525926457348E-3</v>
      </c>
    </row>
    <row r="32" spans="1:21" x14ac:dyDescent="0.25">
      <c r="A32" t="s">
        <v>67</v>
      </c>
      <c r="B32" t="s">
        <v>69</v>
      </c>
      <c r="C32">
        <v>1</v>
      </c>
      <c r="D32" t="s">
        <v>106</v>
      </c>
      <c r="E32" t="s">
        <v>98</v>
      </c>
      <c r="F32" t="s">
        <v>96</v>
      </c>
      <c r="G32">
        <v>1</v>
      </c>
      <c r="H32">
        <v>2E+20</v>
      </c>
      <c r="I32">
        <v>1</v>
      </c>
      <c r="J32">
        <v>1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67</v>
      </c>
      <c r="B33" t="s">
        <v>69</v>
      </c>
      <c r="C33">
        <v>1</v>
      </c>
      <c r="D33" t="s">
        <v>107</v>
      </c>
      <c r="E33" t="s">
        <v>95</v>
      </c>
      <c r="F33" t="s">
        <v>96</v>
      </c>
      <c r="G33">
        <v>0.86517826380299301</v>
      </c>
      <c r="H33">
        <v>1.6929030930927801E-2</v>
      </c>
      <c r="I33">
        <v>0</v>
      </c>
      <c r="J33">
        <v>1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0.84465777371794004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0.87000527345659695</v>
      </c>
      <c r="U33">
        <f>IF((ContinuousStatsTable[[#This Row],[RepsRequested]]&gt;1),ContinuousStatsTable[[#This Row],[HalfWidth]],ContinuousStatsTable[[#This Row],[BatchMeansHalfWidth]])</f>
        <v>5.8838019158664288E-3</v>
      </c>
    </row>
    <row r="34" spans="1:21" x14ac:dyDescent="0.25">
      <c r="A34" t="s">
        <v>67</v>
      </c>
      <c r="B34" t="s">
        <v>69</v>
      </c>
      <c r="C34">
        <v>1</v>
      </c>
      <c r="D34" t="s">
        <v>107</v>
      </c>
      <c r="E34" t="s">
        <v>97</v>
      </c>
      <c r="F34" t="s">
        <v>96</v>
      </c>
      <c r="G34">
        <v>0.86517826380299301</v>
      </c>
      <c r="H34">
        <v>1.6929030930927801E-2</v>
      </c>
      <c r="I34">
        <v>0</v>
      </c>
      <c r="J34">
        <v>1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0.84465777371794004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0.87000527345659695</v>
      </c>
      <c r="U34">
        <f>IF((ContinuousStatsTable[[#This Row],[RepsRequested]]&gt;1),ContinuousStatsTable[[#This Row],[HalfWidth]],ContinuousStatsTable[[#This Row],[BatchMeansHalfWidth]])</f>
        <v>5.8838019158664288E-3</v>
      </c>
    </row>
    <row r="35" spans="1:21" x14ac:dyDescent="0.25">
      <c r="A35" t="s">
        <v>67</v>
      </c>
      <c r="B35" t="s">
        <v>69</v>
      </c>
      <c r="C35">
        <v>1</v>
      </c>
      <c r="D35" t="s">
        <v>107</v>
      </c>
      <c r="E35" t="s">
        <v>98</v>
      </c>
      <c r="F35" t="s">
        <v>96</v>
      </c>
      <c r="G35">
        <v>1</v>
      </c>
      <c r="H35">
        <v>2E+20</v>
      </c>
      <c r="I35">
        <v>1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25">
      <c r="A36" t="s">
        <v>67</v>
      </c>
      <c r="B36" t="s">
        <v>69</v>
      </c>
      <c r="C36">
        <v>1</v>
      </c>
      <c r="D36" t="s">
        <v>108</v>
      </c>
      <c r="E36" t="s">
        <v>95</v>
      </c>
      <c r="F36" t="s">
        <v>96</v>
      </c>
      <c r="G36">
        <v>0.85147859918309698</v>
      </c>
      <c r="H36">
        <v>2.15229953898552E-2</v>
      </c>
      <c r="I36">
        <v>0</v>
      </c>
      <c r="J36">
        <v>1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0.83618943731414597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0.86586763783419696</v>
      </c>
      <c r="U36">
        <f>IF((ContinuousStatsTable[[#This Row],[RepsRequested]]&gt;1),ContinuousStatsTable[[#This Row],[HalfWidth]],ContinuousStatsTable[[#This Row],[BatchMeansHalfWidth]])</f>
        <v>6.774830857795836E-3</v>
      </c>
    </row>
    <row r="37" spans="1:21" x14ac:dyDescent="0.25">
      <c r="A37" t="s">
        <v>67</v>
      </c>
      <c r="B37" t="s">
        <v>69</v>
      </c>
      <c r="C37">
        <v>1</v>
      </c>
      <c r="D37" t="s">
        <v>108</v>
      </c>
      <c r="E37" t="s">
        <v>97</v>
      </c>
      <c r="F37" t="s">
        <v>96</v>
      </c>
      <c r="G37">
        <v>0.85147859918309698</v>
      </c>
      <c r="H37">
        <v>2.15229953898552E-2</v>
      </c>
      <c r="I37">
        <v>0</v>
      </c>
      <c r="J37">
        <v>1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0.83618943731414597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0.86586763783419696</v>
      </c>
      <c r="U37">
        <f>IF((ContinuousStatsTable[[#This Row],[RepsRequested]]&gt;1),ContinuousStatsTable[[#This Row],[HalfWidth]],ContinuousStatsTable[[#This Row],[BatchMeansHalfWidth]])</f>
        <v>6.774830857795836E-3</v>
      </c>
    </row>
    <row r="38" spans="1:21" x14ac:dyDescent="0.25">
      <c r="A38" t="s">
        <v>67</v>
      </c>
      <c r="B38" t="s">
        <v>69</v>
      </c>
      <c r="C38">
        <v>1</v>
      </c>
      <c r="D38" t="s">
        <v>108</v>
      </c>
      <c r="E38" t="s">
        <v>98</v>
      </c>
      <c r="F38" t="s">
        <v>96</v>
      </c>
      <c r="G38">
        <v>1</v>
      </c>
      <c r="H38">
        <v>2E+20</v>
      </c>
      <c r="I38">
        <v>1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1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25">
      <c r="A39" t="s">
        <v>67</v>
      </c>
      <c r="B39" t="s">
        <v>69</v>
      </c>
      <c r="C39">
        <v>1</v>
      </c>
      <c r="D39" t="s">
        <v>109</v>
      </c>
      <c r="E39" t="s">
        <v>95</v>
      </c>
      <c r="F39" t="s">
        <v>96</v>
      </c>
      <c r="G39">
        <v>0.76726685462145205</v>
      </c>
      <c r="H39">
        <v>2.2123273113485099E-2</v>
      </c>
      <c r="I39">
        <v>0</v>
      </c>
      <c r="J39">
        <v>1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0.75864843854708297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0.79252596119945096</v>
      </c>
      <c r="U39">
        <f>IF((ContinuousStatsTable[[#This Row],[RepsRequested]]&gt;1),ContinuousStatsTable[[#This Row],[HalfWidth]],ContinuousStatsTable[[#This Row],[BatchMeansHalfWidth]])</f>
        <v>7.9650525926457348E-3</v>
      </c>
    </row>
    <row r="40" spans="1:21" x14ac:dyDescent="0.25">
      <c r="A40" t="s">
        <v>67</v>
      </c>
      <c r="B40" t="s">
        <v>69</v>
      </c>
      <c r="C40">
        <v>1</v>
      </c>
      <c r="D40" t="s">
        <v>109</v>
      </c>
      <c r="E40" t="s">
        <v>97</v>
      </c>
      <c r="F40" t="s">
        <v>96</v>
      </c>
      <c r="G40">
        <v>0.76726685462145205</v>
      </c>
      <c r="H40">
        <v>2.2123273113485099E-2</v>
      </c>
      <c r="I40">
        <v>0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0.75864843854708297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0.79252596119945096</v>
      </c>
      <c r="U40">
        <f>IF((ContinuousStatsTable[[#This Row],[RepsRequested]]&gt;1),ContinuousStatsTable[[#This Row],[HalfWidth]],ContinuousStatsTable[[#This Row],[BatchMeansHalfWidth]])</f>
        <v>7.9650525926457348E-3</v>
      </c>
    </row>
    <row r="41" spans="1:21" x14ac:dyDescent="0.25">
      <c r="A41" t="s">
        <v>67</v>
      </c>
      <c r="B41" t="s">
        <v>69</v>
      </c>
      <c r="C41">
        <v>1</v>
      </c>
      <c r="D41" t="s">
        <v>109</v>
      </c>
      <c r="E41" t="s">
        <v>98</v>
      </c>
      <c r="F41" t="s">
        <v>96</v>
      </c>
      <c r="G41">
        <v>1</v>
      </c>
      <c r="H41">
        <v>2E+20</v>
      </c>
      <c r="I41">
        <v>1</v>
      </c>
      <c r="J41">
        <v>1</v>
      </c>
      <c r="K41">
        <v>1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1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25">
      <c r="A42" t="s">
        <v>67</v>
      </c>
      <c r="B42" t="s">
        <v>69</v>
      </c>
      <c r="C42">
        <v>1</v>
      </c>
      <c r="D42" t="s">
        <v>110</v>
      </c>
      <c r="E42" t="s">
        <v>95</v>
      </c>
      <c r="F42" t="s">
        <v>96</v>
      </c>
      <c r="G42">
        <v>0.86517826380299301</v>
      </c>
      <c r="H42">
        <v>1.6929030930927801E-2</v>
      </c>
      <c r="I42">
        <v>0</v>
      </c>
      <c r="J42">
        <v>1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0.84465777371794004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0.87000527345659695</v>
      </c>
      <c r="U42">
        <f>IF((ContinuousStatsTable[[#This Row],[RepsRequested]]&gt;1),ContinuousStatsTable[[#This Row],[HalfWidth]],ContinuousStatsTable[[#This Row],[BatchMeansHalfWidth]])</f>
        <v>5.8838019158664288E-3</v>
      </c>
    </row>
    <row r="43" spans="1:21" x14ac:dyDescent="0.25">
      <c r="A43" t="s">
        <v>67</v>
      </c>
      <c r="B43" t="s">
        <v>69</v>
      </c>
      <c r="C43">
        <v>1</v>
      </c>
      <c r="D43" t="s">
        <v>110</v>
      </c>
      <c r="E43" t="s">
        <v>97</v>
      </c>
      <c r="F43" t="s">
        <v>96</v>
      </c>
      <c r="G43">
        <v>0.86517826380299301</v>
      </c>
      <c r="H43">
        <v>1.6929030930927801E-2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0.84465777371794004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0.87000527345659695</v>
      </c>
      <c r="U43">
        <f>IF((ContinuousStatsTable[[#This Row],[RepsRequested]]&gt;1),ContinuousStatsTable[[#This Row],[HalfWidth]],ContinuousStatsTable[[#This Row],[BatchMeansHalfWidth]])</f>
        <v>5.8838019158664288E-3</v>
      </c>
    </row>
    <row r="44" spans="1:21" x14ac:dyDescent="0.25">
      <c r="A44" t="s">
        <v>67</v>
      </c>
      <c r="B44" t="s">
        <v>69</v>
      </c>
      <c r="C44">
        <v>1</v>
      </c>
      <c r="D44" t="s">
        <v>110</v>
      </c>
      <c r="E44" t="s">
        <v>98</v>
      </c>
      <c r="F44" t="s">
        <v>96</v>
      </c>
      <c r="G44">
        <v>1</v>
      </c>
      <c r="H44">
        <v>2E+20</v>
      </c>
      <c r="I44">
        <v>1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67</v>
      </c>
      <c r="B45" t="s">
        <v>69</v>
      </c>
      <c r="C45">
        <v>1</v>
      </c>
      <c r="D45" t="s">
        <v>90</v>
      </c>
      <c r="E45" t="s">
        <v>93</v>
      </c>
      <c r="F45" t="s">
        <v>72</v>
      </c>
      <c r="G45">
        <v>2.6995059393953702</v>
      </c>
      <c r="H45">
        <v>3E+20</v>
      </c>
      <c r="I45">
        <v>0</v>
      </c>
      <c r="J45">
        <v>20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2.3924416646278499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3.7422761400348601</v>
      </c>
      <c r="U45">
        <f>IF((ContinuousStatsTable[[#This Row],[RepsRequested]]&gt;1),ContinuousStatsTable[[#This Row],[HalfWidth]],ContinuousStatsTable[[#This Row],[BatchMeansHalfWidth]])</f>
        <v>0.29747169945211638</v>
      </c>
    </row>
    <row r="46" spans="1:21" x14ac:dyDescent="0.25">
      <c r="A46" t="s">
        <v>67</v>
      </c>
      <c r="B46" t="s">
        <v>69</v>
      </c>
      <c r="C46">
        <v>1</v>
      </c>
      <c r="D46" t="s">
        <v>91</v>
      </c>
      <c r="E46" t="s">
        <v>93</v>
      </c>
      <c r="F46" t="s">
        <v>72</v>
      </c>
      <c r="G46">
        <v>1.48951705960729</v>
      </c>
      <c r="H46">
        <v>0.38087885354704398</v>
      </c>
      <c r="I46">
        <v>0</v>
      </c>
      <c r="J46">
        <v>20</v>
      </c>
      <c r="K46">
        <v>5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1.2409432816355801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1.7520834896992801</v>
      </c>
      <c r="U46">
        <f>IF((ContinuousStatsTable[[#This Row],[RepsRequested]]&gt;1),ContinuousStatsTable[[#This Row],[HalfWidth]],ContinuousStatsTable[[#This Row],[BatchMeansHalfWidth]])</f>
        <v>0.1220330504521152</v>
      </c>
    </row>
    <row r="47" spans="1:21" x14ac:dyDescent="0.25">
      <c r="A47" t="s">
        <v>67</v>
      </c>
      <c r="B47" t="s">
        <v>69</v>
      </c>
      <c r="C47">
        <v>1</v>
      </c>
      <c r="D47" t="s">
        <v>92</v>
      </c>
      <c r="E47" t="s">
        <v>93</v>
      </c>
      <c r="F47" t="s">
        <v>72</v>
      </c>
      <c r="G47">
        <v>2.6803533812964999</v>
      </c>
      <c r="H47">
        <v>0.51995532912438902</v>
      </c>
      <c r="I47">
        <v>0</v>
      </c>
      <c r="J47">
        <v>23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2.1762907983550299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2.7399798743587298</v>
      </c>
      <c r="U47">
        <f>IF((ContinuousStatsTable[[#This Row],[RepsRequested]]&gt;1),ContinuousStatsTable[[#This Row],[HalfWidth]],ContinuousStatsTable[[#This Row],[BatchMeansHalfWidth]])</f>
        <v>0.1357647963567922</v>
      </c>
    </row>
    <row r="48" spans="1:21" x14ac:dyDescent="0.25">
      <c r="A48" t="s">
        <v>67</v>
      </c>
      <c r="B48" t="s">
        <v>69</v>
      </c>
      <c r="C48">
        <v>1</v>
      </c>
      <c r="D48" t="s">
        <v>111</v>
      </c>
      <c r="E48" t="s">
        <v>97</v>
      </c>
      <c r="F48" t="s">
        <v>112</v>
      </c>
      <c r="G48">
        <v>0.80262272905685506</v>
      </c>
      <c r="H48">
        <v>9.2744744426783397E-3</v>
      </c>
      <c r="I48">
        <v>0</v>
      </c>
      <c r="J48">
        <v>2</v>
      </c>
      <c r="K48">
        <v>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0.79714222975806304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0.81086270984605202</v>
      </c>
      <c r="U48">
        <f>IF((ContinuousStatsTable[[#This Row],[RepsRequested]]&gt;1),ContinuousStatsTable[[#This Row],[HalfWidth]],ContinuousStatsTable[[#This Row],[BatchMeansHalfWidth]])</f>
        <v>3.3416443147686586E-3</v>
      </c>
    </row>
    <row r="49" spans="1:21" x14ac:dyDescent="0.25">
      <c r="A49" t="s">
        <v>67</v>
      </c>
      <c r="B49" t="s">
        <v>69</v>
      </c>
      <c r="C49">
        <v>1</v>
      </c>
      <c r="D49" t="s">
        <v>111</v>
      </c>
      <c r="E49" t="s">
        <v>98</v>
      </c>
      <c r="F49" t="s">
        <v>112</v>
      </c>
      <c r="G49">
        <v>2</v>
      </c>
      <c r="H49">
        <v>2E+20</v>
      </c>
      <c r="I49">
        <v>2</v>
      </c>
      <c r="J49">
        <v>2</v>
      </c>
      <c r="K49">
        <v>2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2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2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67</v>
      </c>
      <c r="B50" t="s">
        <v>69</v>
      </c>
      <c r="C50">
        <v>1</v>
      </c>
      <c r="D50" t="s">
        <v>111</v>
      </c>
      <c r="E50" t="s">
        <v>113</v>
      </c>
      <c r="F50" t="s">
        <v>112</v>
      </c>
      <c r="G50">
        <v>0.40131136452842697</v>
      </c>
      <c r="H50">
        <v>4.6372372213391699E-3</v>
      </c>
      <c r="I50">
        <v>0</v>
      </c>
      <c r="J50">
        <v>1</v>
      </c>
      <c r="K50">
        <v>0.5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0.39857111487903202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0.40543135492302601</v>
      </c>
      <c r="U50">
        <f>IF((ContinuousStatsTable[[#This Row],[RepsRequested]]&gt;1),ContinuousStatsTable[[#This Row],[HalfWidth]],ContinuousStatsTable[[#This Row],[BatchMeansHalfWidth]])</f>
        <v>1.6708221573839188E-3</v>
      </c>
    </row>
    <row r="51" spans="1:21" x14ac:dyDescent="0.25">
      <c r="A51" t="s">
        <v>67</v>
      </c>
      <c r="B51" t="s">
        <v>69</v>
      </c>
      <c r="C51">
        <v>2</v>
      </c>
      <c r="D51" t="s">
        <v>70</v>
      </c>
      <c r="E51" t="s">
        <v>93</v>
      </c>
      <c r="F51" t="s">
        <v>72</v>
      </c>
      <c r="G51">
        <v>2.0656712023606598</v>
      </c>
      <c r="H51">
        <v>0.32431675462386</v>
      </c>
      <c r="I51">
        <v>0</v>
      </c>
      <c r="J51">
        <v>21</v>
      </c>
      <c r="K51">
        <v>1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1.76226441002947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2.3188373788375798</v>
      </c>
      <c r="U51">
        <f>IF((ContinuousStatsTable[[#This Row],[RepsRequested]]&gt;1),ContinuousStatsTable[[#This Row],[HalfWidth]],ContinuousStatsTable[[#This Row],[BatchMeansHalfWidth]])</f>
        <v>0.12049041629004678</v>
      </c>
    </row>
    <row r="52" spans="1:21" x14ac:dyDescent="0.25">
      <c r="A52" t="s">
        <v>67</v>
      </c>
      <c r="B52" t="s">
        <v>69</v>
      </c>
      <c r="C52">
        <v>2</v>
      </c>
      <c r="D52" t="s">
        <v>94</v>
      </c>
      <c r="E52" t="s">
        <v>95</v>
      </c>
      <c r="F52" t="s">
        <v>96</v>
      </c>
      <c r="G52">
        <v>0.75485761493006198</v>
      </c>
      <c r="H52">
        <v>1.6324297610009499E-2</v>
      </c>
      <c r="I52">
        <v>0</v>
      </c>
      <c r="J52">
        <v>1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0.73578099184835299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0.76817992377286104</v>
      </c>
      <c r="U52">
        <f>IF((ContinuousStatsTable[[#This Row],[RepsRequested]]&gt;1),ContinuousStatsTable[[#This Row],[HalfWidth]],ContinuousStatsTable[[#This Row],[BatchMeansHalfWidth]])</f>
        <v>6.6348533752732253E-3</v>
      </c>
    </row>
    <row r="53" spans="1:21" x14ac:dyDescent="0.25">
      <c r="A53" t="s">
        <v>67</v>
      </c>
      <c r="B53" t="s">
        <v>69</v>
      </c>
      <c r="C53">
        <v>2</v>
      </c>
      <c r="D53" t="s">
        <v>94</v>
      </c>
      <c r="E53" t="s">
        <v>97</v>
      </c>
      <c r="F53" t="s">
        <v>96</v>
      </c>
      <c r="G53">
        <v>1.50971522986012</v>
      </c>
      <c r="H53">
        <v>3.2648595220018999E-2</v>
      </c>
      <c r="I53">
        <v>0</v>
      </c>
      <c r="J53">
        <v>2</v>
      </c>
      <c r="K53">
        <v>2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1.47156198369671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1.5363598475457201</v>
      </c>
      <c r="U53">
        <f>IF((ContinuousStatsTable[[#This Row],[RepsRequested]]&gt;1),ContinuousStatsTable[[#This Row],[HalfWidth]],ContinuousStatsTable[[#This Row],[BatchMeansHalfWidth]])</f>
        <v>1.3269706750545264E-2</v>
      </c>
    </row>
    <row r="54" spans="1:21" x14ac:dyDescent="0.25">
      <c r="A54" t="s">
        <v>67</v>
      </c>
      <c r="B54" t="s">
        <v>69</v>
      </c>
      <c r="C54">
        <v>2</v>
      </c>
      <c r="D54" t="s">
        <v>94</v>
      </c>
      <c r="E54" t="s">
        <v>98</v>
      </c>
      <c r="F54" t="s">
        <v>96</v>
      </c>
      <c r="G54">
        <v>2</v>
      </c>
      <c r="H54">
        <v>2E+20</v>
      </c>
      <c r="I54">
        <v>2</v>
      </c>
      <c r="J54">
        <v>2</v>
      </c>
      <c r="K54">
        <v>2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</v>
      </c>
      <c r="U54">
        <f>IF((ContinuousStatsTable[[#This Row],[RepsRequested]]&gt;1),ContinuousStatsTable[[#This Row],[HalfWidth]],ContinuousStatsTable[[#This Row],[BatchMeansHalfWidth]])</f>
        <v>0</v>
      </c>
    </row>
    <row r="55" spans="1:21" x14ac:dyDescent="0.25">
      <c r="A55" t="s">
        <v>67</v>
      </c>
      <c r="B55" t="s">
        <v>69</v>
      </c>
      <c r="C55">
        <v>2</v>
      </c>
      <c r="D55" t="s">
        <v>99</v>
      </c>
      <c r="E55" t="s">
        <v>95</v>
      </c>
      <c r="F55" t="s">
        <v>96</v>
      </c>
      <c r="G55">
        <v>0.75299191416641997</v>
      </c>
      <c r="H55">
        <v>1.62499547346701E-2</v>
      </c>
      <c r="I55">
        <v>0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0.73777590022083495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0.76666045600624</v>
      </c>
      <c r="U55">
        <f>IF((ContinuousStatsTable[[#This Row],[RepsRequested]]&gt;1),ContinuousStatsTable[[#This Row],[HalfWidth]],ContinuousStatsTable[[#This Row],[BatchMeansHalfWidth]])</f>
        <v>6.5760437266769349E-3</v>
      </c>
    </row>
    <row r="56" spans="1:21" x14ac:dyDescent="0.25">
      <c r="A56" t="s">
        <v>67</v>
      </c>
      <c r="B56" t="s">
        <v>69</v>
      </c>
      <c r="C56">
        <v>2</v>
      </c>
      <c r="D56" t="s">
        <v>99</v>
      </c>
      <c r="E56" t="s">
        <v>97</v>
      </c>
      <c r="F56" t="s">
        <v>96</v>
      </c>
      <c r="G56">
        <v>0.75299191416641997</v>
      </c>
      <c r="H56">
        <v>1.62499547346701E-2</v>
      </c>
      <c r="I56">
        <v>0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0.73777590022083495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0.76666045600624</v>
      </c>
      <c r="U56">
        <f>IF((ContinuousStatsTable[[#This Row],[RepsRequested]]&gt;1),ContinuousStatsTable[[#This Row],[HalfWidth]],ContinuousStatsTable[[#This Row],[BatchMeansHalfWidth]])</f>
        <v>6.5760437266769349E-3</v>
      </c>
    </row>
    <row r="57" spans="1:21" x14ac:dyDescent="0.25">
      <c r="A57" t="s">
        <v>67</v>
      </c>
      <c r="B57" t="s">
        <v>69</v>
      </c>
      <c r="C57">
        <v>2</v>
      </c>
      <c r="D57" t="s">
        <v>99</v>
      </c>
      <c r="E57" t="s">
        <v>98</v>
      </c>
      <c r="F57" t="s">
        <v>96</v>
      </c>
      <c r="G57">
        <v>1</v>
      </c>
      <c r="H57">
        <v>2E+20</v>
      </c>
      <c r="I57">
        <v>1</v>
      </c>
      <c r="J57">
        <v>1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67</v>
      </c>
      <c r="B58" t="s">
        <v>69</v>
      </c>
      <c r="C58">
        <v>2</v>
      </c>
      <c r="D58" t="s">
        <v>100</v>
      </c>
      <c r="E58" t="s">
        <v>95</v>
      </c>
      <c r="F58" t="s">
        <v>96</v>
      </c>
      <c r="G58">
        <v>0.75672331569370899</v>
      </c>
      <c r="H58">
        <v>1.7593126624242401E-2</v>
      </c>
      <c r="I58">
        <v>0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0.73378608347586405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0.76969939153947697</v>
      </c>
      <c r="U58">
        <f>IF((ContinuousStatsTable[[#This Row],[RepsRequested]]&gt;1),ContinuousStatsTable[[#This Row],[HalfWidth]],ContinuousStatsTable[[#This Row],[BatchMeansHalfWidth]])</f>
        <v>7.298068329198576E-3</v>
      </c>
    </row>
    <row r="59" spans="1:21" x14ac:dyDescent="0.25">
      <c r="A59" t="s">
        <v>67</v>
      </c>
      <c r="B59" t="s">
        <v>69</v>
      </c>
      <c r="C59">
        <v>2</v>
      </c>
      <c r="D59" t="s">
        <v>100</v>
      </c>
      <c r="E59" t="s">
        <v>97</v>
      </c>
      <c r="F59" t="s">
        <v>96</v>
      </c>
      <c r="G59">
        <v>0.75672331569370899</v>
      </c>
      <c r="H59">
        <v>1.7593126624242401E-2</v>
      </c>
      <c r="I59">
        <v>0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0.73378608347586405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0.76969939153947697</v>
      </c>
      <c r="U59">
        <f>IF((ContinuousStatsTable[[#This Row],[RepsRequested]]&gt;1),ContinuousStatsTable[[#This Row],[HalfWidth]],ContinuousStatsTable[[#This Row],[BatchMeansHalfWidth]])</f>
        <v>7.298068329198576E-3</v>
      </c>
    </row>
    <row r="60" spans="1:21" x14ac:dyDescent="0.25">
      <c r="A60" t="s">
        <v>67</v>
      </c>
      <c r="B60" t="s">
        <v>69</v>
      </c>
      <c r="C60">
        <v>2</v>
      </c>
      <c r="D60" t="s">
        <v>100</v>
      </c>
      <c r="E60" t="s">
        <v>98</v>
      </c>
      <c r="F60" t="s">
        <v>96</v>
      </c>
      <c r="G60">
        <v>1</v>
      </c>
      <c r="H60">
        <v>2E+20</v>
      </c>
      <c r="I60">
        <v>1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1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25">
      <c r="A61" t="s">
        <v>67</v>
      </c>
      <c r="B61" t="s">
        <v>69</v>
      </c>
      <c r="C61">
        <v>2</v>
      </c>
      <c r="D61" t="s">
        <v>73</v>
      </c>
      <c r="E61" t="s">
        <v>101</v>
      </c>
      <c r="F61" t="s">
        <v>75</v>
      </c>
      <c r="G61">
        <v>17.774578301387599</v>
      </c>
      <c r="H61">
        <v>1.4553685877512299</v>
      </c>
      <c r="I61">
        <v>0</v>
      </c>
      <c r="J61">
        <v>49</v>
      </c>
      <c r="K61">
        <v>21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16.327634071208799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18.8479471560706</v>
      </c>
      <c r="U61">
        <f>IF((ContinuousStatsTable[[#This Row],[RepsRequested]]&gt;1),ContinuousStatsTable[[#This Row],[HalfWidth]],ContinuousStatsTable[[#This Row],[BatchMeansHalfWidth]])</f>
        <v>0.51828581657665529</v>
      </c>
    </row>
    <row r="62" spans="1:21" x14ac:dyDescent="0.25">
      <c r="A62" t="s">
        <v>67</v>
      </c>
      <c r="B62" t="s">
        <v>69</v>
      </c>
      <c r="C62">
        <v>2</v>
      </c>
      <c r="D62" t="s">
        <v>84</v>
      </c>
      <c r="E62" t="s">
        <v>93</v>
      </c>
      <c r="F62" t="s">
        <v>72</v>
      </c>
      <c r="G62">
        <v>1.3471708968498799</v>
      </c>
      <c r="H62">
        <v>0.32258833010212701</v>
      </c>
      <c r="I62">
        <v>0</v>
      </c>
      <c r="J62">
        <v>14</v>
      </c>
      <c r="K62">
        <v>4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0.99579270827195998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1.40699442999762</v>
      </c>
      <c r="U62">
        <f>IF((ContinuousStatsTable[[#This Row],[RepsRequested]]&gt;1),ContinuousStatsTable[[#This Row],[HalfWidth]],ContinuousStatsTable[[#This Row],[BatchMeansHalfWidth]])</f>
        <v>9.4525954407496268E-2</v>
      </c>
    </row>
    <row r="63" spans="1:21" x14ac:dyDescent="0.25">
      <c r="A63" t="s">
        <v>67</v>
      </c>
      <c r="B63" t="s">
        <v>69</v>
      </c>
      <c r="C63">
        <v>2</v>
      </c>
      <c r="D63" t="s">
        <v>102</v>
      </c>
      <c r="E63" t="s">
        <v>95</v>
      </c>
      <c r="F63" t="s">
        <v>96</v>
      </c>
      <c r="G63">
        <v>0.86888898753756405</v>
      </c>
      <c r="H63">
        <v>1.72737721163575E-2</v>
      </c>
      <c r="I63">
        <v>0</v>
      </c>
      <c r="J63">
        <v>1</v>
      </c>
      <c r="K63">
        <v>1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0.85300206766602205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0.87632698102425799</v>
      </c>
      <c r="U63">
        <f>IF((ContinuousStatsTable[[#This Row],[RepsRequested]]&gt;1),ContinuousStatsTable[[#This Row],[HalfWidth]],ContinuousStatsTable[[#This Row],[BatchMeansHalfWidth]])</f>
        <v>5.2410393061669046E-3</v>
      </c>
    </row>
    <row r="64" spans="1:21" x14ac:dyDescent="0.25">
      <c r="A64" t="s">
        <v>67</v>
      </c>
      <c r="B64" t="s">
        <v>69</v>
      </c>
      <c r="C64">
        <v>2</v>
      </c>
      <c r="D64" t="s">
        <v>102</v>
      </c>
      <c r="E64" t="s">
        <v>97</v>
      </c>
      <c r="F64" t="s">
        <v>96</v>
      </c>
      <c r="G64">
        <v>0.86888898753756405</v>
      </c>
      <c r="H64">
        <v>1.72737721163575E-2</v>
      </c>
      <c r="I64">
        <v>0</v>
      </c>
      <c r="J64">
        <v>1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0.85300206766602205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0.87632698102425799</v>
      </c>
      <c r="U64">
        <f>IF((ContinuousStatsTable[[#This Row],[RepsRequested]]&gt;1),ContinuousStatsTable[[#This Row],[HalfWidth]],ContinuousStatsTable[[#This Row],[BatchMeansHalfWidth]])</f>
        <v>5.2410393061669046E-3</v>
      </c>
    </row>
    <row r="65" spans="1:21" x14ac:dyDescent="0.25">
      <c r="A65" t="s">
        <v>67</v>
      </c>
      <c r="B65" t="s">
        <v>69</v>
      </c>
      <c r="C65">
        <v>2</v>
      </c>
      <c r="D65" t="s">
        <v>102</v>
      </c>
      <c r="E65" t="s">
        <v>98</v>
      </c>
      <c r="F65" t="s">
        <v>96</v>
      </c>
      <c r="G65">
        <v>1</v>
      </c>
      <c r="H65">
        <v>2E+20</v>
      </c>
      <c r="I65">
        <v>1</v>
      </c>
      <c r="J65">
        <v>1</v>
      </c>
      <c r="K65">
        <v>1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25">
      <c r="A66" t="s">
        <v>67</v>
      </c>
      <c r="B66" t="s">
        <v>69</v>
      </c>
      <c r="C66">
        <v>2</v>
      </c>
      <c r="D66" t="s">
        <v>103</v>
      </c>
      <c r="E66" t="s">
        <v>95</v>
      </c>
      <c r="F66" t="s">
        <v>96</v>
      </c>
      <c r="G66">
        <v>0.868995374026023</v>
      </c>
      <c r="H66">
        <v>1.5898485172136202E-2</v>
      </c>
      <c r="I66">
        <v>0</v>
      </c>
      <c r="J66">
        <v>1</v>
      </c>
      <c r="K66">
        <v>1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0.85267322894137698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0.87300868153341904</v>
      </c>
      <c r="U66">
        <f>IF((ContinuousStatsTable[[#This Row],[RepsRequested]]&gt;1),ContinuousStatsTable[[#This Row],[HalfWidth]],ContinuousStatsTable[[#This Row],[BatchMeansHalfWidth]])</f>
        <v>5.1492506011230968E-3</v>
      </c>
    </row>
    <row r="67" spans="1:21" x14ac:dyDescent="0.25">
      <c r="A67" t="s">
        <v>67</v>
      </c>
      <c r="B67" t="s">
        <v>69</v>
      </c>
      <c r="C67">
        <v>2</v>
      </c>
      <c r="D67" t="s">
        <v>103</v>
      </c>
      <c r="E67" t="s">
        <v>97</v>
      </c>
      <c r="F67" t="s">
        <v>96</v>
      </c>
      <c r="G67">
        <v>0.868995374026023</v>
      </c>
      <c r="H67">
        <v>1.5898485172136202E-2</v>
      </c>
      <c r="I67">
        <v>0</v>
      </c>
      <c r="J67">
        <v>1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0.85267322894137698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0.87300868153341904</v>
      </c>
      <c r="U67">
        <f>IF((ContinuousStatsTable[[#This Row],[RepsRequested]]&gt;1),ContinuousStatsTable[[#This Row],[HalfWidth]],ContinuousStatsTable[[#This Row],[BatchMeansHalfWidth]])</f>
        <v>5.1492506011230968E-3</v>
      </c>
    </row>
    <row r="68" spans="1:21" x14ac:dyDescent="0.25">
      <c r="A68" t="s">
        <v>67</v>
      </c>
      <c r="B68" t="s">
        <v>69</v>
      </c>
      <c r="C68">
        <v>2</v>
      </c>
      <c r="D68" t="s">
        <v>103</v>
      </c>
      <c r="E68" t="s">
        <v>98</v>
      </c>
      <c r="F68" t="s">
        <v>96</v>
      </c>
      <c r="G68">
        <v>1</v>
      </c>
      <c r="H68">
        <v>2E+20</v>
      </c>
      <c r="I68">
        <v>1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25">
      <c r="A69" t="s">
        <v>67</v>
      </c>
      <c r="B69" t="s">
        <v>69</v>
      </c>
      <c r="C69">
        <v>2</v>
      </c>
      <c r="D69" t="s">
        <v>104</v>
      </c>
      <c r="E69" t="s">
        <v>95</v>
      </c>
      <c r="F69" t="s">
        <v>96</v>
      </c>
      <c r="G69">
        <v>0.86801249405049896</v>
      </c>
      <c r="H69">
        <v>1.6335772952234099E-2</v>
      </c>
      <c r="I69">
        <v>0</v>
      </c>
      <c r="J69">
        <v>1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0.85312589705184705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0.87436351179675398</v>
      </c>
      <c r="U69">
        <f>IF((ContinuousStatsTable[[#This Row],[RepsRequested]]&gt;1),ContinuousStatsTable[[#This Row],[HalfWidth]],ContinuousStatsTable[[#This Row],[BatchMeansHalfWidth]])</f>
        <v>5.093233831135466E-3</v>
      </c>
    </row>
    <row r="70" spans="1:21" x14ac:dyDescent="0.25">
      <c r="A70" t="s">
        <v>67</v>
      </c>
      <c r="B70" t="s">
        <v>69</v>
      </c>
      <c r="C70">
        <v>2</v>
      </c>
      <c r="D70" t="s">
        <v>104</v>
      </c>
      <c r="E70" t="s">
        <v>97</v>
      </c>
      <c r="F70" t="s">
        <v>96</v>
      </c>
      <c r="G70">
        <v>0.86801249405049896</v>
      </c>
      <c r="H70">
        <v>1.6335772952234099E-2</v>
      </c>
      <c r="I70">
        <v>0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0.85312589705184705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0.87436351179675398</v>
      </c>
      <c r="U70">
        <f>IF((ContinuousStatsTable[[#This Row],[RepsRequested]]&gt;1),ContinuousStatsTable[[#This Row],[HalfWidth]],ContinuousStatsTable[[#This Row],[BatchMeansHalfWidth]])</f>
        <v>5.093233831135466E-3</v>
      </c>
    </row>
    <row r="71" spans="1:21" x14ac:dyDescent="0.25">
      <c r="A71" t="s">
        <v>67</v>
      </c>
      <c r="B71" t="s">
        <v>69</v>
      </c>
      <c r="C71">
        <v>2</v>
      </c>
      <c r="D71" t="s">
        <v>104</v>
      </c>
      <c r="E71" t="s">
        <v>98</v>
      </c>
      <c r="F71" t="s">
        <v>96</v>
      </c>
      <c r="G71">
        <v>1</v>
      </c>
      <c r="H71">
        <v>2E+20</v>
      </c>
      <c r="I71">
        <v>1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1</v>
      </c>
      <c r="U71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67</v>
      </c>
      <c r="B72" t="s">
        <v>69</v>
      </c>
      <c r="C72">
        <v>2</v>
      </c>
      <c r="D72" t="s">
        <v>85</v>
      </c>
      <c r="E72" t="s">
        <v>93</v>
      </c>
      <c r="F72" t="s">
        <v>72</v>
      </c>
      <c r="G72">
        <v>4.8218244439005402E-3</v>
      </c>
      <c r="H72">
        <v>3E+20</v>
      </c>
      <c r="I72">
        <v>0</v>
      </c>
      <c r="J72">
        <v>1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4.46975375012869E-3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5.19139886192292E-3</v>
      </c>
      <c r="U72">
        <f>IF((ContinuousStatsTable[[#This Row],[RepsRequested]]&gt;1),ContinuousStatsTable[[#This Row],[HalfWidth]],ContinuousStatsTable[[#This Row],[BatchMeansHalfWidth]])</f>
        <v>1.5212674323174428E-4</v>
      </c>
    </row>
    <row r="73" spans="1:21" x14ac:dyDescent="0.25">
      <c r="A73" t="s">
        <v>67</v>
      </c>
      <c r="B73" t="s">
        <v>69</v>
      </c>
      <c r="C73">
        <v>2</v>
      </c>
      <c r="D73" t="s">
        <v>86</v>
      </c>
      <c r="E73" t="s">
        <v>93</v>
      </c>
      <c r="F73" t="s">
        <v>72</v>
      </c>
      <c r="G73">
        <v>7.1613926309565699E-3</v>
      </c>
      <c r="H73">
        <v>6.9174510823730704E-4</v>
      </c>
      <c r="I73">
        <v>0</v>
      </c>
      <c r="J73">
        <v>3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6.4644878524100302E-3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7.1613926309565699E-3</v>
      </c>
      <c r="U73">
        <f>IF((ContinuousStatsTable[[#This Row],[RepsRequested]]&gt;1),ContinuousStatsTable[[#This Row],[HalfWidth]],ContinuousStatsTable[[#This Row],[BatchMeansHalfWidth]])</f>
        <v>1.9039143298908446E-4</v>
      </c>
    </row>
    <row r="74" spans="1:21" x14ac:dyDescent="0.25">
      <c r="A74" t="s">
        <v>67</v>
      </c>
      <c r="B74" t="s">
        <v>69</v>
      </c>
      <c r="C74">
        <v>2</v>
      </c>
      <c r="D74" t="s">
        <v>87</v>
      </c>
      <c r="E74" t="s">
        <v>93</v>
      </c>
      <c r="F74" t="s">
        <v>72</v>
      </c>
      <c r="G74">
        <v>3.0552991746512601E-3</v>
      </c>
      <c r="H74">
        <v>3.51834220947098E-4</v>
      </c>
      <c r="I74">
        <v>0</v>
      </c>
      <c r="J74">
        <v>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2.6429119389876198E-3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3.0552991746512601E-3</v>
      </c>
      <c r="U74">
        <f>IF((ContinuousStatsTable[[#This Row],[RepsRequested]]&gt;1),ContinuousStatsTable[[#This Row],[HalfWidth]],ContinuousStatsTable[[#This Row],[BatchMeansHalfWidth]])</f>
        <v>1.0063752504111057E-4</v>
      </c>
    </row>
    <row r="75" spans="1:21" x14ac:dyDescent="0.25">
      <c r="A75" t="s">
        <v>67</v>
      </c>
      <c r="B75" t="s">
        <v>69</v>
      </c>
      <c r="C75">
        <v>2</v>
      </c>
      <c r="D75" t="s">
        <v>88</v>
      </c>
      <c r="E75" t="s">
        <v>93</v>
      </c>
      <c r="F75" t="s">
        <v>72</v>
      </c>
      <c r="G75">
        <v>3.9336368825118899E-3</v>
      </c>
      <c r="H75">
        <v>3.0276123015312499E-4</v>
      </c>
      <c r="I75">
        <v>0</v>
      </c>
      <c r="J75">
        <v>1</v>
      </c>
      <c r="K75">
        <v>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3.7244128651004798E-3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4.35137641764906E-3</v>
      </c>
      <c r="U75">
        <f>IF((ContinuousStatsTable[[#This Row],[RepsRequested]]&gt;1),ContinuousStatsTable[[#This Row],[HalfWidth]],ContinuousStatsTable[[#This Row],[BatchMeansHalfWidth]])</f>
        <v>1.2471918446914371E-4</v>
      </c>
    </row>
    <row r="76" spans="1:21" x14ac:dyDescent="0.25">
      <c r="A76" t="s">
        <v>67</v>
      </c>
      <c r="B76" t="s">
        <v>69</v>
      </c>
      <c r="C76">
        <v>2</v>
      </c>
      <c r="D76" t="s">
        <v>105</v>
      </c>
      <c r="E76" t="s">
        <v>95</v>
      </c>
      <c r="F76" t="s">
        <v>96</v>
      </c>
      <c r="G76">
        <v>0.85145823741080795</v>
      </c>
      <c r="H76">
        <v>1.57008745211864E-2</v>
      </c>
      <c r="I76">
        <v>0</v>
      </c>
      <c r="J76">
        <v>1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0.83618943731414597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0.86586763783419696</v>
      </c>
      <c r="U76">
        <f>IF((ContinuousStatsTable[[#This Row],[RepsRequested]]&gt;1),ContinuousStatsTable[[#This Row],[HalfWidth]],ContinuousStatsTable[[#This Row],[BatchMeansHalfWidth]])</f>
        <v>6.774830857795836E-3</v>
      </c>
    </row>
    <row r="77" spans="1:21" x14ac:dyDescent="0.25">
      <c r="A77" t="s">
        <v>67</v>
      </c>
      <c r="B77" t="s">
        <v>69</v>
      </c>
      <c r="C77">
        <v>2</v>
      </c>
      <c r="D77" t="s">
        <v>105</v>
      </c>
      <c r="E77" t="s">
        <v>97</v>
      </c>
      <c r="F77" t="s">
        <v>96</v>
      </c>
      <c r="G77">
        <v>0.85145823741080795</v>
      </c>
      <c r="H77">
        <v>1.57008745211864E-2</v>
      </c>
      <c r="I77">
        <v>0</v>
      </c>
      <c r="J77">
        <v>1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0.83618943731414597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0.86586763783419696</v>
      </c>
      <c r="U77">
        <f>IF((ContinuousStatsTable[[#This Row],[RepsRequested]]&gt;1),ContinuousStatsTable[[#This Row],[HalfWidth]],ContinuousStatsTable[[#This Row],[BatchMeansHalfWidth]])</f>
        <v>6.774830857795836E-3</v>
      </c>
    </row>
    <row r="78" spans="1:21" x14ac:dyDescent="0.25">
      <c r="A78" t="s">
        <v>67</v>
      </c>
      <c r="B78" t="s">
        <v>69</v>
      </c>
      <c r="C78">
        <v>2</v>
      </c>
      <c r="D78" t="s">
        <v>105</v>
      </c>
      <c r="E78" t="s">
        <v>98</v>
      </c>
      <c r="F78" t="s">
        <v>96</v>
      </c>
      <c r="G78">
        <v>1</v>
      </c>
      <c r="H78">
        <v>2E+20</v>
      </c>
      <c r="I78">
        <v>1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</v>
      </c>
      <c r="U78">
        <f>IF((ContinuousStatsTable[[#This Row],[RepsRequested]]&gt;1),ContinuousStatsTable[[#This Row],[HalfWidth]],ContinuousStatsTable[[#This Row],[BatchMeansHalfWidth]])</f>
        <v>0</v>
      </c>
    </row>
    <row r="79" spans="1:21" x14ac:dyDescent="0.25">
      <c r="A79" t="s">
        <v>67</v>
      </c>
      <c r="B79" t="s">
        <v>69</v>
      </c>
      <c r="C79">
        <v>2</v>
      </c>
      <c r="D79" t="s">
        <v>106</v>
      </c>
      <c r="E79" t="s">
        <v>95</v>
      </c>
      <c r="F79" t="s">
        <v>96</v>
      </c>
      <c r="G79">
        <v>0.77941254464726095</v>
      </c>
      <c r="H79">
        <v>2.0222932690282702E-2</v>
      </c>
      <c r="I79">
        <v>0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0.75864843854708297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0.79252596119945096</v>
      </c>
      <c r="U79">
        <f>IF((ContinuousStatsTable[[#This Row],[RepsRequested]]&gt;1),ContinuousStatsTable[[#This Row],[HalfWidth]],ContinuousStatsTable[[#This Row],[BatchMeansHalfWidth]])</f>
        <v>7.9650525926457348E-3</v>
      </c>
    </row>
    <row r="80" spans="1:21" x14ac:dyDescent="0.25">
      <c r="A80" t="s">
        <v>67</v>
      </c>
      <c r="B80" t="s">
        <v>69</v>
      </c>
      <c r="C80">
        <v>2</v>
      </c>
      <c r="D80" t="s">
        <v>106</v>
      </c>
      <c r="E80" t="s">
        <v>97</v>
      </c>
      <c r="F80" t="s">
        <v>96</v>
      </c>
      <c r="G80">
        <v>0.77941254464726095</v>
      </c>
      <c r="H80">
        <v>2.0222932690282702E-2</v>
      </c>
      <c r="I80">
        <v>0</v>
      </c>
      <c r="J80">
        <v>1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0.75864843854708297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0.79252596119945096</v>
      </c>
      <c r="U80">
        <f>IF((ContinuousStatsTable[[#This Row],[RepsRequested]]&gt;1),ContinuousStatsTable[[#This Row],[HalfWidth]],ContinuousStatsTable[[#This Row],[BatchMeansHalfWidth]])</f>
        <v>7.9650525926457348E-3</v>
      </c>
    </row>
    <row r="81" spans="1:21" x14ac:dyDescent="0.25">
      <c r="A81" t="s">
        <v>67</v>
      </c>
      <c r="B81" t="s">
        <v>69</v>
      </c>
      <c r="C81">
        <v>2</v>
      </c>
      <c r="D81" t="s">
        <v>106</v>
      </c>
      <c r="E81" t="s">
        <v>98</v>
      </c>
      <c r="F81" t="s">
        <v>96</v>
      </c>
      <c r="G81">
        <v>1</v>
      </c>
      <c r="H81">
        <v>2E+20</v>
      </c>
      <c r="I81">
        <v>1</v>
      </c>
      <c r="J81">
        <v>1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</v>
      </c>
      <c r="U81">
        <f>IF((ContinuousStatsTable[[#This Row],[RepsRequested]]&gt;1),ContinuousStatsTable[[#This Row],[HalfWidth]],ContinuousStatsTable[[#This Row],[BatchMeansHalfWidth]])</f>
        <v>0</v>
      </c>
    </row>
    <row r="82" spans="1:21" x14ac:dyDescent="0.25">
      <c r="A82" t="s">
        <v>67</v>
      </c>
      <c r="B82" t="s">
        <v>69</v>
      </c>
      <c r="C82">
        <v>2</v>
      </c>
      <c r="D82" t="s">
        <v>107</v>
      </c>
      <c r="E82" t="s">
        <v>95</v>
      </c>
      <c r="F82" t="s">
        <v>96</v>
      </c>
      <c r="G82">
        <v>0.86416230461230104</v>
      </c>
      <c r="H82">
        <v>1.8495061320901601E-2</v>
      </c>
      <c r="I82">
        <v>0</v>
      </c>
      <c r="J82">
        <v>1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0.84465777371794004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0.87000527345659695</v>
      </c>
      <c r="U82">
        <f>IF((ContinuousStatsTable[[#This Row],[RepsRequested]]&gt;1),ContinuousStatsTable[[#This Row],[HalfWidth]],ContinuousStatsTable[[#This Row],[BatchMeansHalfWidth]])</f>
        <v>5.8838019158664288E-3</v>
      </c>
    </row>
    <row r="83" spans="1:21" x14ac:dyDescent="0.25">
      <c r="A83" t="s">
        <v>67</v>
      </c>
      <c r="B83" t="s">
        <v>69</v>
      </c>
      <c r="C83">
        <v>2</v>
      </c>
      <c r="D83" t="s">
        <v>107</v>
      </c>
      <c r="E83" t="s">
        <v>97</v>
      </c>
      <c r="F83" t="s">
        <v>96</v>
      </c>
      <c r="G83">
        <v>0.86416230461230104</v>
      </c>
      <c r="H83">
        <v>1.8495061320901601E-2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0.84465777371794004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0.87000527345659695</v>
      </c>
      <c r="U83">
        <f>IF((ContinuousStatsTable[[#This Row],[RepsRequested]]&gt;1),ContinuousStatsTable[[#This Row],[HalfWidth]],ContinuousStatsTable[[#This Row],[BatchMeansHalfWidth]])</f>
        <v>5.8838019158664288E-3</v>
      </c>
    </row>
    <row r="84" spans="1:21" x14ac:dyDescent="0.25">
      <c r="A84" t="s">
        <v>67</v>
      </c>
      <c r="B84" t="s">
        <v>69</v>
      </c>
      <c r="C84">
        <v>2</v>
      </c>
      <c r="D84" t="s">
        <v>107</v>
      </c>
      <c r="E84" t="s">
        <v>98</v>
      </c>
      <c r="F84" t="s">
        <v>96</v>
      </c>
      <c r="G84">
        <v>1</v>
      </c>
      <c r="H84">
        <v>2E+20</v>
      </c>
      <c r="I84">
        <v>1</v>
      </c>
      <c r="J84">
        <v>1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67</v>
      </c>
      <c r="B85" t="s">
        <v>69</v>
      </c>
      <c r="C85">
        <v>2</v>
      </c>
      <c r="D85" t="s">
        <v>108</v>
      </c>
      <c r="E85" t="s">
        <v>95</v>
      </c>
      <c r="F85" t="s">
        <v>96</v>
      </c>
      <c r="G85">
        <v>0.85145823741080795</v>
      </c>
      <c r="H85">
        <v>1.57008745211864E-2</v>
      </c>
      <c r="I85">
        <v>0</v>
      </c>
      <c r="J85">
        <v>1</v>
      </c>
      <c r="K85">
        <v>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0.83618943731414597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0.86586763783419696</v>
      </c>
      <c r="U85">
        <f>IF((ContinuousStatsTable[[#This Row],[RepsRequested]]&gt;1),ContinuousStatsTable[[#This Row],[HalfWidth]],ContinuousStatsTable[[#This Row],[BatchMeansHalfWidth]])</f>
        <v>6.774830857795836E-3</v>
      </c>
    </row>
    <row r="86" spans="1:21" x14ac:dyDescent="0.25">
      <c r="A86" t="s">
        <v>67</v>
      </c>
      <c r="B86" t="s">
        <v>69</v>
      </c>
      <c r="C86">
        <v>2</v>
      </c>
      <c r="D86" t="s">
        <v>108</v>
      </c>
      <c r="E86" t="s">
        <v>97</v>
      </c>
      <c r="F86" t="s">
        <v>96</v>
      </c>
      <c r="G86">
        <v>0.85145823741080795</v>
      </c>
      <c r="H86">
        <v>1.57008745211864E-2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0.83618943731414597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0.86586763783419696</v>
      </c>
      <c r="U86">
        <f>IF((ContinuousStatsTable[[#This Row],[RepsRequested]]&gt;1),ContinuousStatsTable[[#This Row],[HalfWidth]],ContinuousStatsTable[[#This Row],[BatchMeansHalfWidth]])</f>
        <v>6.774830857795836E-3</v>
      </c>
    </row>
    <row r="87" spans="1:21" x14ac:dyDescent="0.25">
      <c r="A87" t="s">
        <v>67</v>
      </c>
      <c r="B87" t="s">
        <v>69</v>
      </c>
      <c r="C87">
        <v>2</v>
      </c>
      <c r="D87" t="s">
        <v>108</v>
      </c>
      <c r="E87" t="s">
        <v>98</v>
      </c>
      <c r="F87" t="s">
        <v>96</v>
      </c>
      <c r="G87">
        <v>1</v>
      </c>
      <c r="H87">
        <v>2E+20</v>
      </c>
      <c r="I87">
        <v>1</v>
      </c>
      <c r="J87">
        <v>1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</v>
      </c>
      <c r="U87">
        <f>IF((ContinuousStatsTable[[#This Row],[RepsRequested]]&gt;1),ContinuousStatsTable[[#This Row],[HalfWidth]],ContinuousStatsTable[[#This Row],[BatchMeansHalfWidth]])</f>
        <v>0</v>
      </c>
    </row>
    <row r="88" spans="1:21" x14ac:dyDescent="0.25">
      <c r="A88" t="s">
        <v>67</v>
      </c>
      <c r="B88" t="s">
        <v>69</v>
      </c>
      <c r="C88">
        <v>2</v>
      </c>
      <c r="D88" t="s">
        <v>109</v>
      </c>
      <c r="E88" t="s">
        <v>95</v>
      </c>
      <c r="F88" t="s">
        <v>96</v>
      </c>
      <c r="G88">
        <v>0.77941254464726095</v>
      </c>
      <c r="H88">
        <v>2.0222932690282702E-2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0.75864843854708297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0.79252596119945096</v>
      </c>
      <c r="U88">
        <f>IF((ContinuousStatsTable[[#This Row],[RepsRequested]]&gt;1),ContinuousStatsTable[[#This Row],[HalfWidth]],ContinuousStatsTable[[#This Row],[BatchMeansHalfWidth]])</f>
        <v>7.9650525926457348E-3</v>
      </c>
    </row>
    <row r="89" spans="1:21" x14ac:dyDescent="0.25">
      <c r="A89" t="s">
        <v>67</v>
      </c>
      <c r="B89" t="s">
        <v>69</v>
      </c>
      <c r="C89">
        <v>2</v>
      </c>
      <c r="D89" t="s">
        <v>109</v>
      </c>
      <c r="E89" t="s">
        <v>97</v>
      </c>
      <c r="F89" t="s">
        <v>96</v>
      </c>
      <c r="G89">
        <v>0.77941254464726095</v>
      </c>
      <c r="H89">
        <v>2.0222932690282702E-2</v>
      </c>
      <c r="I89">
        <v>0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0.75864843854708297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0.79252596119945096</v>
      </c>
      <c r="U89">
        <f>IF((ContinuousStatsTable[[#This Row],[RepsRequested]]&gt;1),ContinuousStatsTable[[#This Row],[HalfWidth]],ContinuousStatsTable[[#This Row],[BatchMeansHalfWidth]])</f>
        <v>7.9650525926457348E-3</v>
      </c>
    </row>
    <row r="90" spans="1:21" x14ac:dyDescent="0.25">
      <c r="A90" t="s">
        <v>67</v>
      </c>
      <c r="B90" t="s">
        <v>69</v>
      </c>
      <c r="C90">
        <v>2</v>
      </c>
      <c r="D90" t="s">
        <v>109</v>
      </c>
      <c r="E90" t="s">
        <v>98</v>
      </c>
      <c r="F90" t="s">
        <v>96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25">
      <c r="A91" t="s">
        <v>67</v>
      </c>
      <c r="B91" t="s">
        <v>69</v>
      </c>
      <c r="C91">
        <v>2</v>
      </c>
      <c r="D91" t="s">
        <v>110</v>
      </c>
      <c r="E91" t="s">
        <v>95</v>
      </c>
      <c r="F91" t="s">
        <v>96</v>
      </c>
      <c r="G91">
        <v>0.86416230461230104</v>
      </c>
      <c r="H91">
        <v>1.8495061320901601E-2</v>
      </c>
      <c r="I91">
        <v>0</v>
      </c>
      <c r="J91">
        <v>1</v>
      </c>
      <c r="K91">
        <v>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0.84465777371794004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0.87000527345659695</v>
      </c>
      <c r="U91">
        <f>IF((ContinuousStatsTable[[#This Row],[RepsRequested]]&gt;1),ContinuousStatsTable[[#This Row],[HalfWidth]],ContinuousStatsTable[[#This Row],[BatchMeansHalfWidth]])</f>
        <v>5.8838019158664288E-3</v>
      </c>
    </row>
    <row r="92" spans="1:21" x14ac:dyDescent="0.25">
      <c r="A92" t="s">
        <v>67</v>
      </c>
      <c r="B92" t="s">
        <v>69</v>
      </c>
      <c r="C92">
        <v>2</v>
      </c>
      <c r="D92" t="s">
        <v>110</v>
      </c>
      <c r="E92" t="s">
        <v>97</v>
      </c>
      <c r="F92" t="s">
        <v>96</v>
      </c>
      <c r="G92">
        <v>0.86416230461230104</v>
      </c>
      <c r="H92">
        <v>1.8495061320901601E-2</v>
      </c>
      <c r="I92">
        <v>0</v>
      </c>
      <c r="J92">
        <v>1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0.84465777371794004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0.87000527345659695</v>
      </c>
      <c r="U92">
        <f>IF((ContinuousStatsTable[[#This Row],[RepsRequested]]&gt;1),ContinuousStatsTable[[#This Row],[HalfWidth]],ContinuousStatsTable[[#This Row],[BatchMeansHalfWidth]])</f>
        <v>5.8838019158664288E-3</v>
      </c>
    </row>
    <row r="93" spans="1:21" x14ac:dyDescent="0.25">
      <c r="A93" t="s">
        <v>67</v>
      </c>
      <c r="B93" t="s">
        <v>69</v>
      </c>
      <c r="C93">
        <v>2</v>
      </c>
      <c r="D93" t="s">
        <v>110</v>
      </c>
      <c r="E93" t="s">
        <v>98</v>
      </c>
      <c r="F93" t="s">
        <v>96</v>
      </c>
      <c r="G93">
        <v>1</v>
      </c>
      <c r="H93">
        <v>2E+20</v>
      </c>
      <c r="I93">
        <v>1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1</v>
      </c>
      <c r="U93">
        <f>IF((ContinuousStatsTable[[#This Row],[RepsRequested]]&gt;1),ContinuousStatsTable[[#This Row],[HalfWidth]],ContinuousStatsTable[[#This Row],[BatchMeansHalfWidth]])</f>
        <v>0</v>
      </c>
    </row>
    <row r="94" spans="1:21" x14ac:dyDescent="0.25">
      <c r="A94" t="s">
        <v>67</v>
      </c>
      <c r="B94" t="s">
        <v>69</v>
      </c>
      <c r="C94">
        <v>2</v>
      </c>
      <c r="D94" t="s">
        <v>90</v>
      </c>
      <c r="E94" t="s">
        <v>93</v>
      </c>
      <c r="F94" t="s">
        <v>72</v>
      </c>
      <c r="G94">
        <v>2.8283600663081301</v>
      </c>
      <c r="H94">
        <v>0.43337555141455802</v>
      </c>
      <c r="I94">
        <v>0</v>
      </c>
      <c r="J94">
        <v>21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2.3924416646278499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3.7422761400348601</v>
      </c>
      <c r="U94">
        <f>IF((ContinuousStatsTable[[#This Row],[RepsRequested]]&gt;1),ContinuousStatsTable[[#This Row],[HalfWidth]],ContinuousStatsTable[[#This Row],[BatchMeansHalfWidth]])</f>
        <v>0.29747169945211638</v>
      </c>
    </row>
    <row r="95" spans="1:21" x14ac:dyDescent="0.25">
      <c r="A95" t="s">
        <v>67</v>
      </c>
      <c r="B95" t="s">
        <v>69</v>
      </c>
      <c r="C95">
        <v>2</v>
      </c>
      <c r="D95" t="s">
        <v>91</v>
      </c>
      <c r="E95" t="s">
        <v>93</v>
      </c>
      <c r="F95" t="s">
        <v>72</v>
      </c>
      <c r="G95">
        <v>1.52596227809581</v>
      </c>
      <c r="H95">
        <v>3E+20</v>
      </c>
      <c r="I95">
        <v>0</v>
      </c>
      <c r="J95">
        <v>14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1.2409432816355801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1.7520834896992801</v>
      </c>
      <c r="U95">
        <f>IF((ContinuousStatsTable[[#This Row],[RepsRequested]]&gt;1),ContinuousStatsTable[[#This Row],[HalfWidth]],ContinuousStatsTable[[#This Row],[BatchMeansHalfWidth]])</f>
        <v>0.1220330504521152</v>
      </c>
    </row>
    <row r="96" spans="1:21" x14ac:dyDescent="0.25">
      <c r="A96" t="s">
        <v>67</v>
      </c>
      <c r="B96" t="s">
        <v>69</v>
      </c>
      <c r="C96">
        <v>2</v>
      </c>
      <c r="D96" t="s">
        <v>92</v>
      </c>
      <c r="E96" t="s">
        <v>93</v>
      </c>
      <c r="F96" t="s">
        <v>72</v>
      </c>
      <c r="G96">
        <v>2.5757275745167099</v>
      </c>
      <c r="H96">
        <v>0.51595506590556195</v>
      </c>
      <c r="I96">
        <v>0</v>
      </c>
      <c r="J96">
        <v>23</v>
      </c>
      <c r="K96">
        <v>6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2.1762907983550299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2.7399798743587298</v>
      </c>
      <c r="U96">
        <f>IF((ContinuousStatsTable[[#This Row],[RepsRequested]]&gt;1),ContinuousStatsTable[[#This Row],[HalfWidth]],ContinuousStatsTable[[#This Row],[BatchMeansHalfWidth]])</f>
        <v>0.1357647963567922</v>
      </c>
    </row>
    <row r="97" spans="1:21" x14ac:dyDescent="0.25">
      <c r="A97" t="s">
        <v>67</v>
      </c>
      <c r="B97" t="s">
        <v>69</v>
      </c>
      <c r="C97">
        <v>2</v>
      </c>
      <c r="D97" t="s">
        <v>111</v>
      </c>
      <c r="E97" t="s">
        <v>97</v>
      </c>
      <c r="F97" t="s">
        <v>112</v>
      </c>
      <c r="G97">
        <v>0.80206895797996103</v>
      </c>
      <c r="H97">
        <v>1.0148976692530899E-2</v>
      </c>
      <c r="I97">
        <v>0</v>
      </c>
      <c r="J97">
        <v>2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0.79714222975806304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0.81086270984605202</v>
      </c>
      <c r="U97">
        <f>IF((ContinuousStatsTable[[#This Row],[RepsRequested]]&gt;1),ContinuousStatsTable[[#This Row],[HalfWidth]],ContinuousStatsTable[[#This Row],[BatchMeansHalfWidth]])</f>
        <v>3.3416443147686586E-3</v>
      </c>
    </row>
    <row r="98" spans="1:21" x14ac:dyDescent="0.25">
      <c r="A98" t="s">
        <v>67</v>
      </c>
      <c r="B98" t="s">
        <v>69</v>
      </c>
      <c r="C98">
        <v>2</v>
      </c>
      <c r="D98" t="s">
        <v>111</v>
      </c>
      <c r="E98" t="s">
        <v>98</v>
      </c>
      <c r="F98" t="s">
        <v>112</v>
      </c>
      <c r="G98">
        <v>2</v>
      </c>
      <c r="H98">
        <v>2E+20</v>
      </c>
      <c r="I98">
        <v>2</v>
      </c>
      <c r="J98">
        <v>2</v>
      </c>
      <c r="K98">
        <v>2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2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2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2</v>
      </c>
      <c r="U98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67</v>
      </c>
      <c r="B99" t="s">
        <v>69</v>
      </c>
      <c r="C99">
        <v>2</v>
      </c>
      <c r="D99" t="s">
        <v>111</v>
      </c>
      <c r="E99" t="s">
        <v>113</v>
      </c>
      <c r="F99" t="s">
        <v>112</v>
      </c>
      <c r="G99">
        <v>0.40103447898998001</v>
      </c>
      <c r="H99">
        <v>5.0744883462654402E-3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0.39857111487903202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0.40543135492302601</v>
      </c>
      <c r="U99">
        <f>IF((ContinuousStatsTable[[#This Row],[RepsRequested]]&gt;1),ContinuousStatsTable[[#This Row],[HalfWidth]],ContinuousStatsTable[[#This Row],[BatchMeansHalfWidth]])</f>
        <v>1.6708221573839188E-3</v>
      </c>
    </row>
    <row r="100" spans="1:21" x14ac:dyDescent="0.25">
      <c r="A100" t="s">
        <v>67</v>
      </c>
      <c r="B100" t="s">
        <v>69</v>
      </c>
      <c r="C100">
        <v>3</v>
      </c>
      <c r="D100" t="s">
        <v>70</v>
      </c>
      <c r="E100" t="s">
        <v>93</v>
      </c>
      <c r="F100" t="s">
        <v>72</v>
      </c>
      <c r="G100">
        <v>2.3188373788375798</v>
      </c>
      <c r="H100">
        <v>0.67752315946838704</v>
      </c>
      <c r="I100">
        <v>0</v>
      </c>
      <c r="J100">
        <v>36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1.76226441002947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2.3188373788375798</v>
      </c>
      <c r="U100">
        <f>IF((ContinuousStatsTable[[#This Row],[RepsRequested]]&gt;1),ContinuousStatsTable[[#This Row],[HalfWidth]],ContinuousStatsTable[[#This Row],[BatchMeansHalfWidth]])</f>
        <v>0.12049041629004678</v>
      </c>
    </row>
    <row r="101" spans="1:21" x14ac:dyDescent="0.25">
      <c r="A101" t="s">
        <v>67</v>
      </c>
      <c r="B101" t="s">
        <v>69</v>
      </c>
      <c r="C101">
        <v>3</v>
      </c>
      <c r="D101" t="s">
        <v>94</v>
      </c>
      <c r="E101" t="s">
        <v>95</v>
      </c>
      <c r="F101" t="s">
        <v>96</v>
      </c>
      <c r="G101">
        <v>0.76817992377286104</v>
      </c>
      <c r="H101">
        <v>2.0213089707816E-2</v>
      </c>
      <c r="I101">
        <v>0</v>
      </c>
      <c r="J101">
        <v>1</v>
      </c>
      <c r="K101">
        <v>1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0.73578099184835299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0.76817992377286104</v>
      </c>
      <c r="U101">
        <f>IF((ContinuousStatsTable[[#This Row],[RepsRequested]]&gt;1),ContinuousStatsTable[[#This Row],[HalfWidth]],ContinuousStatsTable[[#This Row],[BatchMeansHalfWidth]])</f>
        <v>6.6348533752732253E-3</v>
      </c>
    </row>
    <row r="102" spans="1:21" x14ac:dyDescent="0.25">
      <c r="A102" t="s">
        <v>67</v>
      </c>
      <c r="B102" t="s">
        <v>69</v>
      </c>
      <c r="C102">
        <v>3</v>
      </c>
      <c r="D102" t="s">
        <v>94</v>
      </c>
      <c r="E102" t="s">
        <v>97</v>
      </c>
      <c r="F102" t="s">
        <v>96</v>
      </c>
      <c r="G102">
        <v>1.5363598475457201</v>
      </c>
      <c r="H102">
        <v>4.0426179415632001E-2</v>
      </c>
      <c r="I102">
        <v>0</v>
      </c>
      <c r="J102">
        <v>2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1.47156198369671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1.5363598475457201</v>
      </c>
      <c r="U102">
        <f>IF((ContinuousStatsTable[[#This Row],[RepsRequested]]&gt;1),ContinuousStatsTable[[#This Row],[HalfWidth]],ContinuousStatsTable[[#This Row],[BatchMeansHalfWidth]])</f>
        <v>1.3269706750545264E-2</v>
      </c>
    </row>
    <row r="103" spans="1:21" x14ac:dyDescent="0.25">
      <c r="A103" t="s">
        <v>67</v>
      </c>
      <c r="B103" t="s">
        <v>69</v>
      </c>
      <c r="C103">
        <v>3</v>
      </c>
      <c r="D103" t="s">
        <v>94</v>
      </c>
      <c r="E103" t="s">
        <v>98</v>
      </c>
      <c r="F103" t="s">
        <v>96</v>
      </c>
      <c r="G103">
        <v>2</v>
      </c>
      <c r="H103">
        <v>2E+20</v>
      </c>
      <c r="I103">
        <v>2</v>
      </c>
      <c r="J103">
        <v>2</v>
      </c>
      <c r="K103">
        <v>2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2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2</v>
      </c>
      <c r="U103">
        <f>IF((ContinuousStatsTable[[#This Row],[RepsRequested]]&gt;1),ContinuousStatsTable[[#This Row],[HalfWidth]],ContinuousStatsTable[[#This Row],[BatchMeansHalfWidth]])</f>
        <v>0</v>
      </c>
    </row>
    <row r="104" spans="1:21" x14ac:dyDescent="0.25">
      <c r="A104" t="s">
        <v>67</v>
      </c>
      <c r="B104" t="s">
        <v>69</v>
      </c>
      <c r="C104">
        <v>3</v>
      </c>
      <c r="D104" t="s">
        <v>99</v>
      </c>
      <c r="E104" t="s">
        <v>95</v>
      </c>
      <c r="F104" t="s">
        <v>96</v>
      </c>
      <c r="G104">
        <v>0.76666045600624</v>
      </c>
      <c r="H104">
        <v>2.2265740348484601E-2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0.73777590022083495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0.76666045600624</v>
      </c>
      <c r="U104">
        <f>IF((ContinuousStatsTable[[#This Row],[RepsRequested]]&gt;1),ContinuousStatsTable[[#This Row],[HalfWidth]],ContinuousStatsTable[[#This Row],[BatchMeansHalfWidth]])</f>
        <v>6.5760437266769349E-3</v>
      </c>
    </row>
    <row r="105" spans="1:21" x14ac:dyDescent="0.25">
      <c r="A105" t="s">
        <v>67</v>
      </c>
      <c r="B105" t="s">
        <v>69</v>
      </c>
      <c r="C105">
        <v>3</v>
      </c>
      <c r="D105" t="s">
        <v>99</v>
      </c>
      <c r="E105" t="s">
        <v>97</v>
      </c>
      <c r="F105" t="s">
        <v>96</v>
      </c>
      <c r="G105">
        <v>0.76666045600624</v>
      </c>
      <c r="H105">
        <v>2.2265740348484601E-2</v>
      </c>
      <c r="I105">
        <v>0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0.73777590022083495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0.76666045600624</v>
      </c>
      <c r="U105">
        <f>IF((ContinuousStatsTable[[#This Row],[RepsRequested]]&gt;1),ContinuousStatsTable[[#This Row],[HalfWidth]],ContinuousStatsTable[[#This Row],[BatchMeansHalfWidth]])</f>
        <v>6.5760437266769349E-3</v>
      </c>
    </row>
    <row r="106" spans="1:21" x14ac:dyDescent="0.25">
      <c r="A106" t="s">
        <v>67</v>
      </c>
      <c r="B106" t="s">
        <v>69</v>
      </c>
      <c r="C106">
        <v>3</v>
      </c>
      <c r="D106" t="s">
        <v>99</v>
      </c>
      <c r="E106" t="s">
        <v>98</v>
      </c>
      <c r="F106" t="s">
        <v>96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>
        <f>IF((ContinuousStatsTable[[#This Row],[RepsRequested]]&gt;1),ContinuousStatsTable[[#This Row],[HalfWidth]],ContinuousStatsTable[[#This Row],[BatchMeansHalfWidth]])</f>
        <v>0</v>
      </c>
    </row>
    <row r="107" spans="1:21" x14ac:dyDescent="0.25">
      <c r="A107" t="s">
        <v>67</v>
      </c>
      <c r="B107" t="s">
        <v>69</v>
      </c>
      <c r="C107">
        <v>3</v>
      </c>
      <c r="D107" t="s">
        <v>100</v>
      </c>
      <c r="E107" t="s">
        <v>95</v>
      </c>
      <c r="F107" t="s">
        <v>96</v>
      </c>
      <c r="G107">
        <v>0.76969939153947697</v>
      </c>
      <c r="H107">
        <v>1.94257691137068E-2</v>
      </c>
      <c r="I107">
        <v>0</v>
      </c>
      <c r="J107">
        <v>1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0.73378608347586405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0.76969939153947697</v>
      </c>
      <c r="U107">
        <f>IF((ContinuousStatsTable[[#This Row],[RepsRequested]]&gt;1),ContinuousStatsTable[[#This Row],[HalfWidth]],ContinuousStatsTable[[#This Row],[BatchMeansHalfWidth]])</f>
        <v>7.298068329198576E-3</v>
      </c>
    </row>
    <row r="108" spans="1:21" x14ac:dyDescent="0.25">
      <c r="A108" t="s">
        <v>67</v>
      </c>
      <c r="B108" t="s">
        <v>69</v>
      </c>
      <c r="C108">
        <v>3</v>
      </c>
      <c r="D108" t="s">
        <v>100</v>
      </c>
      <c r="E108" t="s">
        <v>97</v>
      </c>
      <c r="F108" t="s">
        <v>96</v>
      </c>
      <c r="G108">
        <v>0.76969939153947697</v>
      </c>
      <c r="H108">
        <v>1.94257691137068E-2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0.73378608347586405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0.76969939153947697</v>
      </c>
      <c r="U108">
        <f>IF((ContinuousStatsTable[[#This Row],[RepsRequested]]&gt;1),ContinuousStatsTable[[#This Row],[HalfWidth]],ContinuousStatsTable[[#This Row],[BatchMeansHalfWidth]])</f>
        <v>7.298068329198576E-3</v>
      </c>
    </row>
    <row r="109" spans="1:21" x14ac:dyDescent="0.25">
      <c r="A109" t="s">
        <v>67</v>
      </c>
      <c r="B109" t="s">
        <v>69</v>
      </c>
      <c r="C109">
        <v>3</v>
      </c>
      <c r="D109" t="s">
        <v>100</v>
      </c>
      <c r="E109" t="s">
        <v>98</v>
      </c>
      <c r="F109" t="s">
        <v>96</v>
      </c>
      <c r="G109">
        <v>1</v>
      </c>
      <c r="H109">
        <v>2E+20</v>
      </c>
      <c r="I109">
        <v>1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67</v>
      </c>
      <c r="B110" t="s">
        <v>69</v>
      </c>
      <c r="C110">
        <v>3</v>
      </c>
      <c r="D110" t="s">
        <v>73</v>
      </c>
      <c r="E110" t="s">
        <v>101</v>
      </c>
      <c r="F110" t="s">
        <v>75</v>
      </c>
      <c r="G110">
        <v>18.8479471560706</v>
      </c>
      <c r="H110">
        <v>2.04907849246813</v>
      </c>
      <c r="I110">
        <v>0</v>
      </c>
      <c r="J110">
        <v>60</v>
      </c>
      <c r="K110">
        <v>10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16.327634071208799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18.8479471560706</v>
      </c>
      <c r="U110">
        <f>IF((ContinuousStatsTable[[#This Row],[RepsRequested]]&gt;1),ContinuousStatsTable[[#This Row],[HalfWidth]],ContinuousStatsTable[[#This Row],[BatchMeansHalfWidth]])</f>
        <v>0.51828581657665529</v>
      </c>
    </row>
    <row r="111" spans="1:21" x14ac:dyDescent="0.25">
      <c r="A111" t="s">
        <v>67</v>
      </c>
      <c r="B111" t="s">
        <v>69</v>
      </c>
      <c r="C111">
        <v>3</v>
      </c>
      <c r="D111" t="s">
        <v>84</v>
      </c>
      <c r="E111" t="s">
        <v>93</v>
      </c>
      <c r="F111" t="s">
        <v>72</v>
      </c>
      <c r="G111">
        <v>1.40699442999762</v>
      </c>
      <c r="H111">
        <v>0.30758129044554799</v>
      </c>
      <c r="I111">
        <v>0</v>
      </c>
      <c r="J111">
        <v>23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0.99579270827195998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1.40699442999762</v>
      </c>
      <c r="U111">
        <f>IF((ContinuousStatsTable[[#This Row],[RepsRequested]]&gt;1),ContinuousStatsTable[[#This Row],[HalfWidth]],ContinuousStatsTable[[#This Row],[BatchMeansHalfWidth]])</f>
        <v>9.4525954407496268E-2</v>
      </c>
    </row>
    <row r="112" spans="1:21" x14ac:dyDescent="0.25">
      <c r="A112" t="s">
        <v>67</v>
      </c>
      <c r="B112" t="s">
        <v>69</v>
      </c>
      <c r="C112">
        <v>3</v>
      </c>
      <c r="D112" t="s">
        <v>102</v>
      </c>
      <c r="E112" t="s">
        <v>95</v>
      </c>
      <c r="F112" t="s">
        <v>96</v>
      </c>
      <c r="G112">
        <v>0.87421498861245095</v>
      </c>
      <c r="H112">
        <v>1.6581995263496602E-2</v>
      </c>
      <c r="I112">
        <v>0</v>
      </c>
      <c r="J112">
        <v>1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0.85300206766602205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0.87632698102425799</v>
      </c>
      <c r="U112">
        <f>IF((ContinuousStatsTable[[#This Row],[RepsRequested]]&gt;1),ContinuousStatsTable[[#This Row],[HalfWidth]],ContinuousStatsTable[[#This Row],[BatchMeansHalfWidth]])</f>
        <v>5.2410393061669046E-3</v>
      </c>
    </row>
    <row r="113" spans="1:21" x14ac:dyDescent="0.25">
      <c r="A113" t="s">
        <v>67</v>
      </c>
      <c r="B113" t="s">
        <v>69</v>
      </c>
      <c r="C113">
        <v>3</v>
      </c>
      <c r="D113" t="s">
        <v>102</v>
      </c>
      <c r="E113" t="s">
        <v>97</v>
      </c>
      <c r="F113" t="s">
        <v>96</v>
      </c>
      <c r="G113">
        <v>0.87421498861245095</v>
      </c>
      <c r="H113">
        <v>1.6581995263496602E-2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0.85300206766602205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0.87632698102425799</v>
      </c>
      <c r="U113">
        <f>IF((ContinuousStatsTable[[#This Row],[RepsRequested]]&gt;1),ContinuousStatsTable[[#This Row],[HalfWidth]],ContinuousStatsTable[[#This Row],[BatchMeansHalfWidth]])</f>
        <v>5.2410393061669046E-3</v>
      </c>
    </row>
    <row r="114" spans="1:21" x14ac:dyDescent="0.25">
      <c r="A114" t="s">
        <v>67</v>
      </c>
      <c r="B114" t="s">
        <v>69</v>
      </c>
      <c r="C114">
        <v>3</v>
      </c>
      <c r="D114" t="s">
        <v>102</v>
      </c>
      <c r="E114" t="s">
        <v>98</v>
      </c>
      <c r="F114" t="s">
        <v>96</v>
      </c>
      <c r="G114">
        <v>1</v>
      </c>
      <c r="H114">
        <v>2E+20</v>
      </c>
      <c r="I114">
        <v>1</v>
      </c>
      <c r="J114">
        <v>1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</v>
      </c>
      <c r="U114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67</v>
      </c>
      <c r="B115" t="s">
        <v>69</v>
      </c>
      <c r="C115">
        <v>3</v>
      </c>
      <c r="D115" t="s">
        <v>103</v>
      </c>
      <c r="E115" t="s">
        <v>95</v>
      </c>
      <c r="F115" t="s">
        <v>96</v>
      </c>
      <c r="G115">
        <v>0.87245955473986703</v>
      </c>
      <c r="H115">
        <v>1.6496454404183E-2</v>
      </c>
      <c r="I115">
        <v>0</v>
      </c>
      <c r="J115">
        <v>1</v>
      </c>
      <c r="K115">
        <v>1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0.85267322894137698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0.87300868153341904</v>
      </c>
      <c r="U115">
        <f>IF((ContinuousStatsTable[[#This Row],[RepsRequested]]&gt;1),ContinuousStatsTable[[#This Row],[HalfWidth]],ContinuousStatsTable[[#This Row],[BatchMeansHalfWidth]])</f>
        <v>5.1492506011230968E-3</v>
      </c>
    </row>
    <row r="116" spans="1:21" x14ac:dyDescent="0.25">
      <c r="A116" t="s">
        <v>67</v>
      </c>
      <c r="B116" t="s">
        <v>69</v>
      </c>
      <c r="C116">
        <v>3</v>
      </c>
      <c r="D116" t="s">
        <v>103</v>
      </c>
      <c r="E116" t="s">
        <v>97</v>
      </c>
      <c r="F116" t="s">
        <v>96</v>
      </c>
      <c r="G116">
        <v>0.87245955473986703</v>
      </c>
      <c r="H116">
        <v>1.6496454404183E-2</v>
      </c>
      <c r="I116">
        <v>0</v>
      </c>
      <c r="J116">
        <v>1</v>
      </c>
      <c r="K116">
        <v>1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0.85267322894137698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0.87300868153341904</v>
      </c>
      <c r="U116">
        <f>IF((ContinuousStatsTable[[#This Row],[RepsRequested]]&gt;1),ContinuousStatsTable[[#This Row],[HalfWidth]],ContinuousStatsTable[[#This Row],[BatchMeansHalfWidth]])</f>
        <v>5.1492506011230968E-3</v>
      </c>
    </row>
    <row r="117" spans="1:21" x14ac:dyDescent="0.25">
      <c r="A117" t="s">
        <v>67</v>
      </c>
      <c r="B117" t="s">
        <v>69</v>
      </c>
      <c r="C117">
        <v>3</v>
      </c>
      <c r="D117" t="s">
        <v>103</v>
      </c>
      <c r="E117" t="s">
        <v>98</v>
      </c>
      <c r="F117" t="s">
        <v>96</v>
      </c>
      <c r="G117">
        <v>1</v>
      </c>
      <c r="H117">
        <v>2E+20</v>
      </c>
      <c r="I117">
        <v>1</v>
      </c>
      <c r="J117">
        <v>1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</v>
      </c>
      <c r="U117">
        <f>IF((ContinuousStatsTable[[#This Row],[RepsRequested]]&gt;1),ContinuousStatsTable[[#This Row],[HalfWidth]],ContinuousStatsTable[[#This Row],[BatchMeansHalfWidth]])</f>
        <v>0</v>
      </c>
    </row>
    <row r="118" spans="1:21" x14ac:dyDescent="0.25">
      <c r="A118" t="s">
        <v>67</v>
      </c>
      <c r="B118" t="s">
        <v>69</v>
      </c>
      <c r="C118">
        <v>3</v>
      </c>
      <c r="D118" t="s">
        <v>104</v>
      </c>
      <c r="E118" t="s">
        <v>95</v>
      </c>
      <c r="F118" t="s">
        <v>96</v>
      </c>
      <c r="G118">
        <v>0.87436351179675398</v>
      </c>
      <c r="H118">
        <v>1.5862164417720401E-2</v>
      </c>
      <c r="I118">
        <v>0</v>
      </c>
      <c r="J118">
        <v>1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0.85312589705184705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0.87436351179675398</v>
      </c>
      <c r="U118">
        <f>IF((ContinuousStatsTable[[#This Row],[RepsRequested]]&gt;1),ContinuousStatsTable[[#This Row],[HalfWidth]],ContinuousStatsTable[[#This Row],[BatchMeansHalfWidth]])</f>
        <v>5.093233831135466E-3</v>
      </c>
    </row>
    <row r="119" spans="1:21" x14ac:dyDescent="0.25">
      <c r="A119" t="s">
        <v>67</v>
      </c>
      <c r="B119" t="s">
        <v>69</v>
      </c>
      <c r="C119">
        <v>3</v>
      </c>
      <c r="D119" t="s">
        <v>104</v>
      </c>
      <c r="E119" t="s">
        <v>97</v>
      </c>
      <c r="F119" t="s">
        <v>96</v>
      </c>
      <c r="G119">
        <v>0.87436351179675398</v>
      </c>
      <c r="H119">
        <v>1.5862164417720401E-2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0.85312589705184705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0.87436351179675398</v>
      </c>
      <c r="U119">
        <f>IF((ContinuousStatsTable[[#This Row],[RepsRequested]]&gt;1),ContinuousStatsTable[[#This Row],[HalfWidth]],ContinuousStatsTable[[#This Row],[BatchMeansHalfWidth]])</f>
        <v>5.093233831135466E-3</v>
      </c>
    </row>
    <row r="120" spans="1:21" x14ac:dyDescent="0.25">
      <c r="A120" t="s">
        <v>67</v>
      </c>
      <c r="B120" t="s">
        <v>69</v>
      </c>
      <c r="C120">
        <v>3</v>
      </c>
      <c r="D120" t="s">
        <v>104</v>
      </c>
      <c r="E120" t="s">
        <v>98</v>
      </c>
      <c r="F120" t="s">
        <v>96</v>
      </c>
      <c r="G120">
        <v>1</v>
      </c>
      <c r="H120">
        <v>2E+20</v>
      </c>
      <c r="I120">
        <v>1</v>
      </c>
      <c r="J120">
        <v>1</v>
      </c>
      <c r="K120">
        <v>1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1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25">
      <c r="A121" t="s">
        <v>67</v>
      </c>
      <c r="B121" t="s">
        <v>69</v>
      </c>
      <c r="C121">
        <v>3</v>
      </c>
      <c r="D121" t="s">
        <v>85</v>
      </c>
      <c r="E121" t="s">
        <v>93</v>
      </c>
      <c r="F121" t="s">
        <v>72</v>
      </c>
      <c r="G121">
        <v>4.8884321809669097E-3</v>
      </c>
      <c r="H121">
        <v>4.6608628419691101E-4</v>
      </c>
      <c r="I121">
        <v>0</v>
      </c>
      <c r="J121">
        <v>1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4.46975375012869E-3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5.19139886192292E-3</v>
      </c>
      <c r="U121">
        <f>IF((ContinuousStatsTable[[#This Row],[RepsRequested]]&gt;1),ContinuousStatsTable[[#This Row],[HalfWidth]],ContinuousStatsTable[[#This Row],[BatchMeansHalfWidth]])</f>
        <v>1.5212674323174428E-4</v>
      </c>
    </row>
    <row r="122" spans="1:21" x14ac:dyDescent="0.25">
      <c r="A122" t="s">
        <v>67</v>
      </c>
      <c r="B122" t="s">
        <v>69</v>
      </c>
      <c r="C122">
        <v>3</v>
      </c>
      <c r="D122" t="s">
        <v>86</v>
      </c>
      <c r="E122" t="s">
        <v>93</v>
      </c>
      <c r="F122" t="s">
        <v>72</v>
      </c>
      <c r="G122">
        <v>6.9305018151766496E-3</v>
      </c>
      <c r="H122">
        <v>4.8802154182619702E-4</v>
      </c>
      <c r="I122">
        <v>0</v>
      </c>
      <c r="J122">
        <v>3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6.4644878524100302E-3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7.1613926309565699E-3</v>
      </c>
      <c r="U122">
        <f>IF((ContinuousStatsTable[[#This Row],[RepsRequested]]&gt;1),ContinuousStatsTable[[#This Row],[HalfWidth]],ContinuousStatsTable[[#This Row],[BatchMeansHalfWidth]])</f>
        <v>1.9039143298908446E-4</v>
      </c>
    </row>
    <row r="123" spans="1:21" x14ac:dyDescent="0.25">
      <c r="A123" t="s">
        <v>67</v>
      </c>
      <c r="B123" t="s">
        <v>69</v>
      </c>
      <c r="C123">
        <v>3</v>
      </c>
      <c r="D123" t="s">
        <v>87</v>
      </c>
      <c r="E123" t="s">
        <v>93</v>
      </c>
      <c r="F123" t="s">
        <v>72</v>
      </c>
      <c r="G123">
        <v>2.9348565782967E-3</v>
      </c>
      <c r="H123">
        <v>2.6330569596614298E-4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2.6429119389876198E-3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3.0552991746512601E-3</v>
      </c>
      <c r="U123">
        <f>IF((ContinuousStatsTable[[#This Row],[RepsRequested]]&gt;1),ContinuousStatsTable[[#This Row],[HalfWidth]],ContinuousStatsTable[[#This Row],[BatchMeansHalfWidth]])</f>
        <v>1.0063752504111057E-4</v>
      </c>
    </row>
    <row r="124" spans="1:21" x14ac:dyDescent="0.25">
      <c r="A124" t="s">
        <v>67</v>
      </c>
      <c r="B124" t="s">
        <v>69</v>
      </c>
      <c r="C124">
        <v>3</v>
      </c>
      <c r="D124" t="s">
        <v>88</v>
      </c>
      <c r="E124" t="s">
        <v>93</v>
      </c>
      <c r="F124" t="s">
        <v>72</v>
      </c>
      <c r="G124">
        <v>4.0639472774457704E-3</v>
      </c>
      <c r="H124">
        <v>3.9442212119566999E-4</v>
      </c>
      <c r="I124">
        <v>0</v>
      </c>
      <c r="J124">
        <v>1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3.7244128651004798E-3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4.35137641764906E-3</v>
      </c>
      <c r="U124">
        <f>IF((ContinuousStatsTable[[#This Row],[RepsRequested]]&gt;1),ContinuousStatsTable[[#This Row],[HalfWidth]],ContinuousStatsTable[[#This Row],[BatchMeansHalfWidth]])</f>
        <v>1.2471918446914371E-4</v>
      </c>
    </row>
    <row r="125" spans="1:21" x14ac:dyDescent="0.25">
      <c r="A125" t="s">
        <v>67</v>
      </c>
      <c r="B125" t="s">
        <v>69</v>
      </c>
      <c r="C125">
        <v>3</v>
      </c>
      <c r="D125" t="s">
        <v>105</v>
      </c>
      <c r="E125" t="s">
        <v>95</v>
      </c>
      <c r="F125" t="s">
        <v>96</v>
      </c>
      <c r="G125">
        <v>0.86586763783419696</v>
      </c>
      <c r="H125">
        <v>1.8279649392751601E-2</v>
      </c>
      <c r="I125">
        <v>0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0.83618943731414597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0.86586763783419696</v>
      </c>
      <c r="U125">
        <f>IF((ContinuousStatsTable[[#This Row],[RepsRequested]]&gt;1),ContinuousStatsTable[[#This Row],[HalfWidth]],ContinuousStatsTable[[#This Row],[BatchMeansHalfWidth]])</f>
        <v>6.774830857795836E-3</v>
      </c>
    </row>
    <row r="126" spans="1:21" x14ac:dyDescent="0.25">
      <c r="A126" t="s">
        <v>67</v>
      </c>
      <c r="B126" t="s">
        <v>69</v>
      </c>
      <c r="C126">
        <v>3</v>
      </c>
      <c r="D126" t="s">
        <v>105</v>
      </c>
      <c r="E126" t="s">
        <v>97</v>
      </c>
      <c r="F126" t="s">
        <v>96</v>
      </c>
      <c r="G126">
        <v>0.86586763783419696</v>
      </c>
      <c r="H126">
        <v>1.8279649392751601E-2</v>
      </c>
      <c r="I126">
        <v>0</v>
      </c>
      <c r="J126">
        <v>1</v>
      </c>
      <c r="K126">
        <v>1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0.83618943731414597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0.86586763783419696</v>
      </c>
      <c r="U126">
        <f>IF((ContinuousStatsTable[[#This Row],[RepsRequested]]&gt;1),ContinuousStatsTable[[#This Row],[HalfWidth]],ContinuousStatsTable[[#This Row],[BatchMeansHalfWidth]])</f>
        <v>6.774830857795836E-3</v>
      </c>
    </row>
    <row r="127" spans="1:21" x14ac:dyDescent="0.25">
      <c r="A127" t="s">
        <v>67</v>
      </c>
      <c r="B127" t="s">
        <v>69</v>
      </c>
      <c r="C127">
        <v>3</v>
      </c>
      <c r="D127" t="s">
        <v>105</v>
      </c>
      <c r="E127" t="s">
        <v>98</v>
      </c>
      <c r="F127" t="s">
        <v>96</v>
      </c>
      <c r="G127">
        <v>1</v>
      </c>
      <c r="H127">
        <v>2E+20</v>
      </c>
      <c r="I127">
        <v>1</v>
      </c>
      <c r="J127">
        <v>1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</v>
      </c>
      <c r="U127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67</v>
      </c>
      <c r="B128" t="s">
        <v>69</v>
      </c>
      <c r="C128">
        <v>3</v>
      </c>
      <c r="D128" t="s">
        <v>106</v>
      </c>
      <c r="E128" t="s">
        <v>95</v>
      </c>
      <c r="F128" t="s">
        <v>96</v>
      </c>
      <c r="G128">
        <v>0.78350798083529505</v>
      </c>
      <c r="H128">
        <v>1.9058967620200599E-2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0.75864843854708297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0.79252596119945096</v>
      </c>
      <c r="U128">
        <f>IF((ContinuousStatsTable[[#This Row],[RepsRequested]]&gt;1),ContinuousStatsTable[[#This Row],[HalfWidth]],ContinuousStatsTable[[#This Row],[BatchMeansHalfWidth]])</f>
        <v>7.9650525926457348E-3</v>
      </c>
    </row>
    <row r="129" spans="1:21" x14ac:dyDescent="0.25">
      <c r="A129" t="s">
        <v>67</v>
      </c>
      <c r="B129" t="s">
        <v>69</v>
      </c>
      <c r="C129">
        <v>3</v>
      </c>
      <c r="D129" t="s">
        <v>106</v>
      </c>
      <c r="E129" t="s">
        <v>97</v>
      </c>
      <c r="F129" t="s">
        <v>96</v>
      </c>
      <c r="G129">
        <v>0.78350798083529505</v>
      </c>
      <c r="H129">
        <v>1.9058967620200599E-2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0.75864843854708297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0.79252596119945096</v>
      </c>
      <c r="U129">
        <f>IF((ContinuousStatsTable[[#This Row],[RepsRequested]]&gt;1),ContinuousStatsTable[[#This Row],[HalfWidth]],ContinuousStatsTable[[#This Row],[BatchMeansHalfWidth]])</f>
        <v>7.9650525926457348E-3</v>
      </c>
    </row>
    <row r="130" spans="1:21" x14ac:dyDescent="0.25">
      <c r="A130" t="s">
        <v>67</v>
      </c>
      <c r="B130" t="s">
        <v>69</v>
      </c>
      <c r="C130">
        <v>3</v>
      </c>
      <c r="D130" t="s">
        <v>106</v>
      </c>
      <c r="E130" t="s">
        <v>98</v>
      </c>
      <c r="F130" t="s">
        <v>96</v>
      </c>
      <c r="G130">
        <v>1</v>
      </c>
      <c r="H130">
        <v>2E+20</v>
      </c>
      <c r="I130">
        <v>1</v>
      </c>
      <c r="J130">
        <v>1</v>
      </c>
      <c r="K130">
        <v>1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1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25">
      <c r="A131" t="s">
        <v>67</v>
      </c>
      <c r="B131" t="s">
        <v>69</v>
      </c>
      <c r="C131">
        <v>3</v>
      </c>
      <c r="D131" t="s">
        <v>107</v>
      </c>
      <c r="E131" t="s">
        <v>95</v>
      </c>
      <c r="F131" t="s">
        <v>96</v>
      </c>
      <c r="G131">
        <v>0.86808987891478295</v>
      </c>
      <c r="H131">
        <v>2.0168452996495199E-2</v>
      </c>
      <c r="I131">
        <v>0</v>
      </c>
      <c r="J131">
        <v>1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0.84465777371794004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0.87000527345659695</v>
      </c>
      <c r="U131">
        <f>IF((ContinuousStatsTable[[#This Row],[RepsRequested]]&gt;1),ContinuousStatsTable[[#This Row],[HalfWidth]],ContinuousStatsTable[[#This Row],[BatchMeansHalfWidth]])</f>
        <v>5.8838019158664288E-3</v>
      </c>
    </row>
    <row r="132" spans="1:21" x14ac:dyDescent="0.25">
      <c r="A132" t="s">
        <v>67</v>
      </c>
      <c r="B132" t="s">
        <v>69</v>
      </c>
      <c r="C132">
        <v>3</v>
      </c>
      <c r="D132" t="s">
        <v>107</v>
      </c>
      <c r="E132" t="s">
        <v>97</v>
      </c>
      <c r="F132" t="s">
        <v>96</v>
      </c>
      <c r="G132">
        <v>0.86808987891478295</v>
      </c>
      <c r="H132">
        <v>2.0168452996495199E-2</v>
      </c>
      <c r="I132">
        <v>0</v>
      </c>
      <c r="J132">
        <v>1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0.84465777371794004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0.87000527345659695</v>
      </c>
      <c r="U132">
        <f>IF((ContinuousStatsTable[[#This Row],[RepsRequested]]&gt;1),ContinuousStatsTable[[#This Row],[HalfWidth]],ContinuousStatsTable[[#This Row],[BatchMeansHalfWidth]])</f>
        <v>5.8838019158664288E-3</v>
      </c>
    </row>
    <row r="133" spans="1:21" x14ac:dyDescent="0.25">
      <c r="A133" t="s">
        <v>67</v>
      </c>
      <c r="B133" t="s">
        <v>69</v>
      </c>
      <c r="C133">
        <v>3</v>
      </c>
      <c r="D133" t="s">
        <v>107</v>
      </c>
      <c r="E133" t="s">
        <v>98</v>
      </c>
      <c r="F133" t="s">
        <v>96</v>
      </c>
      <c r="G133">
        <v>1</v>
      </c>
      <c r="H133">
        <v>2E+20</v>
      </c>
      <c r="I133">
        <v>1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1</v>
      </c>
      <c r="U133">
        <f>IF((ContinuousStatsTable[[#This Row],[RepsRequested]]&gt;1),ContinuousStatsTable[[#This Row],[HalfWidth]],ContinuousStatsTable[[#This Row],[BatchMeansHalfWidth]])</f>
        <v>0</v>
      </c>
    </row>
    <row r="134" spans="1:21" x14ac:dyDescent="0.25">
      <c r="A134" t="s">
        <v>67</v>
      </c>
      <c r="B134" t="s">
        <v>69</v>
      </c>
      <c r="C134">
        <v>3</v>
      </c>
      <c r="D134" t="s">
        <v>108</v>
      </c>
      <c r="E134" t="s">
        <v>95</v>
      </c>
      <c r="F134" t="s">
        <v>96</v>
      </c>
      <c r="G134">
        <v>0.86586763783419696</v>
      </c>
      <c r="H134">
        <v>1.8279649392751601E-2</v>
      </c>
      <c r="I134">
        <v>0</v>
      </c>
      <c r="J134">
        <v>1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0.83618943731414597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0.86586763783419696</v>
      </c>
      <c r="U134">
        <f>IF((ContinuousStatsTable[[#This Row],[RepsRequested]]&gt;1),ContinuousStatsTable[[#This Row],[HalfWidth]],ContinuousStatsTable[[#This Row],[BatchMeansHalfWidth]])</f>
        <v>6.774830857795836E-3</v>
      </c>
    </row>
    <row r="135" spans="1:21" x14ac:dyDescent="0.25">
      <c r="A135" t="s">
        <v>67</v>
      </c>
      <c r="B135" t="s">
        <v>69</v>
      </c>
      <c r="C135">
        <v>3</v>
      </c>
      <c r="D135" t="s">
        <v>108</v>
      </c>
      <c r="E135" t="s">
        <v>97</v>
      </c>
      <c r="F135" t="s">
        <v>96</v>
      </c>
      <c r="G135">
        <v>0.86586763783419696</v>
      </c>
      <c r="H135">
        <v>1.8279649392751601E-2</v>
      </c>
      <c r="I135">
        <v>0</v>
      </c>
      <c r="J135">
        <v>1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0.83618943731414597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0.86586763783419696</v>
      </c>
      <c r="U135">
        <f>IF((ContinuousStatsTable[[#This Row],[RepsRequested]]&gt;1),ContinuousStatsTable[[#This Row],[HalfWidth]],ContinuousStatsTable[[#This Row],[BatchMeansHalfWidth]])</f>
        <v>6.774830857795836E-3</v>
      </c>
    </row>
    <row r="136" spans="1:21" x14ac:dyDescent="0.25">
      <c r="A136" t="s">
        <v>67</v>
      </c>
      <c r="B136" t="s">
        <v>69</v>
      </c>
      <c r="C136">
        <v>3</v>
      </c>
      <c r="D136" t="s">
        <v>108</v>
      </c>
      <c r="E136" t="s">
        <v>98</v>
      </c>
      <c r="F136" t="s">
        <v>96</v>
      </c>
      <c r="G136">
        <v>1</v>
      </c>
      <c r="H136">
        <v>2E+20</v>
      </c>
      <c r="I136">
        <v>1</v>
      </c>
      <c r="J136">
        <v>1</v>
      </c>
      <c r="K136">
        <v>1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1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</v>
      </c>
      <c r="U136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67</v>
      </c>
      <c r="B137" t="s">
        <v>69</v>
      </c>
      <c r="C137">
        <v>3</v>
      </c>
      <c r="D137" t="s">
        <v>109</v>
      </c>
      <c r="E137" t="s">
        <v>95</v>
      </c>
      <c r="F137" t="s">
        <v>96</v>
      </c>
      <c r="G137">
        <v>0.78350798083529505</v>
      </c>
      <c r="H137">
        <v>1.9058967620200599E-2</v>
      </c>
      <c r="I137">
        <v>0</v>
      </c>
      <c r="J137">
        <v>1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0.75864843854708297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0.79252596119945096</v>
      </c>
      <c r="U137">
        <f>IF((ContinuousStatsTable[[#This Row],[RepsRequested]]&gt;1),ContinuousStatsTable[[#This Row],[HalfWidth]],ContinuousStatsTable[[#This Row],[BatchMeansHalfWidth]])</f>
        <v>7.9650525926457348E-3</v>
      </c>
    </row>
    <row r="138" spans="1:21" x14ac:dyDescent="0.25">
      <c r="A138" t="s">
        <v>67</v>
      </c>
      <c r="B138" t="s">
        <v>69</v>
      </c>
      <c r="C138">
        <v>3</v>
      </c>
      <c r="D138" t="s">
        <v>109</v>
      </c>
      <c r="E138" t="s">
        <v>97</v>
      </c>
      <c r="F138" t="s">
        <v>96</v>
      </c>
      <c r="G138">
        <v>0.78350798083529505</v>
      </c>
      <c r="H138">
        <v>1.9058967620200599E-2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0.75864843854708297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0.79252596119945096</v>
      </c>
      <c r="U138">
        <f>IF((ContinuousStatsTable[[#This Row],[RepsRequested]]&gt;1),ContinuousStatsTable[[#This Row],[HalfWidth]],ContinuousStatsTable[[#This Row],[BatchMeansHalfWidth]])</f>
        <v>7.9650525926457348E-3</v>
      </c>
    </row>
    <row r="139" spans="1:21" x14ac:dyDescent="0.25">
      <c r="A139" t="s">
        <v>67</v>
      </c>
      <c r="B139" t="s">
        <v>69</v>
      </c>
      <c r="C139">
        <v>3</v>
      </c>
      <c r="D139" t="s">
        <v>109</v>
      </c>
      <c r="E139" t="s">
        <v>98</v>
      </c>
      <c r="F139" t="s">
        <v>96</v>
      </c>
      <c r="G139">
        <v>1</v>
      </c>
      <c r="H139">
        <v>2E+20</v>
      </c>
      <c r="I139">
        <v>1</v>
      </c>
      <c r="J139">
        <v>1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1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</v>
      </c>
      <c r="U139">
        <f>IF((ContinuousStatsTable[[#This Row],[RepsRequested]]&gt;1),ContinuousStatsTable[[#This Row],[HalfWidth]],ContinuousStatsTable[[#This Row],[BatchMeansHalfWidth]])</f>
        <v>0</v>
      </c>
    </row>
    <row r="140" spans="1:21" x14ac:dyDescent="0.25">
      <c r="A140" t="s">
        <v>67</v>
      </c>
      <c r="B140" t="s">
        <v>69</v>
      </c>
      <c r="C140">
        <v>3</v>
      </c>
      <c r="D140" t="s">
        <v>110</v>
      </c>
      <c r="E140" t="s">
        <v>95</v>
      </c>
      <c r="F140" t="s">
        <v>96</v>
      </c>
      <c r="G140">
        <v>0.86808987891478295</v>
      </c>
      <c r="H140">
        <v>2.0168452996495199E-2</v>
      </c>
      <c r="I140">
        <v>0</v>
      </c>
      <c r="J140">
        <v>1</v>
      </c>
      <c r="K140">
        <v>0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0.84465777371794004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0.87000527345659695</v>
      </c>
      <c r="U140">
        <f>IF((ContinuousStatsTable[[#This Row],[RepsRequested]]&gt;1),ContinuousStatsTable[[#This Row],[HalfWidth]],ContinuousStatsTable[[#This Row],[BatchMeansHalfWidth]])</f>
        <v>5.8838019158664288E-3</v>
      </c>
    </row>
    <row r="141" spans="1:21" x14ac:dyDescent="0.25">
      <c r="A141" t="s">
        <v>67</v>
      </c>
      <c r="B141" t="s">
        <v>69</v>
      </c>
      <c r="C141">
        <v>3</v>
      </c>
      <c r="D141" t="s">
        <v>110</v>
      </c>
      <c r="E141" t="s">
        <v>97</v>
      </c>
      <c r="F141" t="s">
        <v>96</v>
      </c>
      <c r="G141">
        <v>0.86808987891478295</v>
      </c>
      <c r="H141">
        <v>2.0168452996495199E-2</v>
      </c>
      <c r="I141">
        <v>0</v>
      </c>
      <c r="J141">
        <v>1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0.84465777371794004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0.87000527345659695</v>
      </c>
      <c r="U141">
        <f>IF((ContinuousStatsTable[[#This Row],[RepsRequested]]&gt;1),ContinuousStatsTable[[#This Row],[HalfWidth]],ContinuousStatsTable[[#This Row],[BatchMeansHalfWidth]])</f>
        <v>5.8838019158664288E-3</v>
      </c>
    </row>
    <row r="142" spans="1:21" x14ac:dyDescent="0.25">
      <c r="A142" t="s">
        <v>67</v>
      </c>
      <c r="B142" t="s">
        <v>69</v>
      </c>
      <c r="C142">
        <v>3</v>
      </c>
      <c r="D142" t="s">
        <v>110</v>
      </c>
      <c r="E142" t="s">
        <v>98</v>
      </c>
      <c r="F142" t="s">
        <v>96</v>
      </c>
      <c r="G142">
        <v>1</v>
      </c>
      <c r="H142">
        <v>2E+20</v>
      </c>
      <c r="I142">
        <v>1</v>
      </c>
      <c r="J142">
        <v>1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</v>
      </c>
      <c r="U142">
        <f>IF((ContinuousStatsTable[[#This Row],[RepsRequested]]&gt;1),ContinuousStatsTable[[#This Row],[HalfWidth]],ContinuousStatsTable[[#This Row],[BatchMeansHalfWidth]])</f>
        <v>0</v>
      </c>
    </row>
    <row r="143" spans="1:21" x14ac:dyDescent="0.25">
      <c r="A143" t="s">
        <v>67</v>
      </c>
      <c r="B143" t="s">
        <v>69</v>
      </c>
      <c r="C143">
        <v>3</v>
      </c>
      <c r="D143" t="s">
        <v>90</v>
      </c>
      <c r="E143" t="s">
        <v>93</v>
      </c>
      <c r="F143" t="s">
        <v>72</v>
      </c>
      <c r="G143">
        <v>3.47959426760394</v>
      </c>
      <c r="H143">
        <v>0.66369491529337798</v>
      </c>
      <c r="I143">
        <v>0</v>
      </c>
      <c r="J143">
        <v>34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2.3924416646278499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3.7422761400348601</v>
      </c>
      <c r="U143">
        <f>IF((ContinuousStatsTable[[#This Row],[RepsRequested]]&gt;1),ContinuousStatsTable[[#This Row],[HalfWidth]],ContinuousStatsTable[[#This Row],[BatchMeansHalfWidth]])</f>
        <v>0.29747169945211638</v>
      </c>
    </row>
    <row r="144" spans="1:21" x14ac:dyDescent="0.25">
      <c r="A144" t="s">
        <v>67</v>
      </c>
      <c r="B144" t="s">
        <v>69</v>
      </c>
      <c r="C144">
        <v>3</v>
      </c>
      <c r="D144" t="s">
        <v>91</v>
      </c>
      <c r="E144" t="s">
        <v>93</v>
      </c>
      <c r="F144" t="s">
        <v>72</v>
      </c>
      <c r="G144">
        <v>1.39970832693542</v>
      </c>
      <c r="H144">
        <v>0.17296002178990699</v>
      </c>
      <c r="I144">
        <v>0</v>
      </c>
      <c r="J144">
        <v>13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1.2409432816355801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1.7520834896992801</v>
      </c>
      <c r="U144">
        <f>IF((ContinuousStatsTable[[#This Row],[RepsRequested]]&gt;1),ContinuousStatsTable[[#This Row],[HalfWidth]],ContinuousStatsTable[[#This Row],[BatchMeansHalfWidth]])</f>
        <v>0.1220330504521152</v>
      </c>
    </row>
    <row r="145" spans="1:21" x14ac:dyDescent="0.25">
      <c r="A145" t="s">
        <v>67</v>
      </c>
      <c r="B145" t="s">
        <v>69</v>
      </c>
      <c r="C145">
        <v>3</v>
      </c>
      <c r="D145" t="s">
        <v>92</v>
      </c>
      <c r="E145" t="s">
        <v>93</v>
      </c>
      <c r="F145" t="s">
        <v>72</v>
      </c>
      <c r="G145">
        <v>2.7399798743587298</v>
      </c>
      <c r="H145">
        <v>0.63539169516920802</v>
      </c>
      <c r="I145">
        <v>0</v>
      </c>
      <c r="J145">
        <v>21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2.1762907983550299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2.7399798743587298</v>
      </c>
      <c r="U145">
        <f>IF((ContinuousStatsTable[[#This Row],[RepsRequested]]&gt;1),ContinuousStatsTable[[#This Row],[HalfWidth]],ContinuousStatsTable[[#This Row],[BatchMeansHalfWidth]])</f>
        <v>0.1357647963567922</v>
      </c>
    </row>
    <row r="146" spans="1:21" x14ac:dyDescent="0.25">
      <c r="A146" t="s">
        <v>67</v>
      </c>
      <c r="B146" t="s">
        <v>69</v>
      </c>
      <c r="C146">
        <v>3</v>
      </c>
      <c r="D146" t="s">
        <v>111</v>
      </c>
      <c r="E146" t="s">
        <v>97</v>
      </c>
      <c r="F146" t="s">
        <v>112</v>
      </c>
      <c r="G146">
        <v>0.80915174020639202</v>
      </c>
      <c r="H146">
        <v>7.8433740406966598E-3</v>
      </c>
      <c r="I146">
        <v>0</v>
      </c>
      <c r="J146">
        <v>2</v>
      </c>
      <c r="K146">
        <v>1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0.79714222975806304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0.81086270984605202</v>
      </c>
      <c r="U146">
        <f>IF((ContinuousStatsTable[[#This Row],[RepsRequested]]&gt;1),ContinuousStatsTable[[#This Row],[HalfWidth]],ContinuousStatsTable[[#This Row],[BatchMeansHalfWidth]])</f>
        <v>3.3416443147686586E-3</v>
      </c>
    </row>
    <row r="147" spans="1:21" x14ac:dyDescent="0.25">
      <c r="A147" t="s">
        <v>67</v>
      </c>
      <c r="B147" t="s">
        <v>69</v>
      </c>
      <c r="C147">
        <v>3</v>
      </c>
      <c r="D147" t="s">
        <v>111</v>
      </c>
      <c r="E147" t="s">
        <v>98</v>
      </c>
      <c r="F147" t="s">
        <v>112</v>
      </c>
      <c r="G147">
        <v>2</v>
      </c>
      <c r="H147">
        <v>2E+20</v>
      </c>
      <c r="I147">
        <v>2</v>
      </c>
      <c r="J147">
        <v>2</v>
      </c>
      <c r="K147">
        <v>2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2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2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2</v>
      </c>
      <c r="U147">
        <f>IF((ContinuousStatsTable[[#This Row],[RepsRequested]]&gt;1),ContinuousStatsTable[[#This Row],[HalfWidth]],ContinuousStatsTable[[#This Row],[BatchMeansHalfWidth]])</f>
        <v>0</v>
      </c>
    </row>
    <row r="148" spans="1:21" x14ac:dyDescent="0.25">
      <c r="A148" t="s">
        <v>67</v>
      </c>
      <c r="B148" t="s">
        <v>69</v>
      </c>
      <c r="C148">
        <v>3</v>
      </c>
      <c r="D148" t="s">
        <v>111</v>
      </c>
      <c r="E148" t="s">
        <v>113</v>
      </c>
      <c r="F148" t="s">
        <v>112</v>
      </c>
      <c r="G148">
        <v>0.40457587010319501</v>
      </c>
      <c r="H148">
        <v>3.9216870203483299E-3</v>
      </c>
      <c r="I148">
        <v>0</v>
      </c>
      <c r="J148">
        <v>1</v>
      </c>
      <c r="K148">
        <v>0.5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0.39857111487903202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0.40543135492302601</v>
      </c>
      <c r="U148">
        <f>IF((ContinuousStatsTable[[#This Row],[RepsRequested]]&gt;1),ContinuousStatsTable[[#This Row],[HalfWidth]],ContinuousStatsTable[[#This Row],[BatchMeansHalfWidth]])</f>
        <v>1.6708221573839188E-3</v>
      </c>
    </row>
    <row r="149" spans="1:21" x14ac:dyDescent="0.25">
      <c r="A149" t="s">
        <v>67</v>
      </c>
      <c r="B149" t="s">
        <v>69</v>
      </c>
      <c r="C149">
        <v>4</v>
      </c>
      <c r="D149" t="s">
        <v>70</v>
      </c>
      <c r="E149" t="s">
        <v>93</v>
      </c>
      <c r="F149" t="s">
        <v>72</v>
      </c>
      <c r="G149">
        <v>1.90058103827794</v>
      </c>
      <c r="H149">
        <v>0.27701224856439299</v>
      </c>
      <c r="I149">
        <v>0</v>
      </c>
      <c r="J149">
        <v>18</v>
      </c>
      <c r="K149">
        <v>2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1.76226441002947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2.3188373788375798</v>
      </c>
      <c r="U149">
        <f>IF((ContinuousStatsTable[[#This Row],[RepsRequested]]&gt;1),ContinuousStatsTable[[#This Row],[HalfWidth]],ContinuousStatsTable[[#This Row],[BatchMeansHalfWidth]])</f>
        <v>0.12049041629004678</v>
      </c>
    </row>
    <row r="150" spans="1:21" x14ac:dyDescent="0.25">
      <c r="A150" t="s">
        <v>67</v>
      </c>
      <c r="B150" t="s">
        <v>69</v>
      </c>
      <c r="C150">
        <v>4</v>
      </c>
      <c r="D150" t="s">
        <v>94</v>
      </c>
      <c r="E150" t="s">
        <v>95</v>
      </c>
      <c r="F150" t="s">
        <v>96</v>
      </c>
      <c r="G150">
        <v>0.75707453421480597</v>
      </c>
      <c r="H150">
        <v>2.1598453507077901E-2</v>
      </c>
      <c r="I150">
        <v>0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0.73578099184835299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0.76817992377286104</v>
      </c>
      <c r="U150">
        <f>IF((ContinuousStatsTable[[#This Row],[RepsRequested]]&gt;1),ContinuousStatsTable[[#This Row],[HalfWidth]],ContinuousStatsTable[[#This Row],[BatchMeansHalfWidth]])</f>
        <v>6.6348533752732253E-3</v>
      </c>
    </row>
    <row r="151" spans="1:21" x14ac:dyDescent="0.25">
      <c r="A151" t="s">
        <v>67</v>
      </c>
      <c r="B151" t="s">
        <v>69</v>
      </c>
      <c r="C151">
        <v>4</v>
      </c>
      <c r="D151" t="s">
        <v>94</v>
      </c>
      <c r="E151" t="s">
        <v>97</v>
      </c>
      <c r="F151" t="s">
        <v>96</v>
      </c>
      <c r="G151">
        <v>1.5141490684296099</v>
      </c>
      <c r="H151">
        <v>4.3196907014155697E-2</v>
      </c>
      <c r="I151">
        <v>0</v>
      </c>
      <c r="J151">
        <v>2</v>
      </c>
      <c r="K151">
        <v>2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1.47156198369671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1.5363598475457201</v>
      </c>
      <c r="U151">
        <f>IF((ContinuousStatsTable[[#This Row],[RepsRequested]]&gt;1),ContinuousStatsTable[[#This Row],[HalfWidth]],ContinuousStatsTable[[#This Row],[BatchMeansHalfWidth]])</f>
        <v>1.3269706750545264E-2</v>
      </c>
    </row>
    <row r="152" spans="1:21" x14ac:dyDescent="0.25">
      <c r="A152" t="s">
        <v>67</v>
      </c>
      <c r="B152" t="s">
        <v>69</v>
      </c>
      <c r="C152">
        <v>4</v>
      </c>
      <c r="D152" t="s">
        <v>94</v>
      </c>
      <c r="E152" t="s">
        <v>98</v>
      </c>
      <c r="F152" t="s">
        <v>96</v>
      </c>
      <c r="G152">
        <v>2</v>
      </c>
      <c r="H152">
        <v>2E+20</v>
      </c>
      <c r="I152">
        <v>2</v>
      </c>
      <c r="J152">
        <v>2</v>
      </c>
      <c r="K152">
        <v>2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2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2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2</v>
      </c>
      <c r="U152">
        <f>IF((ContinuousStatsTable[[#This Row],[RepsRequested]]&gt;1),ContinuousStatsTable[[#This Row],[HalfWidth]],ContinuousStatsTable[[#This Row],[BatchMeansHalfWidth]])</f>
        <v>0</v>
      </c>
    </row>
    <row r="153" spans="1:21" x14ac:dyDescent="0.25">
      <c r="A153" t="s">
        <v>67</v>
      </c>
      <c r="B153" t="s">
        <v>69</v>
      </c>
      <c r="C153">
        <v>4</v>
      </c>
      <c r="D153" t="s">
        <v>99</v>
      </c>
      <c r="E153" t="s">
        <v>95</v>
      </c>
      <c r="F153" t="s">
        <v>96</v>
      </c>
      <c r="G153">
        <v>0.76045911871154104</v>
      </c>
      <c r="H153">
        <v>2.2052665631771801E-2</v>
      </c>
      <c r="I153">
        <v>0</v>
      </c>
      <c r="J153">
        <v>1</v>
      </c>
      <c r="K153">
        <v>1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0.73777590022083495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0.76666045600624</v>
      </c>
      <c r="U153">
        <f>IF((ContinuousStatsTable[[#This Row],[RepsRequested]]&gt;1),ContinuousStatsTable[[#This Row],[HalfWidth]],ContinuousStatsTable[[#This Row],[BatchMeansHalfWidth]])</f>
        <v>6.5760437266769349E-3</v>
      </c>
    </row>
    <row r="154" spans="1:21" x14ac:dyDescent="0.25">
      <c r="A154" t="s">
        <v>67</v>
      </c>
      <c r="B154" t="s">
        <v>69</v>
      </c>
      <c r="C154">
        <v>4</v>
      </c>
      <c r="D154" t="s">
        <v>99</v>
      </c>
      <c r="E154" t="s">
        <v>97</v>
      </c>
      <c r="F154" t="s">
        <v>96</v>
      </c>
      <c r="G154">
        <v>0.76045911871154104</v>
      </c>
      <c r="H154">
        <v>2.2052665631771801E-2</v>
      </c>
      <c r="I154">
        <v>0</v>
      </c>
      <c r="J154">
        <v>1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0.73777590022083495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0.76666045600624</v>
      </c>
      <c r="U154">
        <f>IF((ContinuousStatsTable[[#This Row],[RepsRequested]]&gt;1),ContinuousStatsTable[[#This Row],[HalfWidth]],ContinuousStatsTable[[#This Row],[BatchMeansHalfWidth]])</f>
        <v>6.5760437266769349E-3</v>
      </c>
    </row>
    <row r="155" spans="1:21" x14ac:dyDescent="0.25">
      <c r="A155" t="s">
        <v>67</v>
      </c>
      <c r="B155" t="s">
        <v>69</v>
      </c>
      <c r="C155">
        <v>4</v>
      </c>
      <c r="D155" t="s">
        <v>99</v>
      </c>
      <c r="E155" t="s">
        <v>98</v>
      </c>
      <c r="F155" t="s">
        <v>96</v>
      </c>
      <c r="G155">
        <v>1</v>
      </c>
      <c r="H155">
        <v>2E+20</v>
      </c>
      <c r="I155">
        <v>1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1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1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1</v>
      </c>
      <c r="U155">
        <f>IF((ContinuousStatsTable[[#This Row],[RepsRequested]]&gt;1),ContinuousStatsTable[[#This Row],[HalfWidth]],ContinuousStatsTable[[#This Row],[BatchMeansHalfWidth]])</f>
        <v>0</v>
      </c>
    </row>
    <row r="156" spans="1:21" x14ac:dyDescent="0.25">
      <c r="A156" t="s">
        <v>67</v>
      </c>
      <c r="B156" t="s">
        <v>69</v>
      </c>
      <c r="C156">
        <v>4</v>
      </c>
      <c r="D156" t="s">
        <v>100</v>
      </c>
      <c r="E156" t="s">
        <v>95</v>
      </c>
      <c r="F156" t="s">
        <v>96</v>
      </c>
      <c r="G156">
        <v>0.75368994971806902</v>
      </c>
      <c r="H156">
        <v>2.2394794843079401E-2</v>
      </c>
      <c r="I156">
        <v>0</v>
      </c>
      <c r="J156">
        <v>1</v>
      </c>
      <c r="K156">
        <v>1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0.73378608347586405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0.76969939153947697</v>
      </c>
      <c r="U156">
        <f>IF((ContinuousStatsTable[[#This Row],[RepsRequested]]&gt;1),ContinuousStatsTable[[#This Row],[HalfWidth]],ContinuousStatsTable[[#This Row],[BatchMeansHalfWidth]])</f>
        <v>7.298068329198576E-3</v>
      </c>
    </row>
    <row r="157" spans="1:21" x14ac:dyDescent="0.25">
      <c r="A157" t="s">
        <v>67</v>
      </c>
      <c r="B157" t="s">
        <v>69</v>
      </c>
      <c r="C157">
        <v>4</v>
      </c>
      <c r="D157" t="s">
        <v>100</v>
      </c>
      <c r="E157" t="s">
        <v>97</v>
      </c>
      <c r="F157" t="s">
        <v>96</v>
      </c>
      <c r="G157">
        <v>0.75368994971806902</v>
      </c>
      <c r="H157">
        <v>2.2394794843079401E-2</v>
      </c>
      <c r="I157">
        <v>0</v>
      </c>
      <c r="J157">
        <v>1</v>
      </c>
      <c r="K157">
        <v>1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0.73378608347586405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0.76969939153947697</v>
      </c>
      <c r="U157">
        <f>IF((ContinuousStatsTable[[#This Row],[RepsRequested]]&gt;1),ContinuousStatsTable[[#This Row],[HalfWidth]],ContinuousStatsTable[[#This Row],[BatchMeansHalfWidth]])</f>
        <v>7.298068329198576E-3</v>
      </c>
    </row>
    <row r="158" spans="1:21" x14ac:dyDescent="0.25">
      <c r="A158" t="s">
        <v>67</v>
      </c>
      <c r="B158" t="s">
        <v>69</v>
      </c>
      <c r="C158">
        <v>4</v>
      </c>
      <c r="D158" t="s">
        <v>100</v>
      </c>
      <c r="E158" t="s">
        <v>98</v>
      </c>
      <c r="F158" t="s">
        <v>96</v>
      </c>
      <c r="G158">
        <v>1</v>
      </c>
      <c r="H158">
        <v>2E+20</v>
      </c>
      <c r="I158">
        <v>1</v>
      </c>
      <c r="J158">
        <v>1</v>
      </c>
      <c r="K158">
        <v>1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1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1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1</v>
      </c>
      <c r="U158">
        <f>IF((ContinuousStatsTable[[#This Row],[RepsRequested]]&gt;1),ContinuousStatsTable[[#This Row],[HalfWidth]],ContinuousStatsTable[[#This Row],[BatchMeansHalfWidth]])</f>
        <v>0</v>
      </c>
    </row>
    <row r="159" spans="1:21" x14ac:dyDescent="0.25">
      <c r="A159" t="s">
        <v>67</v>
      </c>
      <c r="B159" t="s">
        <v>69</v>
      </c>
      <c r="C159">
        <v>4</v>
      </c>
      <c r="D159" t="s">
        <v>73</v>
      </c>
      <c r="E159" t="s">
        <v>101</v>
      </c>
      <c r="F159" t="s">
        <v>75</v>
      </c>
      <c r="G159">
        <v>17.302821919938999</v>
      </c>
      <c r="H159">
        <v>1.4500299910783601</v>
      </c>
      <c r="I159">
        <v>0</v>
      </c>
      <c r="J159">
        <v>48</v>
      </c>
      <c r="K159">
        <v>13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16.327634071208799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18.8479471560706</v>
      </c>
      <c r="U159">
        <f>IF((ContinuousStatsTable[[#This Row],[RepsRequested]]&gt;1),ContinuousStatsTable[[#This Row],[HalfWidth]],ContinuousStatsTable[[#This Row],[BatchMeansHalfWidth]])</f>
        <v>0.51828581657665529</v>
      </c>
    </row>
    <row r="160" spans="1:21" x14ac:dyDescent="0.25">
      <c r="A160" t="s">
        <v>67</v>
      </c>
      <c r="B160" t="s">
        <v>69</v>
      </c>
      <c r="C160">
        <v>4</v>
      </c>
      <c r="D160" t="s">
        <v>84</v>
      </c>
      <c r="E160" t="s">
        <v>93</v>
      </c>
      <c r="F160" t="s">
        <v>72</v>
      </c>
      <c r="G160">
        <v>1.24914102989318</v>
      </c>
      <c r="H160">
        <v>3E+20</v>
      </c>
      <c r="I160">
        <v>0</v>
      </c>
      <c r="J160">
        <v>15</v>
      </c>
      <c r="K160">
        <v>1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0.99579270827195998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1.40699442999762</v>
      </c>
      <c r="U160">
        <f>IF((ContinuousStatsTable[[#This Row],[RepsRequested]]&gt;1),ContinuousStatsTable[[#This Row],[HalfWidth]],ContinuousStatsTable[[#This Row],[BatchMeansHalfWidth]])</f>
        <v>9.4525954407496268E-2</v>
      </c>
    </row>
    <row r="161" spans="1:21" x14ac:dyDescent="0.25">
      <c r="A161" t="s">
        <v>67</v>
      </c>
      <c r="B161" t="s">
        <v>69</v>
      </c>
      <c r="C161">
        <v>4</v>
      </c>
      <c r="D161" t="s">
        <v>102</v>
      </c>
      <c r="E161" t="s">
        <v>95</v>
      </c>
      <c r="F161" t="s">
        <v>96</v>
      </c>
      <c r="G161">
        <v>0.86514517310371897</v>
      </c>
      <c r="H161">
        <v>1.7070807929627799E-2</v>
      </c>
      <c r="I161">
        <v>0</v>
      </c>
      <c r="J161">
        <v>1</v>
      </c>
      <c r="K161">
        <v>1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0.85300206766602205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0.87632698102425799</v>
      </c>
      <c r="U161">
        <f>IF((ContinuousStatsTable[[#This Row],[RepsRequested]]&gt;1),ContinuousStatsTable[[#This Row],[HalfWidth]],ContinuousStatsTable[[#This Row],[BatchMeansHalfWidth]])</f>
        <v>5.2410393061669046E-3</v>
      </c>
    </row>
    <row r="162" spans="1:21" x14ac:dyDescent="0.25">
      <c r="A162" t="s">
        <v>67</v>
      </c>
      <c r="B162" t="s">
        <v>69</v>
      </c>
      <c r="C162">
        <v>4</v>
      </c>
      <c r="D162" t="s">
        <v>102</v>
      </c>
      <c r="E162" t="s">
        <v>97</v>
      </c>
      <c r="F162" t="s">
        <v>96</v>
      </c>
      <c r="G162">
        <v>0.86514517310371897</v>
      </c>
      <c r="H162">
        <v>1.7070807929627799E-2</v>
      </c>
      <c r="I162">
        <v>0</v>
      </c>
      <c r="J162">
        <v>1</v>
      </c>
      <c r="K162">
        <v>1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10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0.85300206766602205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0.87632698102425799</v>
      </c>
      <c r="U162">
        <f>IF((ContinuousStatsTable[[#This Row],[RepsRequested]]&gt;1),ContinuousStatsTable[[#This Row],[HalfWidth]],ContinuousStatsTable[[#This Row],[BatchMeansHalfWidth]])</f>
        <v>5.2410393061669046E-3</v>
      </c>
    </row>
    <row r="163" spans="1:21" x14ac:dyDescent="0.25">
      <c r="A163" t="s">
        <v>67</v>
      </c>
      <c r="B163" t="s">
        <v>69</v>
      </c>
      <c r="C163">
        <v>4</v>
      </c>
      <c r="D163" t="s">
        <v>102</v>
      </c>
      <c r="E163" t="s">
        <v>98</v>
      </c>
      <c r="F163" t="s">
        <v>96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10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67</v>
      </c>
      <c r="B164" t="s">
        <v>69</v>
      </c>
      <c r="C164">
        <v>4</v>
      </c>
      <c r="D164" t="s">
        <v>103</v>
      </c>
      <c r="E164" t="s">
        <v>95</v>
      </c>
      <c r="F164" t="s">
        <v>96</v>
      </c>
      <c r="G164">
        <v>0.86887035143339397</v>
      </c>
      <c r="H164">
        <v>1.6889204746668399E-2</v>
      </c>
      <c r="I164">
        <v>0</v>
      </c>
      <c r="J164">
        <v>1</v>
      </c>
      <c r="K164">
        <v>1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10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0.85267322894137698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0.87300868153341904</v>
      </c>
      <c r="U164">
        <f>IF((ContinuousStatsTable[[#This Row],[RepsRequested]]&gt;1),ContinuousStatsTable[[#This Row],[HalfWidth]],ContinuousStatsTable[[#This Row],[BatchMeansHalfWidth]])</f>
        <v>5.1492506011230968E-3</v>
      </c>
    </row>
    <row r="165" spans="1:21" x14ac:dyDescent="0.25">
      <c r="A165" t="s">
        <v>67</v>
      </c>
      <c r="B165" t="s">
        <v>69</v>
      </c>
      <c r="C165">
        <v>4</v>
      </c>
      <c r="D165" t="s">
        <v>103</v>
      </c>
      <c r="E165" t="s">
        <v>97</v>
      </c>
      <c r="F165" t="s">
        <v>96</v>
      </c>
      <c r="G165">
        <v>0.86887035143339397</v>
      </c>
      <c r="H165">
        <v>1.6889204746668399E-2</v>
      </c>
      <c r="I165">
        <v>0</v>
      </c>
      <c r="J165">
        <v>1</v>
      </c>
      <c r="K165">
        <v>1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10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0.85267322894137698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0.87300868153341904</v>
      </c>
      <c r="U165">
        <f>IF((ContinuousStatsTable[[#This Row],[RepsRequested]]&gt;1),ContinuousStatsTable[[#This Row],[HalfWidth]],ContinuousStatsTable[[#This Row],[BatchMeansHalfWidth]])</f>
        <v>5.1492506011230968E-3</v>
      </c>
    </row>
    <row r="166" spans="1:21" x14ac:dyDescent="0.25">
      <c r="A166" t="s">
        <v>67</v>
      </c>
      <c r="B166" t="s">
        <v>69</v>
      </c>
      <c r="C166">
        <v>4</v>
      </c>
      <c r="D166" t="s">
        <v>103</v>
      </c>
      <c r="E166" t="s">
        <v>98</v>
      </c>
      <c r="F166" t="s">
        <v>96</v>
      </c>
      <c r="G166">
        <v>1</v>
      </c>
      <c r="H166">
        <v>2E+20</v>
      </c>
      <c r="I166">
        <v>1</v>
      </c>
      <c r="J166">
        <v>1</v>
      </c>
      <c r="K166">
        <v>1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10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1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1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1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67</v>
      </c>
      <c r="B167" t="s">
        <v>69</v>
      </c>
      <c r="C167">
        <v>4</v>
      </c>
      <c r="D167" t="s">
        <v>104</v>
      </c>
      <c r="E167" t="s">
        <v>95</v>
      </c>
      <c r="F167" t="s">
        <v>96</v>
      </c>
      <c r="G167">
        <v>0.867415741625161</v>
      </c>
      <c r="H167">
        <v>1.7912162741262401E-2</v>
      </c>
      <c r="I167">
        <v>0</v>
      </c>
      <c r="J167">
        <v>1</v>
      </c>
      <c r="K167">
        <v>1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10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0.85312589705184705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0.87436351179675398</v>
      </c>
      <c r="U167">
        <f>IF((ContinuousStatsTable[[#This Row],[RepsRequested]]&gt;1),ContinuousStatsTable[[#This Row],[HalfWidth]],ContinuousStatsTable[[#This Row],[BatchMeansHalfWidth]])</f>
        <v>5.093233831135466E-3</v>
      </c>
    </row>
    <row r="168" spans="1:21" x14ac:dyDescent="0.25">
      <c r="A168" t="s">
        <v>67</v>
      </c>
      <c r="B168" t="s">
        <v>69</v>
      </c>
      <c r="C168">
        <v>4</v>
      </c>
      <c r="D168" t="s">
        <v>104</v>
      </c>
      <c r="E168" t="s">
        <v>97</v>
      </c>
      <c r="F168" t="s">
        <v>96</v>
      </c>
      <c r="G168">
        <v>0.867415741625161</v>
      </c>
      <c r="H168">
        <v>1.7912162741262401E-2</v>
      </c>
      <c r="I168">
        <v>0</v>
      </c>
      <c r="J168">
        <v>1</v>
      </c>
      <c r="K168">
        <v>1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10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0.85312589705184705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0.87436351179675398</v>
      </c>
      <c r="U168">
        <f>IF((ContinuousStatsTable[[#This Row],[RepsRequested]]&gt;1),ContinuousStatsTable[[#This Row],[HalfWidth]],ContinuousStatsTable[[#This Row],[BatchMeansHalfWidth]])</f>
        <v>5.093233831135466E-3</v>
      </c>
    </row>
    <row r="169" spans="1:21" x14ac:dyDescent="0.25">
      <c r="A169" t="s">
        <v>67</v>
      </c>
      <c r="B169" t="s">
        <v>69</v>
      </c>
      <c r="C169">
        <v>4</v>
      </c>
      <c r="D169" t="s">
        <v>104</v>
      </c>
      <c r="E169" t="s">
        <v>98</v>
      </c>
      <c r="F169" t="s">
        <v>96</v>
      </c>
      <c r="G169">
        <v>1</v>
      </c>
      <c r="H169">
        <v>2E+20</v>
      </c>
      <c r="I169">
        <v>1</v>
      </c>
      <c r="J169">
        <v>1</v>
      </c>
      <c r="K169">
        <v>1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10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1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1</v>
      </c>
      <c r="U169">
        <f>IF((ContinuousStatsTable[[#This Row],[RepsRequested]]&gt;1),ContinuousStatsTable[[#This Row],[HalfWidth]],ContinuousStatsTable[[#This Row],[BatchMeansHalfWidth]])</f>
        <v>0</v>
      </c>
    </row>
    <row r="170" spans="1:21" x14ac:dyDescent="0.25">
      <c r="A170" t="s">
        <v>67</v>
      </c>
      <c r="B170" t="s">
        <v>69</v>
      </c>
      <c r="C170">
        <v>4</v>
      </c>
      <c r="D170" t="s">
        <v>85</v>
      </c>
      <c r="E170" t="s">
        <v>93</v>
      </c>
      <c r="F170" t="s">
        <v>72</v>
      </c>
      <c r="G170">
        <v>4.6593816591033602E-3</v>
      </c>
      <c r="H170">
        <v>4.50222586607574E-4</v>
      </c>
      <c r="I170">
        <v>0</v>
      </c>
      <c r="J170">
        <v>1</v>
      </c>
      <c r="K170">
        <v>0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10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4.46975375012869E-3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5.19139886192292E-3</v>
      </c>
      <c r="U170">
        <f>IF((ContinuousStatsTable[[#This Row],[RepsRequested]]&gt;1),ContinuousStatsTable[[#This Row],[HalfWidth]],ContinuousStatsTable[[#This Row],[BatchMeansHalfWidth]])</f>
        <v>1.5212674323174428E-4</v>
      </c>
    </row>
    <row r="171" spans="1:21" x14ac:dyDescent="0.25">
      <c r="A171" t="s">
        <v>67</v>
      </c>
      <c r="B171" t="s">
        <v>69</v>
      </c>
      <c r="C171">
        <v>4</v>
      </c>
      <c r="D171" t="s">
        <v>86</v>
      </c>
      <c r="E171" t="s">
        <v>93</v>
      </c>
      <c r="F171" t="s">
        <v>72</v>
      </c>
      <c r="G171">
        <v>7.1599435299874604E-3</v>
      </c>
      <c r="H171">
        <v>6.5176228448853403E-4</v>
      </c>
      <c r="I171">
        <v>0</v>
      </c>
      <c r="J171">
        <v>3</v>
      </c>
      <c r="K171">
        <v>0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10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6.4644878524100302E-3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7.1613926309565699E-3</v>
      </c>
      <c r="U171">
        <f>IF((ContinuousStatsTable[[#This Row],[RepsRequested]]&gt;1),ContinuousStatsTable[[#This Row],[HalfWidth]],ContinuousStatsTable[[#This Row],[BatchMeansHalfWidth]])</f>
        <v>1.9039143298908446E-4</v>
      </c>
    </row>
    <row r="172" spans="1:21" x14ac:dyDescent="0.25">
      <c r="A172" t="s">
        <v>67</v>
      </c>
      <c r="B172" t="s">
        <v>69</v>
      </c>
      <c r="C172">
        <v>4</v>
      </c>
      <c r="D172" t="s">
        <v>87</v>
      </c>
      <c r="E172" t="s">
        <v>93</v>
      </c>
      <c r="F172" t="s">
        <v>72</v>
      </c>
      <c r="G172">
        <v>3.0461845352060999E-3</v>
      </c>
      <c r="H172">
        <v>2.8972219130250299E-4</v>
      </c>
      <c r="I172">
        <v>0</v>
      </c>
      <c r="J172">
        <v>1</v>
      </c>
      <c r="K172">
        <v>0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10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2.6429119389876198E-3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3.0552991746512601E-3</v>
      </c>
      <c r="U172">
        <f>IF((ContinuousStatsTable[[#This Row],[RepsRequested]]&gt;1),ContinuousStatsTable[[#This Row],[HalfWidth]],ContinuousStatsTable[[#This Row],[BatchMeansHalfWidth]])</f>
        <v>1.0063752504111057E-4</v>
      </c>
    </row>
    <row r="173" spans="1:21" x14ac:dyDescent="0.25">
      <c r="A173" t="s">
        <v>67</v>
      </c>
      <c r="B173" t="s">
        <v>69</v>
      </c>
      <c r="C173">
        <v>4</v>
      </c>
      <c r="D173" t="s">
        <v>88</v>
      </c>
      <c r="E173" t="s">
        <v>93</v>
      </c>
      <c r="F173" t="s">
        <v>72</v>
      </c>
      <c r="G173">
        <v>4.35137641764906E-3</v>
      </c>
      <c r="H173">
        <v>4.1294460548220902E-4</v>
      </c>
      <c r="I173">
        <v>0</v>
      </c>
      <c r="J173">
        <v>1</v>
      </c>
      <c r="K173">
        <v>0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10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3.7244128651004798E-3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4.35137641764906E-3</v>
      </c>
      <c r="U173">
        <f>IF((ContinuousStatsTable[[#This Row],[RepsRequested]]&gt;1),ContinuousStatsTable[[#This Row],[HalfWidth]],ContinuousStatsTable[[#This Row],[BatchMeansHalfWidth]])</f>
        <v>1.2471918446914371E-4</v>
      </c>
    </row>
    <row r="174" spans="1:21" x14ac:dyDescent="0.25">
      <c r="A174" t="s">
        <v>67</v>
      </c>
      <c r="B174" t="s">
        <v>69</v>
      </c>
      <c r="C174">
        <v>4</v>
      </c>
      <c r="D174" t="s">
        <v>105</v>
      </c>
      <c r="E174" t="s">
        <v>95</v>
      </c>
      <c r="F174" t="s">
        <v>96</v>
      </c>
      <c r="G174">
        <v>0.85550773740749397</v>
      </c>
      <c r="H174">
        <v>1.8162582815943299E-2</v>
      </c>
      <c r="I174">
        <v>0</v>
      </c>
      <c r="J174">
        <v>1</v>
      </c>
      <c r="K174">
        <v>1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10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0.83618943731414597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0.86586763783419696</v>
      </c>
      <c r="U174">
        <f>IF((ContinuousStatsTable[[#This Row],[RepsRequested]]&gt;1),ContinuousStatsTable[[#This Row],[HalfWidth]],ContinuousStatsTable[[#This Row],[BatchMeansHalfWidth]])</f>
        <v>6.774830857795836E-3</v>
      </c>
    </row>
    <row r="175" spans="1:21" x14ac:dyDescent="0.25">
      <c r="A175" t="s">
        <v>67</v>
      </c>
      <c r="B175" t="s">
        <v>69</v>
      </c>
      <c r="C175">
        <v>4</v>
      </c>
      <c r="D175" t="s">
        <v>105</v>
      </c>
      <c r="E175" t="s">
        <v>97</v>
      </c>
      <c r="F175" t="s">
        <v>96</v>
      </c>
      <c r="G175">
        <v>0.85550773740749397</v>
      </c>
      <c r="H175">
        <v>1.8162582815943299E-2</v>
      </c>
      <c r="I175">
        <v>0</v>
      </c>
      <c r="J175">
        <v>1</v>
      </c>
      <c r="K175">
        <v>1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10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0.83618943731414597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0.86586763783419696</v>
      </c>
      <c r="U175">
        <f>IF((ContinuousStatsTable[[#This Row],[RepsRequested]]&gt;1),ContinuousStatsTable[[#This Row],[HalfWidth]],ContinuousStatsTable[[#This Row],[BatchMeansHalfWidth]])</f>
        <v>6.774830857795836E-3</v>
      </c>
    </row>
    <row r="176" spans="1:21" x14ac:dyDescent="0.25">
      <c r="A176" t="s">
        <v>67</v>
      </c>
      <c r="B176" t="s">
        <v>69</v>
      </c>
      <c r="C176">
        <v>4</v>
      </c>
      <c r="D176" t="s">
        <v>105</v>
      </c>
      <c r="E176" t="s">
        <v>98</v>
      </c>
      <c r="F176" t="s">
        <v>96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10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67</v>
      </c>
      <c r="B177" t="s">
        <v>69</v>
      </c>
      <c r="C177">
        <v>4</v>
      </c>
      <c r="D177" t="s">
        <v>106</v>
      </c>
      <c r="E177" t="s">
        <v>95</v>
      </c>
      <c r="F177" t="s">
        <v>96</v>
      </c>
      <c r="G177">
        <v>0.78574993118483905</v>
      </c>
      <c r="H177">
        <v>2.0104724229868101E-2</v>
      </c>
      <c r="I177">
        <v>0</v>
      </c>
      <c r="J177">
        <v>1</v>
      </c>
      <c r="K177">
        <v>1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10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0.75864843854708297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0.79252596119945096</v>
      </c>
      <c r="U177">
        <f>IF((ContinuousStatsTable[[#This Row],[RepsRequested]]&gt;1),ContinuousStatsTable[[#This Row],[HalfWidth]],ContinuousStatsTable[[#This Row],[BatchMeansHalfWidth]])</f>
        <v>7.9650525926457348E-3</v>
      </c>
    </row>
    <row r="178" spans="1:21" x14ac:dyDescent="0.25">
      <c r="A178" t="s">
        <v>67</v>
      </c>
      <c r="B178" t="s">
        <v>69</v>
      </c>
      <c r="C178">
        <v>4</v>
      </c>
      <c r="D178" t="s">
        <v>106</v>
      </c>
      <c r="E178" t="s">
        <v>97</v>
      </c>
      <c r="F178" t="s">
        <v>96</v>
      </c>
      <c r="G178">
        <v>0.78574993118483905</v>
      </c>
      <c r="H178">
        <v>2.0104724229868101E-2</v>
      </c>
      <c r="I178">
        <v>0</v>
      </c>
      <c r="J178">
        <v>1</v>
      </c>
      <c r="K178">
        <v>1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10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0.75864843854708297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0.79252596119945096</v>
      </c>
      <c r="U178">
        <f>IF((ContinuousStatsTable[[#This Row],[RepsRequested]]&gt;1),ContinuousStatsTable[[#This Row],[HalfWidth]],ContinuousStatsTable[[#This Row],[BatchMeansHalfWidth]])</f>
        <v>7.9650525926457348E-3</v>
      </c>
    </row>
    <row r="179" spans="1:21" x14ac:dyDescent="0.25">
      <c r="A179" t="s">
        <v>67</v>
      </c>
      <c r="B179" t="s">
        <v>69</v>
      </c>
      <c r="C179">
        <v>4</v>
      </c>
      <c r="D179" t="s">
        <v>106</v>
      </c>
      <c r="E179" t="s">
        <v>98</v>
      </c>
      <c r="F179" t="s">
        <v>96</v>
      </c>
      <c r="G179">
        <v>1</v>
      </c>
      <c r="H179">
        <v>2E+20</v>
      </c>
      <c r="I179">
        <v>1</v>
      </c>
      <c r="J179">
        <v>1</v>
      </c>
      <c r="K179">
        <v>1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10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1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1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1</v>
      </c>
      <c r="U179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67</v>
      </c>
      <c r="B180" t="s">
        <v>69</v>
      </c>
      <c r="C180">
        <v>4</v>
      </c>
      <c r="D180" t="s">
        <v>107</v>
      </c>
      <c r="E180" t="s">
        <v>95</v>
      </c>
      <c r="F180" t="s">
        <v>96</v>
      </c>
      <c r="G180">
        <v>0.85552216781107904</v>
      </c>
      <c r="H180">
        <v>1.9465861602488501E-2</v>
      </c>
      <c r="I180">
        <v>0</v>
      </c>
      <c r="J180">
        <v>1</v>
      </c>
      <c r="K180">
        <v>1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10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0.84465777371794004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0.87000527345659695</v>
      </c>
      <c r="U180">
        <f>IF((ContinuousStatsTable[[#This Row],[RepsRequested]]&gt;1),ContinuousStatsTable[[#This Row],[HalfWidth]],ContinuousStatsTable[[#This Row],[BatchMeansHalfWidth]])</f>
        <v>5.8838019158664288E-3</v>
      </c>
    </row>
    <row r="181" spans="1:21" x14ac:dyDescent="0.25">
      <c r="A181" t="s">
        <v>67</v>
      </c>
      <c r="B181" t="s">
        <v>69</v>
      </c>
      <c r="C181">
        <v>4</v>
      </c>
      <c r="D181" t="s">
        <v>107</v>
      </c>
      <c r="E181" t="s">
        <v>97</v>
      </c>
      <c r="F181" t="s">
        <v>96</v>
      </c>
      <c r="G181">
        <v>0.85552216781107904</v>
      </c>
      <c r="H181">
        <v>1.9465861602488501E-2</v>
      </c>
      <c r="I181">
        <v>0</v>
      </c>
      <c r="J181">
        <v>1</v>
      </c>
      <c r="K181">
        <v>1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10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0.84465777371794004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0.87000527345659695</v>
      </c>
      <c r="U181">
        <f>IF((ContinuousStatsTable[[#This Row],[RepsRequested]]&gt;1),ContinuousStatsTable[[#This Row],[HalfWidth]],ContinuousStatsTable[[#This Row],[BatchMeansHalfWidth]])</f>
        <v>5.8838019158664288E-3</v>
      </c>
    </row>
    <row r="182" spans="1:21" x14ac:dyDescent="0.25">
      <c r="A182" t="s">
        <v>67</v>
      </c>
      <c r="B182" t="s">
        <v>69</v>
      </c>
      <c r="C182">
        <v>4</v>
      </c>
      <c r="D182" t="s">
        <v>107</v>
      </c>
      <c r="E182" t="s">
        <v>98</v>
      </c>
      <c r="F182" t="s">
        <v>96</v>
      </c>
      <c r="G182">
        <v>1</v>
      </c>
      <c r="H182">
        <v>2E+20</v>
      </c>
      <c r="I182">
        <v>1</v>
      </c>
      <c r="J182">
        <v>1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10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</v>
      </c>
      <c r="U182" s="5">
        <f>IF((ContinuousStatsTable[[#This Row],[RepsRequested]]&gt;1),ContinuousStatsTable[[#This Row],[HalfWidth]],ContinuousStatsTable[[#This Row],[BatchMeansHalfWidth]])</f>
        <v>0</v>
      </c>
    </row>
    <row r="183" spans="1:21" x14ac:dyDescent="0.25">
      <c r="A183" t="s">
        <v>67</v>
      </c>
      <c r="B183" t="s">
        <v>69</v>
      </c>
      <c r="C183">
        <v>4</v>
      </c>
      <c r="D183" t="s">
        <v>108</v>
      </c>
      <c r="E183" t="s">
        <v>95</v>
      </c>
      <c r="F183" t="s">
        <v>96</v>
      </c>
      <c r="G183">
        <v>0.85550773740749397</v>
      </c>
      <c r="H183">
        <v>1.8162582815943299E-2</v>
      </c>
      <c r="I183">
        <v>0</v>
      </c>
      <c r="J183">
        <v>1</v>
      </c>
      <c r="K183">
        <v>1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10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0.83618943731414597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0.86586763783419696</v>
      </c>
      <c r="U183" s="5">
        <f>IF((ContinuousStatsTable[[#This Row],[RepsRequested]]&gt;1),ContinuousStatsTable[[#This Row],[HalfWidth]],ContinuousStatsTable[[#This Row],[BatchMeansHalfWidth]])</f>
        <v>6.774830857795836E-3</v>
      </c>
    </row>
    <row r="184" spans="1:21" x14ac:dyDescent="0.25">
      <c r="A184" t="s">
        <v>67</v>
      </c>
      <c r="B184" t="s">
        <v>69</v>
      </c>
      <c r="C184">
        <v>4</v>
      </c>
      <c r="D184" t="s">
        <v>108</v>
      </c>
      <c r="E184" t="s">
        <v>97</v>
      </c>
      <c r="F184" t="s">
        <v>96</v>
      </c>
      <c r="G184">
        <v>0.85550773740749397</v>
      </c>
      <c r="H184">
        <v>1.8162582815943299E-2</v>
      </c>
      <c r="I184">
        <v>0</v>
      </c>
      <c r="J184">
        <v>1</v>
      </c>
      <c r="K184">
        <v>1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10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0.83618943731414597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0.86586763783419696</v>
      </c>
      <c r="U184" s="5">
        <f>IF((ContinuousStatsTable[[#This Row],[RepsRequested]]&gt;1),ContinuousStatsTable[[#This Row],[HalfWidth]],ContinuousStatsTable[[#This Row],[BatchMeansHalfWidth]])</f>
        <v>6.774830857795836E-3</v>
      </c>
    </row>
    <row r="185" spans="1:21" x14ac:dyDescent="0.25">
      <c r="A185" t="s">
        <v>67</v>
      </c>
      <c r="B185" t="s">
        <v>69</v>
      </c>
      <c r="C185">
        <v>4</v>
      </c>
      <c r="D185" t="s">
        <v>108</v>
      </c>
      <c r="E185" t="s">
        <v>98</v>
      </c>
      <c r="F185" t="s">
        <v>96</v>
      </c>
      <c r="G185">
        <v>1</v>
      </c>
      <c r="H185">
        <v>2E+20</v>
      </c>
      <c r="I185">
        <v>1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10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1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1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1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25">
      <c r="A186" t="s">
        <v>67</v>
      </c>
      <c r="B186" t="s">
        <v>69</v>
      </c>
      <c r="C186">
        <v>4</v>
      </c>
      <c r="D186" t="s">
        <v>109</v>
      </c>
      <c r="E186" t="s">
        <v>95</v>
      </c>
      <c r="F186" t="s">
        <v>96</v>
      </c>
      <c r="G186">
        <v>0.78574993118483905</v>
      </c>
      <c r="H186">
        <v>2.0104724229868101E-2</v>
      </c>
      <c r="I186">
        <v>0</v>
      </c>
      <c r="J186">
        <v>1</v>
      </c>
      <c r="K186">
        <v>1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10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0.75864843854708297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0.79252596119945096</v>
      </c>
      <c r="U186" s="5">
        <f>IF((ContinuousStatsTable[[#This Row],[RepsRequested]]&gt;1),ContinuousStatsTable[[#This Row],[HalfWidth]],ContinuousStatsTable[[#This Row],[BatchMeansHalfWidth]])</f>
        <v>7.9650525926457348E-3</v>
      </c>
    </row>
    <row r="187" spans="1:21" x14ac:dyDescent="0.25">
      <c r="A187" t="s">
        <v>67</v>
      </c>
      <c r="B187" t="s">
        <v>69</v>
      </c>
      <c r="C187">
        <v>4</v>
      </c>
      <c r="D187" t="s">
        <v>109</v>
      </c>
      <c r="E187" t="s">
        <v>97</v>
      </c>
      <c r="F187" t="s">
        <v>96</v>
      </c>
      <c r="G187">
        <v>0.78574993118483905</v>
      </c>
      <c r="H187">
        <v>2.0104724229868101E-2</v>
      </c>
      <c r="I187">
        <v>0</v>
      </c>
      <c r="J187">
        <v>1</v>
      </c>
      <c r="K187">
        <v>1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10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0.75864843854708297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0.79252596119945096</v>
      </c>
      <c r="U187" s="5">
        <f>IF((ContinuousStatsTable[[#This Row],[RepsRequested]]&gt;1),ContinuousStatsTable[[#This Row],[HalfWidth]],ContinuousStatsTable[[#This Row],[BatchMeansHalfWidth]])</f>
        <v>7.9650525926457348E-3</v>
      </c>
    </row>
    <row r="188" spans="1:21" x14ac:dyDescent="0.25">
      <c r="A188" t="s">
        <v>67</v>
      </c>
      <c r="B188" t="s">
        <v>69</v>
      </c>
      <c r="C188">
        <v>4</v>
      </c>
      <c r="D188" t="s">
        <v>109</v>
      </c>
      <c r="E188" t="s">
        <v>98</v>
      </c>
      <c r="F188" t="s">
        <v>96</v>
      </c>
      <c r="G188">
        <v>1</v>
      </c>
      <c r="H188">
        <v>2E+20</v>
      </c>
      <c r="I188">
        <v>1</v>
      </c>
      <c r="J188">
        <v>1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10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1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1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1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67</v>
      </c>
      <c r="B189" t="s">
        <v>69</v>
      </c>
      <c r="C189">
        <v>4</v>
      </c>
      <c r="D189" t="s">
        <v>110</v>
      </c>
      <c r="E189" t="s">
        <v>95</v>
      </c>
      <c r="F189" t="s">
        <v>96</v>
      </c>
      <c r="G189">
        <v>0.85552216781107904</v>
      </c>
      <c r="H189">
        <v>1.9465861602488501E-2</v>
      </c>
      <c r="I189">
        <v>0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10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0.84465777371794004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0.87000527345659695</v>
      </c>
      <c r="U189" s="5">
        <f>IF((ContinuousStatsTable[[#This Row],[RepsRequested]]&gt;1),ContinuousStatsTable[[#This Row],[HalfWidth]],ContinuousStatsTable[[#This Row],[BatchMeansHalfWidth]])</f>
        <v>5.8838019158664288E-3</v>
      </c>
    </row>
    <row r="190" spans="1:21" x14ac:dyDescent="0.25">
      <c r="A190" t="s">
        <v>67</v>
      </c>
      <c r="B190" t="s">
        <v>69</v>
      </c>
      <c r="C190">
        <v>4</v>
      </c>
      <c r="D190" t="s">
        <v>110</v>
      </c>
      <c r="E190" t="s">
        <v>97</v>
      </c>
      <c r="F190" t="s">
        <v>96</v>
      </c>
      <c r="G190">
        <v>0.85552216781107904</v>
      </c>
      <c r="H190">
        <v>1.9465861602488501E-2</v>
      </c>
      <c r="I190">
        <v>0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10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0.84465777371794004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0.87000527345659695</v>
      </c>
      <c r="U190" s="5">
        <f>IF((ContinuousStatsTable[[#This Row],[RepsRequested]]&gt;1),ContinuousStatsTable[[#This Row],[HalfWidth]],ContinuousStatsTable[[#This Row],[BatchMeansHalfWidth]])</f>
        <v>5.8838019158664288E-3</v>
      </c>
    </row>
    <row r="191" spans="1:21" x14ac:dyDescent="0.25">
      <c r="A191" t="s">
        <v>67</v>
      </c>
      <c r="B191" t="s">
        <v>69</v>
      </c>
      <c r="C191">
        <v>4</v>
      </c>
      <c r="D191" t="s">
        <v>110</v>
      </c>
      <c r="E191" t="s">
        <v>98</v>
      </c>
      <c r="F191" t="s">
        <v>96</v>
      </c>
      <c r="G191">
        <v>1</v>
      </c>
      <c r="H191">
        <v>2E+20</v>
      </c>
      <c r="I191">
        <v>1</v>
      </c>
      <c r="J191">
        <v>1</v>
      </c>
      <c r="K191">
        <v>1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10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1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1</v>
      </c>
      <c r="U191" s="5">
        <f>IF((ContinuousStatsTable[[#This Row],[RepsRequested]]&gt;1),ContinuousStatsTable[[#This Row],[HalfWidth]],ContinuousStatsTable[[#This Row],[BatchMeansHalfWidth]])</f>
        <v>0</v>
      </c>
    </row>
    <row r="192" spans="1:21" x14ac:dyDescent="0.25">
      <c r="A192" t="s">
        <v>67</v>
      </c>
      <c r="B192" t="s">
        <v>69</v>
      </c>
      <c r="C192">
        <v>4</v>
      </c>
      <c r="D192" t="s">
        <v>90</v>
      </c>
      <c r="E192" t="s">
        <v>93</v>
      </c>
      <c r="F192" t="s">
        <v>72</v>
      </c>
      <c r="G192">
        <v>2.7527831021937299</v>
      </c>
      <c r="H192">
        <v>0.57693163469647202</v>
      </c>
      <c r="I192">
        <v>0</v>
      </c>
      <c r="J192">
        <v>22</v>
      </c>
      <c r="K192">
        <v>2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10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2.3924416646278499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3.7422761400348601</v>
      </c>
      <c r="U192" s="5">
        <f>IF((ContinuousStatsTable[[#This Row],[RepsRequested]]&gt;1),ContinuousStatsTable[[#This Row],[HalfWidth]],ContinuousStatsTable[[#This Row],[BatchMeansHalfWidth]])</f>
        <v>0.29747169945211638</v>
      </c>
    </row>
    <row r="193" spans="1:21" x14ac:dyDescent="0.25">
      <c r="A193" t="s">
        <v>67</v>
      </c>
      <c r="B193" t="s">
        <v>69</v>
      </c>
      <c r="C193">
        <v>4</v>
      </c>
      <c r="D193" t="s">
        <v>91</v>
      </c>
      <c r="E193" t="s">
        <v>93</v>
      </c>
      <c r="F193" t="s">
        <v>72</v>
      </c>
      <c r="G193">
        <v>1.64980490659719</v>
      </c>
      <c r="H193">
        <v>0.34058906942584199</v>
      </c>
      <c r="I193">
        <v>0</v>
      </c>
      <c r="J193">
        <v>21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10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1.2409432816355801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1.7520834896992801</v>
      </c>
      <c r="U193" s="5">
        <f>IF((ContinuousStatsTable[[#This Row],[RepsRequested]]&gt;1),ContinuousStatsTable[[#This Row],[HalfWidth]],ContinuousStatsTable[[#This Row],[BatchMeansHalfWidth]])</f>
        <v>0.1220330504521152</v>
      </c>
    </row>
    <row r="194" spans="1:21" x14ac:dyDescent="0.25">
      <c r="A194" t="s">
        <v>67</v>
      </c>
      <c r="B194" t="s">
        <v>69</v>
      </c>
      <c r="C194">
        <v>4</v>
      </c>
      <c r="D194" t="s">
        <v>92</v>
      </c>
      <c r="E194" t="s">
        <v>93</v>
      </c>
      <c r="F194" t="s">
        <v>72</v>
      </c>
      <c r="G194">
        <v>2.3165015786826699</v>
      </c>
      <c r="H194">
        <v>0.43646807600818899</v>
      </c>
      <c r="I194">
        <v>0</v>
      </c>
      <c r="J194">
        <v>19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10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2.1762907983550299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2.7399798743587298</v>
      </c>
      <c r="U194" s="5">
        <f>IF((ContinuousStatsTable[[#This Row],[RepsRequested]]&gt;1),ContinuousStatsTable[[#This Row],[HalfWidth]],ContinuousStatsTable[[#This Row],[BatchMeansHalfWidth]])</f>
        <v>0.1357647963567922</v>
      </c>
    </row>
    <row r="195" spans="1:21" x14ac:dyDescent="0.25">
      <c r="A195" t="s">
        <v>67</v>
      </c>
      <c r="B195" t="s">
        <v>69</v>
      </c>
      <c r="C195">
        <v>4</v>
      </c>
      <c r="D195" t="s">
        <v>111</v>
      </c>
      <c r="E195" t="s">
        <v>97</v>
      </c>
      <c r="F195" t="s">
        <v>112</v>
      </c>
      <c r="G195">
        <v>0.80243320715688704</v>
      </c>
      <c r="H195">
        <v>7.4525154661911498E-3</v>
      </c>
      <c r="I195">
        <v>0</v>
      </c>
      <c r="J195">
        <v>2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10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0.79714222975806304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0.81086270984605202</v>
      </c>
      <c r="U195" s="5">
        <f>IF((ContinuousStatsTable[[#This Row],[RepsRequested]]&gt;1),ContinuousStatsTable[[#This Row],[HalfWidth]],ContinuousStatsTable[[#This Row],[BatchMeansHalfWidth]])</f>
        <v>3.3416443147686586E-3</v>
      </c>
    </row>
    <row r="196" spans="1:21" x14ac:dyDescent="0.25">
      <c r="A196" t="s">
        <v>67</v>
      </c>
      <c r="B196" t="s">
        <v>69</v>
      </c>
      <c r="C196">
        <v>4</v>
      </c>
      <c r="D196" t="s">
        <v>111</v>
      </c>
      <c r="E196" t="s">
        <v>98</v>
      </c>
      <c r="F196" t="s">
        <v>112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10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67</v>
      </c>
      <c r="B197" t="s">
        <v>69</v>
      </c>
      <c r="C197">
        <v>4</v>
      </c>
      <c r="D197" t="s">
        <v>111</v>
      </c>
      <c r="E197" t="s">
        <v>113</v>
      </c>
      <c r="F197" t="s">
        <v>112</v>
      </c>
      <c r="G197">
        <v>0.40121660357844402</v>
      </c>
      <c r="H197">
        <v>3.7262577330955801E-3</v>
      </c>
      <c r="I197">
        <v>0</v>
      </c>
      <c r="J197">
        <v>1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10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0.39857111487903202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0.40543135492302601</v>
      </c>
      <c r="U197" s="5">
        <f>IF((ContinuousStatsTable[[#This Row],[RepsRequested]]&gt;1),ContinuousStatsTable[[#This Row],[HalfWidth]],ContinuousStatsTable[[#This Row],[BatchMeansHalfWidth]])</f>
        <v>1.6708221573839188E-3</v>
      </c>
    </row>
    <row r="198" spans="1:21" x14ac:dyDescent="0.25">
      <c r="A198" t="s">
        <v>67</v>
      </c>
      <c r="B198" t="s">
        <v>69</v>
      </c>
      <c r="C198">
        <v>5</v>
      </c>
      <c r="D198" t="s">
        <v>70</v>
      </c>
      <c r="E198" t="s">
        <v>93</v>
      </c>
      <c r="F198" t="s">
        <v>72</v>
      </c>
      <c r="G198">
        <v>1.85360941964019</v>
      </c>
      <c r="H198">
        <v>0.270339619165747</v>
      </c>
      <c r="I198">
        <v>0</v>
      </c>
      <c r="J198">
        <v>22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10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1.76226441002947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2.3188373788375798</v>
      </c>
      <c r="U198" s="5">
        <f>IF((ContinuousStatsTable[[#This Row],[RepsRequested]]&gt;1),ContinuousStatsTable[[#This Row],[HalfWidth]],ContinuousStatsTable[[#This Row],[BatchMeansHalfWidth]])</f>
        <v>0.12049041629004678</v>
      </c>
    </row>
    <row r="199" spans="1:21" x14ac:dyDescent="0.25">
      <c r="A199" t="s">
        <v>67</v>
      </c>
      <c r="B199" t="s">
        <v>69</v>
      </c>
      <c r="C199">
        <v>5</v>
      </c>
      <c r="D199" t="s">
        <v>94</v>
      </c>
      <c r="E199" t="s">
        <v>95</v>
      </c>
      <c r="F199" t="s">
        <v>96</v>
      </c>
      <c r="G199">
        <v>0.74524335409428599</v>
      </c>
      <c r="H199">
        <v>1.9364528001489301E-2</v>
      </c>
      <c r="I199">
        <v>0</v>
      </c>
      <c r="J199">
        <v>1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10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0.73578099184835299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0.76817992377286104</v>
      </c>
      <c r="U199" s="5">
        <f>IF((ContinuousStatsTable[[#This Row],[RepsRequested]]&gt;1),ContinuousStatsTable[[#This Row],[HalfWidth]],ContinuousStatsTable[[#This Row],[BatchMeansHalfWidth]])</f>
        <v>6.6348533752732253E-3</v>
      </c>
    </row>
    <row r="200" spans="1:21" x14ac:dyDescent="0.25">
      <c r="A200" t="s">
        <v>67</v>
      </c>
      <c r="B200" t="s">
        <v>69</v>
      </c>
      <c r="C200">
        <v>5</v>
      </c>
      <c r="D200" t="s">
        <v>94</v>
      </c>
      <c r="E200" t="s">
        <v>97</v>
      </c>
      <c r="F200" t="s">
        <v>96</v>
      </c>
      <c r="G200">
        <v>1.49048670818857</v>
      </c>
      <c r="H200">
        <v>3.8729056002978497E-2</v>
      </c>
      <c r="I200">
        <v>0</v>
      </c>
      <c r="J200">
        <v>2</v>
      </c>
      <c r="K200">
        <v>2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10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1.47156198369671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1.5363598475457201</v>
      </c>
      <c r="U200" s="5">
        <f>IF((ContinuousStatsTable[[#This Row],[RepsRequested]]&gt;1),ContinuousStatsTable[[#This Row],[HalfWidth]],ContinuousStatsTable[[#This Row],[BatchMeansHalfWidth]])</f>
        <v>1.3269706750545264E-2</v>
      </c>
    </row>
    <row r="201" spans="1:21" x14ac:dyDescent="0.25">
      <c r="A201" t="s">
        <v>67</v>
      </c>
      <c r="B201" t="s">
        <v>69</v>
      </c>
      <c r="C201">
        <v>5</v>
      </c>
      <c r="D201" t="s">
        <v>94</v>
      </c>
      <c r="E201" t="s">
        <v>98</v>
      </c>
      <c r="F201" t="s">
        <v>96</v>
      </c>
      <c r="G201">
        <v>2</v>
      </c>
      <c r="H201">
        <v>2E+20</v>
      </c>
      <c r="I201">
        <v>2</v>
      </c>
      <c r="J201">
        <v>2</v>
      </c>
      <c r="K201">
        <v>2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10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2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2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2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67</v>
      </c>
      <c r="B202" t="s">
        <v>69</v>
      </c>
      <c r="C202">
        <v>5</v>
      </c>
      <c r="D202" t="s">
        <v>99</v>
      </c>
      <c r="E202" t="s">
        <v>95</v>
      </c>
      <c r="F202" t="s">
        <v>96</v>
      </c>
      <c r="G202">
        <v>0.74716404158945904</v>
      </c>
      <c r="H202">
        <v>1.8923669290199601E-2</v>
      </c>
      <c r="I202">
        <v>0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10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0.73777590022083495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0.76666045600624</v>
      </c>
      <c r="U202" s="5">
        <f>IF((ContinuousStatsTable[[#This Row],[RepsRequested]]&gt;1),ContinuousStatsTable[[#This Row],[HalfWidth]],ContinuousStatsTable[[#This Row],[BatchMeansHalfWidth]])</f>
        <v>6.5760437266769349E-3</v>
      </c>
    </row>
    <row r="203" spans="1:21" x14ac:dyDescent="0.25">
      <c r="A203" t="s">
        <v>67</v>
      </c>
      <c r="B203" t="s">
        <v>69</v>
      </c>
      <c r="C203">
        <v>5</v>
      </c>
      <c r="D203" t="s">
        <v>99</v>
      </c>
      <c r="E203" t="s">
        <v>97</v>
      </c>
      <c r="F203" t="s">
        <v>96</v>
      </c>
      <c r="G203">
        <v>0.74716404158945904</v>
      </c>
      <c r="H203">
        <v>1.8923669290199601E-2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10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0.73777590022083495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0.76666045600624</v>
      </c>
      <c r="U203" s="5">
        <f>IF((ContinuousStatsTable[[#This Row],[RepsRequested]]&gt;1),ContinuousStatsTable[[#This Row],[HalfWidth]],ContinuousStatsTable[[#This Row],[BatchMeansHalfWidth]])</f>
        <v>6.5760437266769349E-3</v>
      </c>
    </row>
    <row r="204" spans="1:21" x14ac:dyDescent="0.25">
      <c r="A204" t="s">
        <v>67</v>
      </c>
      <c r="B204" t="s">
        <v>69</v>
      </c>
      <c r="C204">
        <v>5</v>
      </c>
      <c r="D204" t="s">
        <v>99</v>
      </c>
      <c r="E204" t="s">
        <v>98</v>
      </c>
      <c r="F204" t="s">
        <v>96</v>
      </c>
      <c r="G204">
        <v>1</v>
      </c>
      <c r="H204">
        <v>2E+20</v>
      </c>
      <c r="I204">
        <v>1</v>
      </c>
      <c r="J204">
        <v>1</v>
      </c>
      <c r="K204">
        <v>1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10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1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25">
      <c r="A205" t="s">
        <v>67</v>
      </c>
      <c r="B205" t="s">
        <v>69</v>
      </c>
      <c r="C205">
        <v>5</v>
      </c>
      <c r="D205" t="s">
        <v>100</v>
      </c>
      <c r="E205" t="s">
        <v>95</v>
      </c>
      <c r="F205" t="s">
        <v>96</v>
      </c>
      <c r="G205">
        <v>0.74332266659911195</v>
      </c>
      <c r="H205">
        <v>2.1331610336265801E-2</v>
      </c>
      <c r="I205">
        <v>0</v>
      </c>
      <c r="J205">
        <v>1</v>
      </c>
      <c r="K205">
        <v>1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10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0.73378608347586405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0.76969939153947697</v>
      </c>
      <c r="U205" s="5">
        <f>IF((ContinuousStatsTable[[#This Row],[RepsRequested]]&gt;1),ContinuousStatsTable[[#This Row],[HalfWidth]],ContinuousStatsTable[[#This Row],[BatchMeansHalfWidth]])</f>
        <v>7.298068329198576E-3</v>
      </c>
    </row>
    <row r="206" spans="1:21" x14ac:dyDescent="0.25">
      <c r="A206" t="s">
        <v>67</v>
      </c>
      <c r="B206" t="s">
        <v>69</v>
      </c>
      <c r="C206">
        <v>5</v>
      </c>
      <c r="D206" t="s">
        <v>100</v>
      </c>
      <c r="E206" t="s">
        <v>97</v>
      </c>
      <c r="F206" t="s">
        <v>96</v>
      </c>
      <c r="G206">
        <v>0.74332266659911195</v>
      </c>
      <c r="H206">
        <v>2.1331610336265801E-2</v>
      </c>
      <c r="I206">
        <v>0</v>
      </c>
      <c r="J206">
        <v>1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10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0.73378608347586405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0.76969939153947697</v>
      </c>
      <c r="U206" s="5">
        <f>IF((ContinuousStatsTable[[#This Row],[RepsRequested]]&gt;1),ContinuousStatsTable[[#This Row],[HalfWidth]],ContinuousStatsTable[[#This Row],[BatchMeansHalfWidth]])</f>
        <v>7.298068329198576E-3</v>
      </c>
    </row>
    <row r="207" spans="1:21" x14ac:dyDescent="0.25">
      <c r="A207" t="s">
        <v>67</v>
      </c>
      <c r="B207" t="s">
        <v>69</v>
      </c>
      <c r="C207">
        <v>5</v>
      </c>
      <c r="D207" t="s">
        <v>100</v>
      </c>
      <c r="E207" t="s">
        <v>98</v>
      </c>
      <c r="F207" t="s">
        <v>96</v>
      </c>
      <c r="G207">
        <v>1</v>
      </c>
      <c r="H207">
        <v>2E+20</v>
      </c>
      <c r="I207">
        <v>1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10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1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1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1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25">
      <c r="A208" t="s">
        <v>67</v>
      </c>
      <c r="B208" t="s">
        <v>69</v>
      </c>
      <c r="C208">
        <v>5</v>
      </c>
      <c r="D208" t="s">
        <v>73</v>
      </c>
      <c r="E208" t="s">
        <v>101</v>
      </c>
      <c r="F208" t="s">
        <v>75</v>
      </c>
      <c r="G208">
        <v>18.243603373276802</v>
      </c>
      <c r="H208">
        <v>3E+20</v>
      </c>
      <c r="I208">
        <v>0</v>
      </c>
      <c r="J208">
        <v>50</v>
      </c>
      <c r="K208">
        <v>15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10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16.327634071208799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18.8479471560706</v>
      </c>
      <c r="U208" s="5">
        <f>IF((ContinuousStatsTable[[#This Row],[RepsRequested]]&gt;1),ContinuousStatsTable[[#This Row],[HalfWidth]],ContinuousStatsTable[[#This Row],[BatchMeansHalfWidth]])</f>
        <v>0.51828581657665529</v>
      </c>
    </row>
    <row r="209" spans="1:21" x14ac:dyDescent="0.25">
      <c r="A209" t="s">
        <v>67</v>
      </c>
      <c r="B209" t="s">
        <v>69</v>
      </c>
      <c r="C209">
        <v>5</v>
      </c>
      <c r="D209" t="s">
        <v>84</v>
      </c>
      <c r="E209" t="s">
        <v>93</v>
      </c>
      <c r="F209" t="s">
        <v>72</v>
      </c>
      <c r="G209">
        <v>1.31220661311398</v>
      </c>
      <c r="H209">
        <v>0.32503337620098299</v>
      </c>
      <c r="I209">
        <v>0</v>
      </c>
      <c r="J209">
        <v>13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10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0.99579270827195998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1.40699442999762</v>
      </c>
      <c r="U209" s="5">
        <f>IF((ContinuousStatsTable[[#This Row],[RepsRequested]]&gt;1),ContinuousStatsTable[[#This Row],[HalfWidth]],ContinuousStatsTable[[#This Row],[BatchMeansHalfWidth]])</f>
        <v>9.4525954407496268E-2</v>
      </c>
    </row>
    <row r="210" spans="1:21" x14ac:dyDescent="0.25">
      <c r="A210" t="s">
        <v>67</v>
      </c>
      <c r="B210" t="s">
        <v>69</v>
      </c>
      <c r="C210">
        <v>5</v>
      </c>
      <c r="D210" t="s">
        <v>102</v>
      </c>
      <c r="E210" t="s">
        <v>95</v>
      </c>
      <c r="F210" t="s">
        <v>96</v>
      </c>
      <c r="G210">
        <v>0.86211465144781196</v>
      </c>
      <c r="H210">
        <v>2.0181749938563601E-2</v>
      </c>
      <c r="I210">
        <v>0</v>
      </c>
      <c r="J210">
        <v>1</v>
      </c>
      <c r="K210">
        <v>1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10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0.85300206766602205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0.87632698102425799</v>
      </c>
      <c r="U210" s="5">
        <f>IF((ContinuousStatsTable[[#This Row],[RepsRequested]]&gt;1),ContinuousStatsTable[[#This Row],[HalfWidth]],ContinuousStatsTable[[#This Row],[BatchMeansHalfWidth]])</f>
        <v>5.2410393061669046E-3</v>
      </c>
    </row>
    <row r="211" spans="1:21" x14ac:dyDescent="0.25">
      <c r="A211" t="s">
        <v>67</v>
      </c>
      <c r="B211" t="s">
        <v>69</v>
      </c>
      <c r="C211">
        <v>5</v>
      </c>
      <c r="D211" t="s">
        <v>102</v>
      </c>
      <c r="E211" t="s">
        <v>97</v>
      </c>
      <c r="F211" t="s">
        <v>96</v>
      </c>
      <c r="G211">
        <v>0.86211465144781196</v>
      </c>
      <c r="H211">
        <v>2.0181749938563601E-2</v>
      </c>
      <c r="I211">
        <v>0</v>
      </c>
      <c r="J211">
        <v>1</v>
      </c>
      <c r="K211">
        <v>1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10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0.85300206766602205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0.87632698102425799</v>
      </c>
      <c r="U211" s="5">
        <f>IF((ContinuousStatsTable[[#This Row],[RepsRequested]]&gt;1),ContinuousStatsTable[[#This Row],[HalfWidth]],ContinuousStatsTable[[#This Row],[BatchMeansHalfWidth]])</f>
        <v>5.2410393061669046E-3</v>
      </c>
    </row>
    <row r="212" spans="1:21" x14ac:dyDescent="0.25">
      <c r="A212" t="s">
        <v>67</v>
      </c>
      <c r="B212" t="s">
        <v>69</v>
      </c>
      <c r="C212">
        <v>5</v>
      </c>
      <c r="D212" t="s">
        <v>102</v>
      </c>
      <c r="E212" t="s">
        <v>98</v>
      </c>
      <c r="F212" t="s">
        <v>96</v>
      </c>
      <c r="G212">
        <v>1</v>
      </c>
      <c r="H212">
        <v>2E+20</v>
      </c>
      <c r="I212">
        <v>1</v>
      </c>
      <c r="J212">
        <v>1</v>
      </c>
      <c r="K212">
        <v>1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10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1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1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1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25">
      <c r="A213" t="s">
        <v>67</v>
      </c>
      <c r="B213" t="s">
        <v>69</v>
      </c>
      <c r="C213">
        <v>5</v>
      </c>
      <c r="D213" t="s">
        <v>103</v>
      </c>
      <c r="E213" t="s">
        <v>95</v>
      </c>
      <c r="F213" t="s">
        <v>96</v>
      </c>
      <c r="G213">
        <v>0.86200776630730302</v>
      </c>
      <c r="H213">
        <v>1.9480296263840201E-2</v>
      </c>
      <c r="I213">
        <v>0</v>
      </c>
      <c r="J213">
        <v>1</v>
      </c>
      <c r="K213">
        <v>1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10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0.85267322894137698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0.87300868153341904</v>
      </c>
      <c r="U213" s="5">
        <f>IF((ContinuousStatsTable[[#This Row],[RepsRequested]]&gt;1),ContinuousStatsTable[[#This Row],[HalfWidth]],ContinuousStatsTable[[#This Row],[BatchMeansHalfWidth]])</f>
        <v>5.1492506011230968E-3</v>
      </c>
    </row>
    <row r="214" spans="1:21" x14ac:dyDescent="0.25">
      <c r="A214" t="s">
        <v>67</v>
      </c>
      <c r="B214" t="s">
        <v>69</v>
      </c>
      <c r="C214">
        <v>5</v>
      </c>
      <c r="D214" t="s">
        <v>103</v>
      </c>
      <c r="E214" t="s">
        <v>97</v>
      </c>
      <c r="F214" t="s">
        <v>96</v>
      </c>
      <c r="G214">
        <v>0.86200776630730302</v>
      </c>
      <c r="H214">
        <v>1.9480296263840201E-2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10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0.85267322894137698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0.87300868153341904</v>
      </c>
      <c r="U214" s="5">
        <f>IF((ContinuousStatsTable[[#This Row],[RepsRequested]]&gt;1),ContinuousStatsTable[[#This Row],[HalfWidth]],ContinuousStatsTable[[#This Row],[BatchMeansHalfWidth]])</f>
        <v>5.1492506011230968E-3</v>
      </c>
    </row>
    <row r="215" spans="1:21" x14ac:dyDescent="0.25">
      <c r="A215" t="s">
        <v>67</v>
      </c>
      <c r="B215" t="s">
        <v>69</v>
      </c>
      <c r="C215">
        <v>5</v>
      </c>
      <c r="D215" t="s">
        <v>103</v>
      </c>
      <c r="E215" t="s">
        <v>98</v>
      </c>
      <c r="F215" t="s">
        <v>96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10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67</v>
      </c>
      <c r="B216" t="s">
        <v>69</v>
      </c>
      <c r="C216">
        <v>5</v>
      </c>
      <c r="D216" t="s">
        <v>104</v>
      </c>
      <c r="E216" t="s">
        <v>95</v>
      </c>
      <c r="F216" t="s">
        <v>96</v>
      </c>
      <c r="G216">
        <v>0.861647163681307</v>
      </c>
      <c r="H216">
        <v>2.0411927444399999E-2</v>
      </c>
      <c r="I216">
        <v>0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10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0.85312589705184705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0.87436351179675398</v>
      </c>
      <c r="U216" s="5">
        <f>IF((ContinuousStatsTable[[#This Row],[RepsRequested]]&gt;1),ContinuousStatsTable[[#This Row],[HalfWidth]],ContinuousStatsTable[[#This Row],[BatchMeansHalfWidth]])</f>
        <v>5.093233831135466E-3</v>
      </c>
    </row>
    <row r="217" spans="1:21" x14ac:dyDescent="0.25">
      <c r="A217" t="s">
        <v>67</v>
      </c>
      <c r="B217" t="s">
        <v>69</v>
      </c>
      <c r="C217">
        <v>5</v>
      </c>
      <c r="D217" t="s">
        <v>104</v>
      </c>
      <c r="E217" t="s">
        <v>97</v>
      </c>
      <c r="F217" t="s">
        <v>96</v>
      </c>
      <c r="G217">
        <v>0.861647163681307</v>
      </c>
      <c r="H217">
        <v>2.0411927444399999E-2</v>
      </c>
      <c r="I217">
        <v>0</v>
      </c>
      <c r="J217">
        <v>1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10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0.85312589705184705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0.87436351179675398</v>
      </c>
      <c r="U217" s="5">
        <f>IF((ContinuousStatsTable[[#This Row],[RepsRequested]]&gt;1),ContinuousStatsTable[[#This Row],[HalfWidth]],ContinuousStatsTable[[#This Row],[BatchMeansHalfWidth]])</f>
        <v>5.093233831135466E-3</v>
      </c>
    </row>
    <row r="218" spans="1:21" x14ac:dyDescent="0.25">
      <c r="A218" t="s">
        <v>67</v>
      </c>
      <c r="B218" t="s">
        <v>69</v>
      </c>
      <c r="C218">
        <v>5</v>
      </c>
      <c r="D218" t="s">
        <v>104</v>
      </c>
      <c r="E218" t="s">
        <v>98</v>
      </c>
      <c r="F218" t="s">
        <v>96</v>
      </c>
      <c r="G218">
        <v>1</v>
      </c>
      <c r="H218">
        <v>2E+20</v>
      </c>
      <c r="I218">
        <v>1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10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1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1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1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67</v>
      </c>
      <c r="B219" t="s">
        <v>69</v>
      </c>
      <c r="C219">
        <v>5</v>
      </c>
      <c r="D219" t="s">
        <v>85</v>
      </c>
      <c r="E219" t="s">
        <v>93</v>
      </c>
      <c r="F219" t="s">
        <v>72</v>
      </c>
      <c r="G219">
        <v>4.46975375012869E-3</v>
      </c>
      <c r="H219">
        <v>4.6113939878543301E-4</v>
      </c>
      <c r="I219">
        <v>0</v>
      </c>
      <c r="J219">
        <v>1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10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4.46975375012869E-3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5.19139886192292E-3</v>
      </c>
      <c r="U219" s="5">
        <f>IF((ContinuousStatsTable[[#This Row],[RepsRequested]]&gt;1),ContinuousStatsTable[[#This Row],[HalfWidth]],ContinuousStatsTable[[#This Row],[BatchMeansHalfWidth]])</f>
        <v>1.5212674323174428E-4</v>
      </c>
    </row>
    <row r="220" spans="1:21" x14ac:dyDescent="0.25">
      <c r="A220" t="s">
        <v>67</v>
      </c>
      <c r="B220" t="s">
        <v>69</v>
      </c>
      <c r="C220">
        <v>5</v>
      </c>
      <c r="D220" t="s">
        <v>86</v>
      </c>
      <c r="E220" t="s">
        <v>93</v>
      </c>
      <c r="F220" t="s">
        <v>72</v>
      </c>
      <c r="G220">
        <v>7.1593979154541297E-3</v>
      </c>
      <c r="H220">
        <v>6.0771410564854197E-4</v>
      </c>
      <c r="I220">
        <v>0</v>
      </c>
      <c r="J220">
        <v>3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10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6.4644878524100302E-3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7.1613926309565699E-3</v>
      </c>
      <c r="U220" s="5">
        <f>IF((ContinuousStatsTable[[#This Row],[RepsRequested]]&gt;1),ContinuousStatsTable[[#This Row],[HalfWidth]],ContinuousStatsTable[[#This Row],[BatchMeansHalfWidth]])</f>
        <v>1.9039143298908446E-4</v>
      </c>
    </row>
    <row r="221" spans="1:21" x14ac:dyDescent="0.25">
      <c r="A221" t="s">
        <v>67</v>
      </c>
      <c r="B221" t="s">
        <v>69</v>
      </c>
      <c r="C221">
        <v>5</v>
      </c>
      <c r="D221" t="s">
        <v>87</v>
      </c>
      <c r="E221" t="s">
        <v>93</v>
      </c>
      <c r="F221" t="s">
        <v>72</v>
      </c>
      <c r="G221">
        <v>2.69075255501943E-3</v>
      </c>
      <c r="H221">
        <v>2.8765651231156601E-4</v>
      </c>
      <c r="I221">
        <v>0</v>
      </c>
      <c r="J221">
        <v>1</v>
      </c>
      <c r="K221">
        <v>0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10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2.6429119389876198E-3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3.0552991746512601E-3</v>
      </c>
      <c r="U221" s="5">
        <f>IF((ContinuousStatsTable[[#This Row],[RepsRequested]]&gt;1),ContinuousStatsTable[[#This Row],[HalfWidth]],ContinuousStatsTable[[#This Row],[BatchMeansHalfWidth]])</f>
        <v>1.0063752504111057E-4</v>
      </c>
    </row>
    <row r="222" spans="1:21" x14ac:dyDescent="0.25">
      <c r="A222" t="s">
        <v>67</v>
      </c>
      <c r="B222" t="s">
        <v>69</v>
      </c>
      <c r="C222">
        <v>5</v>
      </c>
      <c r="D222" t="s">
        <v>88</v>
      </c>
      <c r="E222" t="s">
        <v>93</v>
      </c>
      <c r="F222" t="s">
        <v>72</v>
      </c>
      <c r="G222">
        <v>4.1348640802016997E-3</v>
      </c>
      <c r="H222">
        <v>3.72182231927725E-4</v>
      </c>
      <c r="I222">
        <v>0</v>
      </c>
      <c r="J222">
        <v>1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10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3.7244128651004798E-3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4.35137641764906E-3</v>
      </c>
      <c r="U222" s="5">
        <f>IF((ContinuousStatsTable[[#This Row],[RepsRequested]]&gt;1),ContinuousStatsTable[[#This Row],[HalfWidth]],ContinuousStatsTable[[#This Row],[BatchMeansHalfWidth]])</f>
        <v>1.2471918446914371E-4</v>
      </c>
    </row>
    <row r="223" spans="1:21" x14ac:dyDescent="0.25">
      <c r="A223" t="s">
        <v>67</v>
      </c>
      <c r="B223" t="s">
        <v>69</v>
      </c>
      <c r="C223">
        <v>5</v>
      </c>
      <c r="D223" t="s">
        <v>105</v>
      </c>
      <c r="E223" t="s">
        <v>95</v>
      </c>
      <c r="F223" t="s">
        <v>96</v>
      </c>
      <c r="G223">
        <v>0.86369048734499199</v>
      </c>
      <c r="H223">
        <v>2.2711128849063299E-2</v>
      </c>
      <c r="I223">
        <v>0</v>
      </c>
      <c r="J223">
        <v>1</v>
      </c>
      <c r="K223">
        <v>1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10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0.83618943731414597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0.86586763783419696</v>
      </c>
      <c r="U223" s="5">
        <f>IF((ContinuousStatsTable[[#This Row],[RepsRequested]]&gt;1),ContinuousStatsTable[[#This Row],[HalfWidth]],ContinuousStatsTable[[#This Row],[BatchMeansHalfWidth]])</f>
        <v>6.774830857795836E-3</v>
      </c>
    </row>
    <row r="224" spans="1:21" x14ac:dyDescent="0.25">
      <c r="A224" t="s">
        <v>67</v>
      </c>
      <c r="B224" t="s">
        <v>69</v>
      </c>
      <c r="C224">
        <v>5</v>
      </c>
      <c r="D224" t="s">
        <v>105</v>
      </c>
      <c r="E224" t="s">
        <v>97</v>
      </c>
      <c r="F224" t="s">
        <v>96</v>
      </c>
      <c r="G224">
        <v>0.86369048734499199</v>
      </c>
      <c r="H224">
        <v>2.2711128849063299E-2</v>
      </c>
      <c r="I224">
        <v>0</v>
      </c>
      <c r="J224">
        <v>1</v>
      </c>
      <c r="K224">
        <v>1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10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0.83618943731414597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0.86586763783419696</v>
      </c>
      <c r="U224" s="5">
        <f>IF((ContinuousStatsTable[[#This Row],[RepsRequested]]&gt;1),ContinuousStatsTable[[#This Row],[HalfWidth]],ContinuousStatsTable[[#This Row],[BatchMeansHalfWidth]])</f>
        <v>6.774830857795836E-3</v>
      </c>
    </row>
    <row r="225" spans="1:21" x14ac:dyDescent="0.25">
      <c r="A225" t="s">
        <v>67</v>
      </c>
      <c r="B225" t="s">
        <v>69</v>
      </c>
      <c r="C225">
        <v>5</v>
      </c>
      <c r="D225" t="s">
        <v>105</v>
      </c>
      <c r="E225" t="s">
        <v>98</v>
      </c>
      <c r="F225" t="s">
        <v>96</v>
      </c>
      <c r="G225">
        <v>1</v>
      </c>
      <c r="H225">
        <v>2E+20</v>
      </c>
      <c r="I225">
        <v>1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10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1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1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1</v>
      </c>
      <c r="U225" s="5">
        <f>IF((ContinuousStatsTable[[#This Row],[RepsRequested]]&gt;1),ContinuousStatsTable[[#This Row],[HalfWidth]],ContinuousStatsTable[[#This Row],[BatchMeansHalfWidth]])</f>
        <v>0</v>
      </c>
    </row>
    <row r="226" spans="1:21" x14ac:dyDescent="0.25">
      <c r="A226" t="s">
        <v>67</v>
      </c>
      <c r="B226" t="s">
        <v>69</v>
      </c>
      <c r="C226">
        <v>5</v>
      </c>
      <c r="D226" t="s">
        <v>106</v>
      </c>
      <c r="E226" t="s">
        <v>95</v>
      </c>
      <c r="F226" t="s">
        <v>96</v>
      </c>
      <c r="G226">
        <v>0.75864843854708297</v>
      </c>
      <c r="H226">
        <v>2.17000120842692E-2</v>
      </c>
      <c r="I226">
        <v>0</v>
      </c>
      <c r="J226">
        <v>1</v>
      </c>
      <c r="K226">
        <v>1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10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0.75864843854708297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0.79252596119945096</v>
      </c>
      <c r="U226" s="5">
        <f>IF((ContinuousStatsTable[[#This Row],[RepsRequested]]&gt;1),ContinuousStatsTable[[#This Row],[HalfWidth]],ContinuousStatsTable[[#This Row],[BatchMeansHalfWidth]])</f>
        <v>7.9650525926457348E-3</v>
      </c>
    </row>
    <row r="227" spans="1:21" x14ac:dyDescent="0.25">
      <c r="A227" t="s">
        <v>67</v>
      </c>
      <c r="B227" t="s">
        <v>69</v>
      </c>
      <c r="C227">
        <v>5</v>
      </c>
      <c r="D227" t="s">
        <v>106</v>
      </c>
      <c r="E227" t="s">
        <v>97</v>
      </c>
      <c r="F227" t="s">
        <v>96</v>
      </c>
      <c r="G227">
        <v>0.75864843854708297</v>
      </c>
      <c r="H227">
        <v>2.17000120842692E-2</v>
      </c>
      <c r="I227">
        <v>0</v>
      </c>
      <c r="J227">
        <v>1</v>
      </c>
      <c r="K227">
        <v>1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10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0.75864843854708297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0.79252596119945096</v>
      </c>
      <c r="U227" s="5">
        <f>IF((ContinuousStatsTable[[#This Row],[RepsRequested]]&gt;1),ContinuousStatsTable[[#This Row],[HalfWidth]],ContinuousStatsTable[[#This Row],[BatchMeansHalfWidth]])</f>
        <v>7.9650525926457348E-3</v>
      </c>
    </row>
    <row r="228" spans="1:21" x14ac:dyDescent="0.25">
      <c r="A228" t="s">
        <v>67</v>
      </c>
      <c r="B228" t="s">
        <v>69</v>
      </c>
      <c r="C228">
        <v>5</v>
      </c>
      <c r="D228" t="s">
        <v>106</v>
      </c>
      <c r="E228" t="s">
        <v>98</v>
      </c>
      <c r="F228" t="s">
        <v>96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10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67</v>
      </c>
      <c r="B229" t="s">
        <v>69</v>
      </c>
      <c r="C229">
        <v>5</v>
      </c>
      <c r="D229" t="s">
        <v>107</v>
      </c>
      <c r="E229" t="s">
        <v>95</v>
      </c>
      <c r="F229" t="s">
        <v>96</v>
      </c>
      <c r="G229">
        <v>0.85209028396297504</v>
      </c>
      <c r="H229">
        <v>1.9937483701303799E-2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10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0.84465777371794004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0.87000527345659695</v>
      </c>
      <c r="U229" s="5">
        <f>IF((ContinuousStatsTable[[#This Row],[RepsRequested]]&gt;1),ContinuousStatsTable[[#This Row],[HalfWidth]],ContinuousStatsTable[[#This Row],[BatchMeansHalfWidth]])</f>
        <v>5.8838019158664288E-3</v>
      </c>
    </row>
    <row r="230" spans="1:21" x14ac:dyDescent="0.25">
      <c r="A230" t="s">
        <v>67</v>
      </c>
      <c r="B230" t="s">
        <v>69</v>
      </c>
      <c r="C230">
        <v>5</v>
      </c>
      <c r="D230" t="s">
        <v>107</v>
      </c>
      <c r="E230" t="s">
        <v>97</v>
      </c>
      <c r="F230" t="s">
        <v>96</v>
      </c>
      <c r="G230">
        <v>0.85209028396297504</v>
      </c>
      <c r="H230">
        <v>1.9937483701303799E-2</v>
      </c>
      <c r="I230">
        <v>0</v>
      </c>
      <c r="J230">
        <v>1</v>
      </c>
      <c r="K230">
        <v>1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10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0.84465777371794004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0.87000527345659695</v>
      </c>
      <c r="U230" s="5">
        <f>IF((ContinuousStatsTable[[#This Row],[RepsRequested]]&gt;1),ContinuousStatsTable[[#This Row],[HalfWidth]],ContinuousStatsTable[[#This Row],[BatchMeansHalfWidth]])</f>
        <v>5.8838019158664288E-3</v>
      </c>
    </row>
    <row r="231" spans="1:21" x14ac:dyDescent="0.25">
      <c r="A231" t="s">
        <v>67</v>
      </c>
      <c r="B231" t="s">
        <v>69</v>
      </c>
      <c r="C231">
        <v>5</v>
      </c>
      <c r="D231" t="s">
        <v>107</v>
      </c>
      <c r="E231" t="s">
        <v>98</v>
      </c>
      <c r="F231" t="s">
        <v>96</v>
      </c>
      <c r="G231">
        <v>1</v>
      </c>
      <c r="H231">
        <v>2E+20</v>
      </c>
      <c r="I231">
        <v>1</v>
      </c>
      <c r="J231">
        <v>1</v>
      </c>
      <c r="K231">
        <v>1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10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1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1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1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67</v>
      </c>
      <c r="B232" t="s">
        <v>69</v>
      </c>
      <c r="C232">
        <v>5</v>
      </c>
      <c r="D232" t="s">
        <v>108</v>
      </c>
      <c r="E232" t="s">
        <v>95</v>
      </c>
      <c r="F232" t="s">
        <v>96</v>
      </c>
      <c r="G232">
        <v>0.86369048734499199</v>
      </c>
      <c r="H232">
        <v>2.2711128849063299E-2</v>
      </c>
      <c r="I232">
        <v>0</v>
      </c>
      <c r="J232">
        <v>1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10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0.83618943731414597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0.86586763783419696</v>
      </c>
      <c r="U232" s="5">
        <f>IF((ContinuousStatsTable[[#This Row],[RepsRequested]]&gt;1),ContinuousStatsTable[[#This Row],[HalfWidth]],ContinuousStatsTable[[#This Row],[BatchMeansHalfWidth]])</f>
        <v>6.774830857795836E-3</v>
      </c>
    </row>
    <row r="233" spans="1:21" x14ac:dyDescent="0.25">
      <c r="A233" t="s">
        <v>67</v>
      </c>
      <c r="B233" t="s">
        <v>69</v>
      </c>
      <c r="C233">
        <v>5</v>
      </c>
      <c r="D233" t="s">
        <v>108</v>
      </c>
      <c r="E233" t="s">
        <v>97</v>
      </c>
      <c r="F233" t="s">
        <v>96</v>
      </c>
      <c r="G233">
        <v>0.86369048734499199</v>
      </c>
      <c r="H233">
        <v>2.2711128849063299E-2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10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0.83618943731414597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0.86586763783419696</v>
      </c>
      <c r="U233" s="5">
        <f>IF((ContinuousStatsTable[[#This Row],[RepsRequested]]&gt;1),ContinuousStatsTable[[#This Row],[HalfWidth]],ContinuousStatsTable[[#This Row],[BatchMeansHalfWidth]])</f>
        <v>6.774830857795836E-3</v>
      </c>
    </row>
    <row r="234" spans="1:21" x14ac:dyDescent="0.25">
      <c r="A234" t="s">
        <v>67</v>
      </c>
      <c r="B234" t="s">
        <v>69</v>
      </c>
      <c r="C234">
        <v>5</v>
      </c>
      <c r="D234" t="s">
        <v>108</v>
      </c>
      <c r="E234" t="s">
        <v>98</v>
      </c>
      <c r="F234" t="s">
        <v>96</v>
      </c>
      <c r="G234">
        <v>1</v>
      </c>
      <c r="H234">
        <v>2E+20</v>
      </c>
      <c r="I234">
        <v>1</v>
      </c>
      <c r="J234">
        <v>1</v>
      </c>
      <c r="K234">
        <v>1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10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1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</v>
      </c>
      <c r="U234" s="5">
        <f>IF((ContinuousStatsTable[[#This Row],[RepsRequested]]&gt;1),ContinuousStatsTable[[#This Row],[HalfWidth]],ContinuousStatsTable[[#This Row],[BatchMeansHalfWidth]])</f>
        <v>0</v>
      </c>
    </row>
    <row r="235" spans="1:21" x14ac:dyDescent="0.25">
      <c r="A235" t="s">
        <v>67</v>
      </c>
      <c r="B235" t="s">
        <v>69</v>
      </c>
      <c r="C235">
        <v>5</v>
      </c>
      <c r="D235" t="s">
        <v>109</v>
      </c>
      <c r="E235" t="s">
        <v>95</v>
      </c>
      <c r="F235" t="s">
        <v>96</v>
      </c>
      <c r="G235">
        <v>0.75864843854708297</v>
      </c>
      <c r="H235">
        <v>2.17000120842692E-2</v>
      </c>
      <c r="I235">
        <v>0</v>
      </c>
      <c r="J235">
        <v>1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10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0.75864843854708297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0.79252596119945096</v>
      </c>
      <c r="U235" s="5">
        <f>IF((ContinuousStatsTable[[#This Row],[RepsRequested]]&gt;1),ContinuousStatsTable[[#This Row],[HalfWidth]],ContinuousStatsTable[[#This Row],[BatchMeansHalfWidth]])</f>
        <v>7.9650525926457348E-3</v>
      </c>
    </row>
    <row r="236" spans="1:21" x14ac:dyDescent="0.25">
      <c r="A236" t="s">
        <v>67</v>
      </c>
      <c r="B236" t="s">
        <v>69</v>
      </c>
      <c r="C236">
        <v>5</v>
      </c>
      <c r="D236" t="s">
        <v>109</v>
      </c>
      <c r="E236" t="s">
        <v>97</v>
      </c>
      <c r="F236" t="s">
        <v>96</v>
      </c>
      <c r="G236">
        <v>0.75864843854708297</v>
      </c>
      <c r="H236">
        <v>2.17000120842692E-2</v>
      </c>
      <c r="I236">
        <v>0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10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0.75864843854708297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0.79252596119945096</v>
      </c>
      <c r="U236" s="5">
        <f>IF((ContinuousStatsTable[[#This Row],[RepsRequested]]&gt;1),ContinuousStatsTable[[#This Row],[HalfWidth]],ContinuousStatsTable[[#This Row],[BatchMeansHalfWidth]])</f>
        <v>7.9650525926457348E-3</v>
      </c>
    </row>
    <row r="237" spans="1:21" x14ac:dyDescent="0.25">
      <c r="A237" t="s">
        <v>67</v>
      </c>
      <c r="B237" t="s">
        <v>69</v>
      </c>
      <c r="C237">
        <v>5</v>
      </c>
      <c r="D237" t="s">
        <v>109</v>
      </c>
      <c r="E237" t="s">
        <v>98</v>
      </c>
      <c r="F237" t="s">
        <v>96</v>
      </c>
      <c r="G237">
        <v>1</v>
      </c>
      <c r="H237">
        <v>2E+20</v>
      </c>
      <c r="I237">
        <v>1</v>
      </c>
      <c r="J237">
        <v>1</v>
      </c>
      <c r="K237">
        <v>1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10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1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1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1</v>
      </c>
      <c r="U237" s="5">
        <f>IF((ContinuousStatsTable[[#This Row],[RepsRequested]]&gt;1),ContinuousStatsTable[[#This Row],[HalfWidth]],ContinuousStatsTable[[#This Row],[BatchMeansHalfWidth]])</f>
        <v>0</v>
      </c>
    </row>
    <row r="238" spans="1:21" x14ac:dyDescent="0.25">
      <c r="A238" t="s">
        <v>67</v>
      </c>
      <c r="B238" t="s">
        <v>69</v>
      </c>
      <c r="C238">
        <v>5</v>
      </c>
      <c r="D238" t="s">
        <v>110</v>
      </c>
      <c r="E238" t="s">
        <v>95</v>
      </c>
      <c r="F238" t="s">
        <v>96</v>
      </c>
      <c r="G238">
        <v>0.85209028396297504</v>
      </c>
      <c r="H238">
        <v>1.9937483701303799E-2</v>
      </c>
      <c r="I238">
        <v>0</v>
      </c>
      <c r="J238">
        <v>1</v>
      </c>
      <c r="K238">
        <v>1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10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0.84465777371794004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0.87000527345659695</v>
      </c>
      <c r="U238" s="5">
        <f>IF((ContinuousStatsTable[[#This Row],[RepsRequested]]&gt;1),ContinuousStatsTable[[#This Row],[HalfWidth]],ContinuousStatsTable[[#This Row],[BatchMeansHalfWidth]])</f>
        <v>5.8838019158664288E-3</v>
      </c>
    </row>
    <row r="239" spans="1:21" x14ac:dyDescent="0.25">
      <c r="A239" t="s">
        <v>67</v>
      </c>
      <c r="B239" t="s">
        <v>69</v>
      </c>
      <c r="C239">
        <v>5</v>
      </c>
      <c r="D239" t="s">
        <v>110</v>
      </c>
      <c r="E239" t="s">
        <v>97</v>
      </c>
      <c r="F239" t="s">
        <v>96</v>
      </c>
      <c r="G239">
        <v>0.85209028396297504</v>
      </c>
      <c r="H239">
        <v>1.9937483701303799E-2</v>
      </c>
      <c r="I239">
        <v>0</v>
      </c>
      <c r="J239">
        <v>1</v>
      </c>
      <c r="K239">
        <v>1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10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0.84465777371794004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0.87000527345659695</v>
      </c>
      <c r="U239" s="5">
        <f>IF((ContinuousStatsTable[[#This Row],[RepsRequested]]&gt;1),ContinuousStatsTable[[#This Row],[HalfWidth]],ContinuousStatsTable[[#This Row],[BatchMeansHalfWidth]])</f>
        <v>5.8838019158664288E-3</v>
      </c>
    </row>
    <row r="240" spans="1:21" x14ac:dyDescent="0.25">
      <c r="A240" t="s">
        <v>67</v>
      </c>
      <c r="B240" t="s">
        <v>69</v>
      </c>
      <c r="C240">
        <v>5</v>
      </c>
      <c r="D240" t="s">
        <v>110</v>
      </c>
      <c r="E240" t="s">
        <v>98</v>
      </c>
      <c r="F240" t="s">
        <v>96</v>
      </c>
      <c r="G240">
        <v>1</v>
      </c>
      <c r="H240">
        <v>2E+20</v>
      </c>
      <c r="I240">
        <v>1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10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1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1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67</v>
      </c>
      <c r="B241" t="s">
        <v>69</v>
      </c>
      <c r="C241">
        <v>5</v>
      </c>
      <c r="D241" t="s">
        <v>90</v>
      </c>
      <c r="E241" t="s">
        <v>93</v>
      </c>
      <c r="F241" t="s">
        <v>72</v>
      </c>
      <c r="G241">
        <v>3.7422761400348601</v>
      </c>
      <c r="H241">
        <v>1.11186022579213</v>
      </c>
      <c r="I241">
        <v>0</v>
      </c>
      <c r="J241">
        <v>36</v>
      </c>
      <c r="K241">
        <v>2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10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2.3924416646278499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3.7422761400348601</v>
      </c>
      <c r="U241" s="5">
        <f>IF((ContinuousStatsTable[[#This Row],[RepsRequested]]&gt;1),ContinuousStatsTable[[#This Row],[HalfWidth]],ContinuousStatsTable[[#This Row],[BatchMeansHalfWidth]])</f>
        <v>0.29747169945211638</v>
      </c>
    </row>
    <row r="242" spans="1:21" x14ac:dyDescent="0.25">
      <c r="A242" t="s">
        <v>67</v>
      </c>
      <c r="B242" t="s">
        <v>69</v>
      </c>
      <c r="C242">
        <v>5</v>
      </c>
      <c r="D242" t="s">
        <v>91</v>
      </c>
      <c r="E242" t="s">
        <v>93</v>
      </c>
      <c r="F242" t="s">
        <v>72</v>
      </c>
      <c r="G242">
        <v>1.2409432816355801</v>
      </c>
      <c r="H242">
        <v>0.185544967043099</v>
      </c>
      <c r="I242">
        <v>0</v>
      </c>
      <c r="J242">
        <v>16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10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1.2409432816355801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1.7520834896992801</v>
      </c>
      <c r="U242" s="5">
        <f>IF((ContinuousStatsTable[[#This Row],[RepsRequested]]&gt;1),ContinuousStatsTable[[#This Row],[HalfWidth]],ContinuousStatsTable[[#This Row],[BatchMeansHalfWidth]])</f>
        <v>0.1220330504521152</v>
      </c>
    </row>
    <row r="243" spans="1:21" x14ac:dyDescent="0.25">
      <c r="A243" t="s">
        <v>67</v>
      </c>
      <c r="B243" t="s">
        <v>69</v>
      </c>
      <c r="C243">
        <v>5</v>
      </c>
      <c r="D243" t="s">
        <v>92</v>
      </c>
      <c r="E243" t="s">
        <v>93</v>
      </c>
      <c r="F243" t="s">
        <v>72</v>
      </c>
      <c r="G243">
        <v>2.7252617840635298</v>
      </c>
      <c r="H243">
        <v>0.52103241723078497</v>
      </c>
      <c r="I243">
        <v>0</v>
      </c>
      <c r="J243">
        <v>24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10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2.1762907983550299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2.7399798743587298</v>
      </c>
      <c r="U243" s="5">
        <f>IF((ContinuousStatsTable[[#This Row],[RepsRequested]]&gt;1),ContinuousStatsTable[[#This Row],[HalfWidth]],ContinuousStatsTable[[#This Row],[BatchMeansHalfWidth]])</f>
        <v>0.1357647963567922</v>
      </c>
    </row>
    <row r="244" spans="1:21" x14ac:dyDescent="0.25">
      <c r="A244" t="s">
        <v>67</v>
      </c>
      <c r="B244" t="s">
        <v>69</v>
      </c>
      <c r="C244">
        <v>5</v>
      </c>
      <c r="D244" t="s">
        <v>111</v>
      </c>
      <c r="E244" t="s">
        <v>97</v>
      </c>
      <c r="F244" t="s">
        <v>112</v>
      </c>
      <c r="G244">
        <v>0.80016586700794401</v>
      </c>
      <c r="H244">
        <v>1.0530592704667101E-2</v>
      </c>
      <c r="I244">
        <v>0</v>
      </c>
      <c r="J244">
        <v>2</v>
      </c>
      <c r="K244">
        <v>1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10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0.79714222975806304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0.81086270984605202</v>
      </c>
      <c r="U244" s="5">
        <f>IF((ContinuousStatsTable[[#This Row],[RepsRequested]]&gt;1),ContinuousStatsTable[[#This Row],[HalfWidth]],ContinuousStatsTable[[#This Row],[BatchMeansHalfWidth]])</f>
        <v>3.3416443147686586E-3</v>
      </c>
    </row>
    <row r="245" spans="1:21" x14ac:dyDescent="0.25">
      <c r="A245" t="s">
        <v>67</v>
      </c>
      <c r="B245" t="s">
        <v>69</v>
      </c>
      <c r="C245">
        <v>5</v>
      </c>
      <c r="D245" t="s">
        <v>111</v>
      </c>
      <c r="E245" t="s">
        <v>98</v>
      </c>
      <c r="F245" t="s">
        <v>112</v>
      </c>
      <c r="G245">
        <v>2</v>
      </c>
      <c r="H245">
        <v>2E+20</v>
      </c>
      <c r="I245">
        <v>2</v>
      </c>
      <c r="J245">
        <v>2</v>
      </c>
      <c r="K245">
        <v>2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10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2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2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25">
      <c r="A246" t="s">
        <v>67</v>
      </c>
      <c r="B246" t="s">
        <v>69</v>
      </c>
      <c r="C246">
        <v>5</v>
      </c>
      <c r="D246" t="s">
        <v>111</v>
      </c>
      <c r="E246" t="s">
        <v>113</v>
      </c>
      <c r="F246" t="s">
        <v>112</v>
      </c>
      <c r="G246">
        <v>0.400082933503972</v>
      </c>
      <c r="H246">
        <v>5.2652963523335599E-3</v>
      </c>
      <c r="I246">
        <v>0</v>
      </c>
      <c r="J246">
        <v>1</v>
      </c>
      <c r="K246">
        <v>0.5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10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0.39857111487903202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0.40543135492302601</v>
      </c>
      <c r="U246" s="5">
        <f>IF((ContinuousStatsTable[[#This Row],[RepsRequested]]&gt;1),ContinuousStatsTable[[#This Row],[HalfWidth]],ContinuousStatsTable[[#This Row],[BatchMeansHalfWidth]])</f>
        <v>1.6708221573839188E-3</v>
      </c>
    </row>
    <row r="247" spans="1:21" x14ac:dyDescent="0.25">
      <c r="A247" t="s">
        <v>67</v>
      </c>
      <c r="B247" t="s">
        <v>69</v>
      </c>
      <c r="C247">
        <v>6</v>
      </c>
      <c r="D247" t="s">
        <v>70</v>
      </c>
      <c r="E247" t="s">
        <v>93</v>
      </c>
      <c r="F247" t="s">
        <v>72</v>
      </c>
      <c r="G247">
        <v>2.0302188449338301</v>
      </c>
      <c r="H247">
        <v>0.35409411529785401</v>
      </c>
      <c r="I247">
        <v>0</v>
      </c>
      <c r="J247">
        <v>23</v>
      </c>
      <c r="K247">
        <v>3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10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1.76226441002947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2.3188373788375798</v>
      </c>
      <c r="U247" s="5">
        <f>IF((ContinuousStatsTable[[#This Row],[RepsRequested]]&gt;1),ContinuousStatsTable[[#This Row],[HalfWidth]],ContinuousStatsTable[[#This Row],[BatchMeansHalfWidth]])</f>
        <v>0.12049041629004678</v>
      </c>
    </row>
    <row r="248" spans="1:21" x14ac:dyDescent="0.25">
      <c r="A248" t="s">
        <v>67</v>
      </c>
      <c r="B248" t="s">
        <v>69</v>
      </c>
      <c r="C248">
        <v>6</v>
      </c>
      <c r="D248" t="s">
        <v>94</v>
      </c>
      <c r="E248" t="s">
        <v>95</v>
      </c>
      <c r="F248" t="s">
        <v>96</v>
      </c>
      <c r="G248">
        <v>0.74965905136190403</v>
      </c>
      <c r="H248">
        <v>1.84319828648872E-2</v>
      </c>
      <c r="I248">
        <v>0</v>
      </c>
      <c r="J248">
        <v>1</v>
      </c>
      <c r="K248">
        <v>1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10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0.73578099184835299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0.76817992377286104</v>
      </c>
      <c r="U248" s="5">
        <f>IF((ContinuousStatsTable[[#This Row],[RepsRequested]]&gt;1),ContinuousStatsTable[[#This Row],[HalfWidth]],ContinuousStatsTable[[#This Row],[BatchMeansHalfWidth]])</f>
        <v>6.6348533752732253E-3</v>
      </c>
    </row>
    <row r="249" spans="1:21" x14ac:dyDescent="0.25">
      <c r="A249" t="s">
        <v>67</v>
      </c>
      <c r="B249" t="s">
        <v>69</v>
      </c>
      <c r="C249">
        <v>6</v>
      </c>
      <c r="D249" t="s">
        <v>94</v>
      </c>
      <c r="E249" t="s">
        <v>97</v>
      </c>
      <c r="F249" t="s">
        <v>96</v>
      </c>
      <c r="G249">
        <v>1.4993181027238101</v>
      </c>
      <c r="H249">
        <v>3.6863965729774503E-2</v>
      </c>
      <c r="I249">
        <v>0</v>
      </c>
      <c r="J249">
        <v>2</v>
      </c>
      <c r="K249">
        <v>2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10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1.47156198369671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1.5363598475457201</v>
      </c>
      <c r="U249" s="5">
        <f>IF((ContinuousStatsTable[[#This Row],[RepsRequested]]&gt;1),ContinuousStatsTable[[#This Row],[HalfWidth]],ContinuousStatsTable[[#This Row],[BatchMeansHalfWidth]])</f>
        <v>1.3269706750545264E-2</v>
      </c>
    </row>
    <row r="250" spans="1:21" x14ac:dyDescent="0.25">
      <c r="A250" t="s">
        <v>67</v>
      </c>
      <c r="B250" t="s">
        <v>69</v>
      </c>
      <c r="C250">
        <v>6</v>
      </c>
      <c r="D250" t="s">
        <v>94</v>
      </c>
      <c r="E250" t="s">
        <v>98</v>
      </c>
      <c r="F250" t="s">
        <v>96</v>
      </c>
      <c r="G250">
        <v>2</v>
      </c>
      <c r="H250">
        <v>2E+20</v>
      </c>
      <c r="I250">
        <v>2</v>
      </c>
      <c r="J250">
        <v>2</v>
      </c>
      <c r="K250">
        <v>2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10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2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2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2</v>
      </c>
      <c r="U250" s="5">
        <f>IF((ContinuousStatsTable[[#This Row],[RepsRequested]]&gt;1),ContinuousStatsTable[[#This Row],[HalfWidth]],ContinuousStatsTable[[#This Row],[BatchMeansHalfWidth]])</f>
        <v>0</v>
      </c>
    </row>
    <row r="251" spans="1:21" x14ac:dyDescent="0.25">
      <c r="A251" t="s">
        <v>67</v>
      </c>
      <c r="B251" t="s">
        <v>69</v>
      </c>
      <c r="C251">
        <v>6</v>
      </c>
      <c r="D251" t="s">
        <v>99</v>
      </c>
      <c r="E251" t="s">
        <v>95</v>
      </c>
      <c r="F251" t="s">
        <v>96</v>
      </c>
      <c r="G251">
        <v>0.74471063897842105</v>
      </c>
      <c r="H251">
        <v>3E+20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10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0.73777590022083495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0.76666045600624</v>
      </c>
      <c r="U251" s="5">
        <f>IF((ContinuousStatsTable[[#This Row],[RepsRequested]]&gt;1),ContinuousStatsTable[[#This Row],[HalfWidth]],ContinuousStatsTable[[#This Row],[BatchMeansHalfWidth]])</f>
        <v>6.5760437266769349E-3</v>
      </c>
    </row>
    <row r="252" spans="1:21" x14ac:dyDescent="0.25">
      <c r="A252" t="s">
        <v>67</v>
      </c>
      <c r="B252" t="s">
        <v>69</v>
      </c>
      <c r="C252">
        <v>6</v>
      </c>
      <c r="D252" t="s">
        <v>99</v>
      </c>
      <c r="E252" t="s">
        <v>97</v>
      </c>
      <c r="F252" t="s">
        <v>96</v>
      </c>
      <c r="G252">
        <v>0.74471063897842105</v>
      </c>
      <c r="H252">
        <v>3E+20</v>
      </c>
      <c r="I252">
        <v>0</v>
      </c>
      <c r="J252">
        <v>1</v>
      </c>
      <c r="K252">
        <v>1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10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0.73777590022083495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0.76666045600624</v>
      </c>
      <c r="U252" s="5">
        <f>IF((ContinuousStatsTable[[#This Row],[RepsRequested]]&gt;1),ContinuousStatsTable[[#This Row],[HalfWidth]],ContinuousStatsTable[[#This Row],[BatchMeansHalfWidth]])</f>
        <v>6.5760437266769349E-3</v>
      </c>
    </row>
    <row r="253" spans="1:21" x14ac:dyDescent="0.25">
      <c r="A253" t="s">
        <v>67</v>
      </c>
      <c r="B253" t="s">
        <v>69</v>
      </c>
      <c r="C253">
        <v>6</v>
      </c>
      <c r="D253" t="s">
        <v>99</v>
      </c>
      <c r="E253" t="s">
        <v>98</v>
      </c>
      <c r="F253" t="s">
        <v>96</v>
      </c>
      <c r="G253">
        <v>1</v>
      </c>
      <c r="H253">
        <v>2E+20</v>
      </c>
      <c r="I253">
        <v>1</v>
      </c>
      <c r="J253">
        <v>1</v>
      </c>
      <c r="K253">
        <v>1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10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1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1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1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67</v>
      </c>
      <c r="B254" t="s">
        <v>69</v>
      </c>
      <c r="C254">
        <v>6</v>
      </c>
      <c r="D254" t="s">
        <v>100</v>
      </c>
      <c r="E254" t="s">
        <v>95</v>
      </c>
      <c r="F254" t="s">
        <v>96</v>
      </c>
      <c r="G254">
        <v>0.75460746374537901</v>
      </c>
      <c r="H254">
        <v>1.75382488545964E-2</v>
      </c>
      <c r="I254">
        <v>0</v>
      </c>
      <c r="J254">
        <v>1</v>
      </c>
      <c r="K254">
        <v>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10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0.73378608347586405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0.76969939153947697</v>
      </c>
      <c r="U254" s="5">
        <f>IF((ContinuousStatsTable[[#This Row],[RepsRequested]]&gt;1),ContinuousStatsTable[[#This Row],[HalfWidth]],ContinuousStatsTable[[#This Row],[BatchMeansHalfWidth]])</f>
        <v>7.298068329198576E-3</v>
      </c>
    </row>
    <row r="255" spans="1:21" x14ac:dyDescent="0.25">
      <c r="A255" t="s">
        <v>67</v>
      </c>
      <c r="B255" t="s">
        <v>69</v>
      </c>
      <c r="C255">
        <v>6</v>
      </c>
      <c r="D255" t="s">
        <v>100</v>
      </c>
      <c r="E255" t="s">
        <v>97</v>
      </c>
      <c r="F255" t="s">
        <v>96</v>
      </c>
      <c r="G255">
        <v>0.75460746374537901</v>
      </c>
      <c r="H255">
        <v>1.75382488545964E-2</v>
      </c>
      <c r="I255">
        <v>0</v>
      </c>
      <c r="J255">
        <v>1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10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0.73378608347586405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0.76969939153947697</v>
      </c>
      <c r="U255" s="5">
        <f>IF((ContinuousStatsTable[[#This Row],[RepsRequested]]&gt;1),ContinuousStatsTable[[#This Row],[HalfWidth]],ContinuousStatsTable[[#This Row],[BatchMeansHalfWidth]])</f>
        <v>7.298068329198576E-3</v>
      </c>
    </row>
    <row r="256" spans="1:21" x14ac:dyDescent="0.25">
      <c r="A256" t="s">
        <v>67</v>
      </c>
      <c r="B256" t="s">
        <v>69</v>
      </c>
      <c r="C256">
        <v>6</v>
      </c>
      <c r="D256" t="s">
        <v>100</v>
      </c>
      <c r="E256" t="s">
        <v>98</v>
      </c>
      <c r="F256" t="s">
        <v>96</v>
      </c>
      <c r="G256">
        <v>1</v>
      </c>
      <c r="H256">
        <v>2E+20</v>
      </c>
      <c r="I256">
        <v>1</v>
      </c>
      <c r="J256">
        <v>1</v>
      </c>
      <c r="K256">
        <v>1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10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1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1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1</v>
      </c>
      <c r="U256" s="5">
        <f>IF((ContinuousStatsTable[[#This Row],[RepsRequested]]&gt;1),ContinuousStatsTable[[#This Row],[HalfWidth]],ContinuousStatsTable[[#This Row],[BatchMeansHalfWidth]])</f>
        <v>0</v>
      </c>
    </row>
    <row r="257" spans="1:21" x14ac:dyDescent="0.25">
      <c r="A257" t="s">
        <v>67</v>
      </c>
      <c r="B257" t="s">
        <v>69</v>
      </c>
      <c r="C257">
        <v>6</v>
      </c>
      <c r="D257" t="s">
        <v>73</v>
      </c>
      <c r="E257" t="s">
        <v>101</v>
      </c>
      <c r="F257" t="s">
        <v>75</v>
      </c>
      <c r="G257">
        <v>17.724097010585101</v>
      </c>
      <c r="H257">
        <v>1.2506451753316301</v>
      </c>
      <c r="I257">
        <v>0</v>
      </c>
      <c r="J257">
        <v>49</v>
      </c>
      <c r="K257">
        <v>8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10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16.327634071208799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18.8479471560706</v>
      </c>
      <c r="U257" s="5">
        <f>IF((ContinuousStatsTable[[#This Row],[RepsRequested]]&gt;1),ContinuousStatsTable[[#This Row],[HalfWidth]],ContinuousStatsTable[[#This Row],[BatchMeansHalfWidth]])</f>
        <v>0.51828581657665529</v>
      </c>
    </row>
    <row r="258" spans="1:21" x14ac:dyDescent="0.25">
      <c r="A258" t="s">
        <v>67</v>
      </c>
      <c r="B258" t="s">
        <v>69</v>
      </c>
      <c r="C258">
        <v>6</v>
      </c>
      <c r="D258" t="s">
        <v>84</v>
      </c>
      <c r="E258" t="s">
        <v>93</v>
      </c>
      <c r="F258" t="s">
        <v>72</v>
      </c>
      <c r="G258">
        <v>1.1133870124043099</v>
      </c>
      <c r="H258">
        <v>0.175601952906728</v>
      </c>
      <c r="I258">
        <v>0</v>
      </c>
      <c r="J258">
        <v>10</v>
      </c>
      <c r="K258">
        <v>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10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0.99579270827195998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1.40699442999762</v>
      </c>
      <c r="U258" s="5">
        <f>IF((ContinuousStatsTable[[#This Row],[RepsRequested]]&gt;1),ContinuousStatsTable[[#This Row],[HalfWidth]],ContinuousStatsTable[[#This Row],[BatchMeansHalfWidth]])</f>
        <v>9.4525954407496268E-2</v>
      </c>
    </row>
    <row r="259" spans="1:21" x14ac:dyDescent="0.25">
      <c r="A259" t="s">
        <v>67</v>
      </c>
      <c r="B259" t="s">
        <v>69</v>
      </c>
      <c r="C259">
        <v>6</v>
      </c>
      <c r="D259" t="s">
        <v>102</v>
      </c>
      <c r="E259" t="s">
        <v>95</v>
      </c>
      <c r="F259" t="s">
        <v>96</v>
      </c>
      <c r="G259">
        <v>0.87216602172258495</v>
      </c>
      <c r="H259">
        <v>1.3278616721809E-2</v>
      </c>
      <c r="I259">
        <v>0</v>
      </c>
      <c r="J259">
        <v>1</v>
      </c>
      <c r="K259">
        <v>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10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0.85300206766602205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0.87632698102425799</v>
      </c>
      <c r="U259" s="5">
        <f>IF((ContinuousStatsTable[[#This Row],[RepsRequested]]&gt;1),ContinuousStatsTable[[#This Row],[HalfWidth]],ContinuousStatsTable[[#This Row],[BatchMeansHalfWidth]])</f>
        <v>5.2410393061669046E-3</v>
      </c>
    </row>
    <row r="260" spans="1:21" x14ac:dyDescent="0.25">
      <c r="A260" t="s">
        <v>67</v>
      </c>
      <c r="B260" t="s">
        <v>69</v>
      </c>
      <c r="C260">
        <v>6</v>
      </c>
      <c r="D260" t="s">
        <v>102</v>
      </c>
      <c r="E260" t="s">
        <v>97</v>
      </c>
      <c r="F260" t="s">
        <v>96</v>
      </c>
      <c r="G260">
        <v>0.87216602172258495</v>
      </c>
      <c r="H260">
        <v>1.3278616721809E-2</v>
      </c>
      <c r="I260">
        <v>0</v>
      </c>
      <c r="J260">
        <v>1</v>
      </c>
      <c r="K260">
        <v>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10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0.85300206766602205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0.87632698102425799</v>
      </c>
      <c r="U260" s="5">
        <f>IF((ContinuousStatsTable[[#This Row],[RepsRequested]]&gt;1),ContinuousStatsTable[[#This Row],[HalfWidth]],ContinuousStatsTable[[#This Row],[BatchMeansHalfWidth]])</f>
        <v>5.2410393061669046E-3</v>
      </c>
    </row>
    <row r="261" spans="1:21" x14ac:dyDescent="0.25">
      <c r="A261" t="s">
        <v>67</v>
      </c>
      <c r="B261" t="s">
        <v>69</v>
      </c>
      <c r="C261">
        <v>6</v>
      </c>
      <c r="D261" t="s">
        <v>102</v>
      </c>
      <c r="E261" t="s">
        <v>98</v>
      </c>
      <c r="F261" t="s">
        <v>96</v>
      </c>
      <c r="G261">
        <v>1</v>
      </c>
      <c r="H261">
        <v>2E+20</v>
      </c>
      <c r="I261">
        <v>1</v>
      </c>
      <c r="J261">
        <v>1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10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67</v>
      </c>
      <c r="B262" t="s">
        <v>69</v>
      </c>
      <c r="C262">
        <v>6</v>
      </c>
      <c r="D262" t="s">
        <v>103</v>
      </c>
      <c r="E262" t="s">
        <v>95</v>
      </c>
      <c r="F262" t="s">
        <v>96</v>
      </c>
      <c r="G262">
        <v>0.87300868153341904</v>
      </c>
      <c r="H262">
        <v>1.39456847756796E-2</v>
      </c>
      <c r="I262">
        <v>0</v>
      </c>
      <c r="J262">
        <v>1</v>
      </c>
      <c r="K262">
        <v>1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10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0.85267322894137698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0.87300868153341904</v>
      </c>
      <c r="U262" s="5">
        <f>IF((ContinuousStatsTable[[#This Row],[RepsRequested]]&gt;1),ContinuousStatsTable[[#This Row],[HalfWidth]],ContinuousStatsTable[[#This Row],[BatchMeansHalfWidth]])</f>
        <v>5.1492506011230968E-3</v>
      </c>
    </row>
    <row r="263" spans="1:21" x14ac:dyDescent="0.25">
      <c r="A263" t="s">
        <v>67</v>
      </c>
      <c r="B263" t="s">
        <v>69</v>
      </c>
      <c r="C263">
        <v>6</v>
      </c>
      <c r="D263" t="s">
        <v>103</v>
      </c>
      <c r="E263" t="s">
        <v>97</v>
      </c>
      <c r="F263" t="s">
        <v>96</v>
      </c>
      <c r="G263">
        <v>0.87300868153341904</v>
      </c>
      <c r="H263">
        <v>1.39456847756796E-2</v>
      </c>
      <c r="I263">
        <v>0</v>
      </c>
      <c r="J263">
        <v>1</v>
      </c>
      <c r="K263">
        <v>1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10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0.85267322894137698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0.87300868153341904</v>
      </c>
      <c r="U263" s="5">
        <f>IF((ContinuousStatsTable[[#This Row],[RepsRequested]]&gt;1),ContinuousStatsTable[[#This Row],[HalfWidth]],ContinuousStatsTable[[#This Row],[BatchMeansHalfWidth]])</f>
        <v>5.1492506011230968E-3</v>
      </c>
    </row>
    <row r="264" spans="1:21" x14ac:dyDescent="0.25">
      <c r="A264" t="s">
        <v>67</v>
      </c>
      <c r="B264" t="s">
        <v>69</v>
      </c>
      <c r="C264">
        <v>6</v>
      </c>
      <c r="D264" t="s">
        <v>103</v>
      </c>
      <c r="E264" t="s">
        <v>98</v>
      </c>
      <c r="F264" t="s">
        <v>96</v>
      </c>
      <c r="G264">
        <v>1</v>
      </c>
      <c r="H264">
        <v>2E+20</v>
      </c>
      <c r="I264">
        <v>1</v>
      </c>
      <c r="J264">
        <v>1</v>
      </c>
      <c r="K264">
        <v>1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10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1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1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1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25">
      <c r="A265" t="s">
        <v>67</v>
      </c>
      <c r="B265" t="s">
        <v>69</v>
      </c>
      <c r="C265">
        <v>6</v>
      </c>
      <c r="D265" t="s">
        <v>104</v>
      </c>
      <c r="E265" t="s">
        <v>95</v>
      </c>
      <c r="F265" t="s">
        <v>96</v>
      </c>
      <c r="G265">
        <v>0.87317695175457599</v>
      </c>
      <c r="H265">
        <v>1.4000874976240699E-2</v>
      </c>
      <c r="I265">
        <v>0</v>
      </c>
      <c r="J265">
        <v>1</v>
      </c>
      <c r="K265">
        <v>1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10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0.85312589705184705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0.87436351179675398</v>
      </c>
      <c r="U265" s="5">
        <f>IF((ContinuousStatsTable[[#This Row],[RepsRequested]]&gt;1),ContinuousStatsTable[[#This Row],[HalfWidth]],ContinuousStatsTable[[#This Row],[BatchMeansHalfWidth]])</f>
        <v>5.093233831135466E-3</v>
      </c>
    </row>
    <row r="266" spans="1:21" x14ac:dyDescent="0.25">
      <c r="A266" t="s">
        <v>67</v>
      </c>
      <c r="B266" t="s">
        <v>69</v>
      </c>
      <c r="C266">
        <v>6</v>
      </c>
      <c r="D266" t="s">
        <v>104</v>
      </c>
      <c r="E266" t="s">
        <v>97</v>
      </c>
      <c r="F266" t="s">
        <v>96</v>
      </c>
      <c r="G266">
        <v>0.87317695175457599</v>
      </c>
      <c r="H266">
        <v>1.4000874976240699E-2</v>
      </c>
      <c r="I266">
        <v>0</v>
      </c>
      <c r="J266">
        <v>1</v>
      </c>
      <c r="K266">
        <v>1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10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0.85312589705184705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0.87436351179675398</v>
      </c>
      <c r="U266" s="5">
        <f>IF((ContinuousStatsTable[[#This Row],[RepsRequested]]&gt;1),ContinuousStatsTable[[#This Row],[HalfWidth]],ContinuousStatsTable[[#This Row],[BatchMeansHalfWidth]])</f>
        <v>5.093233831135466E-3</v>
      </c>
    </row>
    <row r="267" spans="1:21" x14ac:dyDescent="0.25">
      <c r="A267" t="s">
        <v>67</v>
      </c>
      <c r="B267" t="s">
        <v>69</v>
      </c>
      <c r="C267">
        <v>6</v>
      </c>
      <c r="D267" t="s">
        <v>104</v>
      </c>
      <c r="E267" t="s">
        <v>98</v>
      </c>
      <c r="F267" t="s">
        <v>96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10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67</v>
      </c>
      <c r="B268" t="s">
        <v>69</v>
      </c>
      <c r="C268">
        <v>6</v>
      </c>
      <c r="D268" t="s">
        <v>85</v>
      </c>
      <c r="E268" t="s">
        <v>93</v>
      </c>
      <c r="F268" t="s">
        <v>72</v>
      </c>
      <c r="G268">
        <v>5.0082678346720496E-3</v>
      </c>
      <c r="H268">
        <v>4.0798061097289202E-4</v>
      </c>
      <c r="I268">
        <v>0</v>
      </c>
      <c r="J268">
        <v>1</v>
      </c>
      <c r="K268">
        <v>0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10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4.46975375012869E-3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5.19139886192292E-3</v>
      </c>
      <c r="U268" s="5">
        <f>IF((ContinuousStatsTable[[#This Row],[RepsRequested]]&gt;1),ContinuousStatsTable[[#This Row],[HalfWidth]],ContinuousStatsTable[[#This Row],[BatchMeansHalfWidth]])</f>
        <v>1.5212674323174428E-4</v>
      </c>
    </row>
    <row r="269" spans="1:21" x14ac:dyDescent="0.25">
      <c r="A269" t="s">
        <v>67</v>
      </c>
      <c r="B269" t="s">
        <v>69</v>
      </c>
      <c r="C269">
        <v>6</v>
      </c>
      <c r="D269" t="s">
        <v>86</v>
      </c>
      <c r="E269" t="s">
        <v>93</v>
      </c>
      <c r="F269" t="s">
        <v>72</v>
      </c>
      <c r="G269">
        <v>7.1423108993317504E-3</v>
      </c>
      <c r="H269">
        <v>5.5712405092780905E-4</v>
      </c>
      <c r="I269">
        <v>0</v>
      </c>
      <c r="J269">
        <v>3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10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6.4644878524100302E-3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7.1613926309565699E-3</v>
      </c>
      <c r="U269" s="5">
        <f>IF((ContinuousStatsTable[[#This Row],[RepsRequested]]&gt;1),ContinuousStatsTable[[#This Row],[HalfWidth]],ContinuousStatsTable[[#This Row],[BatchMeansHalfWidth]])</f>
        <v>1.9039143298908446E-4</v>
      </c>
    </row>
    <row r="270" spans="1:21" x14ac:dyDescent="0.25">
      <c r="A270" t="s">
        <v>67</v>
      </c>
      <c r="B270" t="s">
        <v>69</v>
      </c>
      <c r="C270">
        <v>6</v>
      </c>
      <c r="D270" t="s">
        <v>87</v>
      </c>
      <c r="E270" t="s">
        <v>93</v>
      </c>
      <c r="F270" t="s">
        <v>72</v>
      </c>
      <c r="G270">
        <v>2.8411346165619199E-3</v>
      </c>
      <c r="H270">
        <v>2.81122122686374E-4</v>
      </c>
      <c r="I270">
        <v>0</v>
      </c>
      <c r="J270">
        <v>1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10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2.6429119389876198E-3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3.0552991746512601E-3</v>
      </c>
      <c r="U270" s="5">
        <f>IF((ContinuousStatsTable[[#This Row],[RepsRequested]]&gt;1),ContinuousStatsTable[[#This Row],[HalfWidth]],ContinuousStatsTable[[#This Row],[BatchMeansHalfWidth]])</f>
        <v>1.0063752504111057E-4</v>
      </c>
    </row>
    <row r="271" spans="1:21" x14ac:dyDescent="0.25">
      <c r="A271" t="s">
        <v>67</v>
      </c>
      <c r="B271" t="s">
        <v>69</v>
      </c>
      <c r="C271">
        <v>6</v>
      </c>
      <c r="D271" t="s">
        <v>88</v>
      </c>
      <c r="E271" t="s">
        <v>93</v>
      </c>
      <c r="F271" t="s">
        <v>72</v>
      </c>
      <c r="G271">
        <v>3.9854016295072202E-3</v>
      </c>
      <c r="H271">
        <v>3.2694230379645901E-4</v>
      </c>
      <c r="I271">
        <v>0</v>
      </c>
      <c r="J271">
        <v>1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10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3.7244128651004798E-3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4.35137641764906E-3</v>
      </c>
      <c r="U271" s="5">
        <f>IF((ContinuousStatsTable[[#This Row],[RepsRequested]]&gt;1),ContinuousStatsTable[[#This Row],[HalfWidth]],ContinuousStatsTable[[#This Row],[BatchMeansHalfWidth]])</f>
        <v>1.2471918446914371E-4</v>
      </c>
    </row>
    <row r="272" spans="1:21" x14ac:dyDescent="0.25">
      <c r="A272" t="s">
        <v>67</v>
      </c>
      <c r="B272" t="s">
        <v>69</v>
      </c>
      <c r="C272">
        <v>6</v>
      </c>
      <c r="D272" t="s">
        <v>105</v>
      </c>
      <c r="E272" t="s">
        <v>95</v>
      </c>
      <c r="F272" t="s">
        <v>96</v>
      </c>
      <c r="G272">
        <v>0.853824879418559</v>
      </c>
      <c r="H272">
        <v>1.6734544106213601E-2</v>
      </c>
      <c r="I272">
        <v>0</v>
      </c>
      <c r="J272">
        <v>1</v>
      </c>
      <c r="K272">
        <v>0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10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0.83618943731414597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0.86586763783419696</v>
      </c>
      <c r="U272" s="5">
        <f>IF((ContinuousStatsTable[[#This Row],[RepsRequested]]&gt;1),ContinuousStatsTable[[#This Row],[HalfWidth]],ContinuousStatsTable[[#This Row],[BatchMeansHalfWidth]])</f>
        <v>6.774830857795836E-3</v>
      </c>
    </row>
    <row r="273" spans="1:21" x14ac:dyDescent="0.25">
      <c r="A273" t="s">
        <v>67</v>
      </c>
      <c r="B273" t="s">
        <v>69</v>
      </c>
      <c r="C273">
        <v>6</v>
      </c>
      <c r="D273" t="s">
        <v>105</v>
      </c>
      <c r="E273" t="s">
        <v>97</v>
      </c>
      <c r="F273" t="s">
        <v>96</v>
      </c>
      <c r="G273">
        <v>0.853824879418559</v>
      </c>
      <c r="H273">
        <v>1.6734544106213601E-2</v>
      </c>
      <c r="I273">
        <v>0</v>
      </c>
      <c r="J273">
        <v>1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10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0.83618943731414597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0.86586763783419696</v>
      </c>
      <c r="U273" s="5">
        <f>IF((ContinuousStatsTable[[#This Row],[RepsRequested]]&gt;1),ContinuousStatsTable[[#This Row],[HalfWidth]],ContinuousStatsTable[[#This Row],[BatchMeansHalfWidth]])</f>
        <v>6.774830857795836E-3</v>
      </c>
    </row>
    <row r="274" spans="1:21" x14ac:dyDescent="0.25">
      <c r="A274" t="s">
        <v>67</v>
      </c>
      <c r="B274" t="s">
        <v>69</v>
      </c>
      <c r="C274">
        <v>6</v>
      </c>
      <c r="D274" t="s">
        <v>105</v>
      </c>
      <c r="E274" t="s">
        <v>98</v>
      </c>
      <c r="F274" t="s">
        <v>96</v>
      </c>
      <c r="G274">
        <v>1</v>
      </c>
      <c r="H274">
        <v>2E+20</v>
      </c>
      <c r="I274">
        <v>1</v>
      </c>
      <c r="J274">
        <v>1</v>
      </c>
      <c r="K274">
        <v>1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10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1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1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67</v>
      </c>
      <c r="B275" t="s">
        <v>69</v>
      </c>
      <c r="C275">
        <v>6</v>
      </c>
      <c r="D275" t="s">
        <v>106</v>
      </c>
      <c r="E275" t="s">
        <v>95</v>
      </c>
      <c r="F275" t="s">
        <v>96</v>
      </c>
      <c r="G275">
        <v>0.79252596119945096</v>
      </c>
      <c r="H275">
        <v>1.5487007292613099E-2</v>
      </c>
      <c r="I275">
        <v>0</v>
      </c>
      <c r="J275">
        <v>1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10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0.75864843854708297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0.79252596119945096</v>
      </c>
      <c r="U275" s="5">
        <f>IF((ContinuousStatsTable[[#This Row],[RepsRequested]]&gt;1),ContinuousStatsTable[[#This Row],[HalfWidth]],ContinuousStatsTable[[#This Row],[BatchMeansHalfWidth]])</f>
        <v>7.9650525926457348E-3</v>
      </c>
    </row>
    <row r="276" spans="1:21" x14ac:dyDescent="0.25">
      <c r="A276" t="s">
        <v>67</v>
      </c>
      <c r="B276" t="s">
        <v>69</v>
      </c>
      <c r="C276">
        <v>6</v>
      </c>
      <c r="D276" t="s">
        <v>106</v>
      </c>
      <c r="E276" t="s">
        <v>97</v>
      </c>
      <c r="F276" t="s">
        <v>96</v>
      </c>
      <c r="G276">
        <v>0.79252596119945096</v>
      </c>
      <c r="H276">
        <v>1.5487007292613099E-2</v>
      </c>
      <c r="I276">
        <v>0</v>
      </c>
      <c r="J276">
        <v>1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10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0.75864843854708297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0.79252596119945096</v>
      </c>
      <c r="U276" s="5">
        <f>IF((ContinuousStatsTable[[#This Row],[RepsRequested]]&gt;1),ContinuousStatsTable[[#This Row],[HalfWidth]],ContinuousStatsTable[[#This Row],[BatchMeansHalfWidth]])</f>
        <v>7.9650525926457348E-3</v>
      </c>
    </row>
    <row r="277" spans="1:21" x14ac:dyDescent="0.25">
      <c r="A277" t="s">
        <v>67</v>
      </c>
      <c r="B277" t="s">
        <v>69</v>
      </c>
      <c r="C277">
        <v>6</v>
      </c>
      <c r="D277" t="s">
        <v>106</v>
      </c>
      <c r="E277" t="s">
        <v>98</v>
      </c>
      <c r="F277" t="s">
        <v>96</v>
      </c>
      <c r="G277">
        <v>1</v>
      </c>
      <c r="H277">
        <v>2E+20</v>
      </c>
      <c r="I277">
        <v>1</v>
      </c>
      <c r="J277">
        <v>1</v>
      </c>
      <c r="K277">
        <v>1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10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1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1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1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25">
      <c r="A278" t="s">
        <v>67</v>
      </c>
      <c r="B278" t="s">
        <v>69</v>
      </c>
      <c r="C278">
        <v>6</v>
      </c>
      <c r="D278" t="s">
        <v>107</v>
      </c>
      <c r="E278" t="s">
        <v>95</v>
      </c>
      <c r="F278" t="s">
        <v>96</v>
      </c>
      <c r="G278">
        <v>0.86288297680484805</v>
      </c>
      <c r="H278">
        <v>1.3664729194752799E-2</v>
      </c>
      <c r="I278">
        <v>0</v>
      </c>
      <c r="J278">
        <v>1</v>
      </c>
      <c r="K278">
        <v>1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10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0.84465777371794004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0.87000527345659695</v>
      </c>
      <c r="U278" s="5">
        <f>IF((ContinuousStatsTable[[#This Row],[RepsRequested]]&gt;1),ContinuousStatsTable[[#This Row],[HalfWidth]],ContinuousStatsTable[[#This Row],[BatchMeansHalfWidth]])</f>
        <v>5.8838019158664288E-3</v>
      </c>
    </row>
    <row r="279" spans="1:21" x14ac:dyDescent="0.25">
      <c r="A279" t="s">
        <v>67</v>
      </c>
      <c r="B279" t="s">
        <v>69</v>
      </c>
      <c r="C279">
        <v>6</v>
      </c>
      <c r="D279" t="s">
        <v>107</v>
      </c>
      <c r="E279" t="s">
        <v>97</v>
      </c>
      <c r="F279" t="s">
        <v>96</v>
      </c>
      <c r="G279">
        <v>0.86288297680484805</v>
      </c>
      <c r="H279">
        <v>1.3664729194752799E-2</v>
      </c>
      <c r="I279">
        <v>0</v>
      </c>
      <c r="J279">
        <v>1</v>
      </c>
      <c r="K279">
        <v>1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10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0.84465777371794004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0.87000527345659695</v>
      </c>
      <c r="U279" s="5">
        <f>IF((ContinuousStatsTable[[#This Row],[RepsRequested]]&gt;1),ContinuousStatsTable[[#This Row],[HalfWidth]],ContinuousStatsTable[[#This Row],[BatchMeansHalfWidth]])</f>
        <v>5.8838019158664288E-3</v>
      </c>
    </row>
    <row r="280" spans="1:21" x14ac:dyDescent="0.25">
      <c r="A280" t="s">
        <v>67</v>
      </c>
      <c r="B280" t="s">
        <v>69</v>
      </c>
      <c r="C280">
        <v>6</v>
      </c>
      <c r="D280" t="s">
        <v>107</v>
      </c>
      <c r="E280" t="s">
        <v>98</v>
      </c>
      <c r="F280" t="s">
        <v>96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10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67</v>
      </c>
      <c r="B281" t="s">
        <v>69</v>
      </c>
      <c r="C281">
        <v>6</v>
      </c>
      <c r="D281" t="s">
        <v>108</v>
      </c>
      <c r="E281" t="s">
        <v>95</v>
      </c>
      <c r="F281" t="s">
        <v>96</v>
      </c>
      <c r="G281">
        <v>0.853824879418559</v>
      </c>
      <c r="H281">
        <v>1.6734544106213601E-2</v>
      </c>
      <c r="I281">
        <v>0</v>
      </c>
      <c r="J281">
        <v>1</v>
      </c>
      <c r="K281">
        <v>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10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0.83618943731414597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0.86586763783419696</v>
      </c>
      <c r="U281" s="5">
        <f>IF((ContinuousStatsTable[[#This Row],[RepsRequested]]&gt;1),ContinuousStatsTable[[#This Row],[HalfWidth]],ContinuousStatsTable[[#This Row],[BatchMeansHalfWidth]])</f>
        <v>6.774830857795836E-3</v>
      </c>
    </row>
    <row r="282" spans="1:21" x14ac:dyDescent="0.25">
      <c r="A282" t="s">
        <v>67</v>
      </c>
      <c r="B282" t="s">
        <v>69</v>
      </c>
      <c r="C282">
        <v>6</v>
      </c>
      <c r="D282" t="s">
        <v>108</v>
      </c>
      <c r="E282" t="s">
        <v>97</v>
      </c>
      <c r="F282" t="s">
        <v>96</v>
      </c>
      <c r="G282">
        <v>0.853824879418559</v>
      </c>
      <c r="H282">
        <v>1.6734544106213601E-2</v>
      </c>
      <c r="I282">
        <v>0</v>
      </c>
      <c r="J282">
        <v>1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10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0.83618943731414597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0.86586763783419696</v>
      </c>
      <c r="U282" s="5">
        <f>IF((ContinuousStatsTable[[#This Row],[RepsRequested]]&gt;1),ContinuousStatsTable[[#This Row],[HalfWidth]],ContinuousStatsTable[[#This Row],[BatchMeansHalfWidth]])</f>
        <v>6.774830857795836E-3</v>
      </c>
    </row>
    <row r="283" spans="1:21" x14ac:dyDescent="0.25">
      <c r="A283" t="s">
        <v>67</v>
      </c>
      <c r="B283" t="s">
        <v>69</v>
      </c>
      <c r="C283">
        <v>6</v>
      </c>
      <c r="D283" t="s">
        <v>108</v>
      </c>
      <c r="E283" t="s">
        <v>98</v>
      </c>
      <c r="F283" t="s">
        <v>96</v>
      </c>
      <c r="G283">
        <v>1</v>
      </c>
      <c r="H283">
        <v>2E+20</v>
      </c>
      <c r="I283">
        <v>1</v>
      </c>
      <c r="J283">
        <v>1</v>
      </c>
      <c r="K283">
        <v>1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10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1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1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1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67</v>
      </c>
      <c r="B284" t="s">
        <v>69</v>
      </c>
      <c r="C284">
        <v>6</v>
      </c>
      <c r="D284" t="s">
        <v>109</v>
      </c>
      <c r="E284" t="s">
        <v>95</v>
      </c>
      <c r="F284" t="s">
        <v>96</v>
      </c>
      <c r="G284">
        <v>0.79252596119945096</v>
      </c>
      <c r="H284">
        <v>1.5487007292613099E-2</v>
      </c>
      <c r="I284">
        <v>0</v>
      </c>
      <c r="J284">
        <v>1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10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0.75864843854708297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0.79252596119945096</v>
      </c>
      <c r="U284" s="5">
        <f>IF((ContinuousStatsTable[[#This Row],[RepsRequested]]&gt;1),ContinuousStatsTable[[#This Row],[HalfWidth]],ContinuousStatsTable[[#This Row],[BatchMeansHalfWidth]])</f>
        <v>7.9650525926457348E-3</v>
      </c>
    </row>
    <row r="285" spans="1:21" x14ac:dyDescent="0.25">
      <c r="A285" t="s">
        <v>67</v>
      </c>
      <c r="B285" t="s">
        <v>69</v>
      </c>
      <c r="C285">
        <v>6</v>
      </c>
      <c r="D285" t="s">
        <v>109</v>
      </c>
      <c r="E285" t="s">
        <v>97</v>
      </c>
      <c r="F285" t="s">
        <v>96</v>
      </c>
      <c r="G285">
        <v>0.79252596119945096</v>
      </c>
      <c r="H285">
        <v>1.5487007292613099E-2</v>
      </c>
      <c r="I285">
        <v>0</v>
      </c>
      <c r="J285">
        <v>1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10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0.75864843854708297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0.79252596119945096</v>
      </c>
      <c r="U285" s="5">
        <f>IF((ContinuousStatsTable[[#This Row],[RepsRequested]]&gt;1),ContinuousStatsTable[[#This Row],[HalfWidth]],ContinuousStatsTable[[#This Row],[BatchMeansHalfWidth]])</f>
        <v>7.9650525926457348E-3</v>
      </c>
    </row>
    <row r="286" spans="1:21" x14ac:dyDescent="0.25">
      <c r="A286" t="s">
        <v>67</v>
      </c>
      <c r="B286" t="s">
        <v>69</v>
      </c>
      <c r="C286">
        <v>6</v>
      </c>
      <c r="D286" t="s">
        <v>109</v>
      </c>
      <c r="E286" t="s">
        <v>98</v>
      </c>
      <c r="F286" t="s">
        <v>96</v>
      </c>
      <c r="G286">
        <v>1</v>
      </c>
      <c r="H286">
        <v>2E+20</v>
      </c>
      <c r="I286">
        <v>1</v>
      </c>
      <c r="J286">
        <v>1</v>
      </c>
      <c r="K286">
        <v>1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10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1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25">
      <c r="A287" t="s">
        <v>67</v>
      </c>
      <c r="B287" t="s">
        <v>69</v>
      </c>
      <c r="C287">
        <v>6</v>
      </c>
      <c r="D287" t="s">
        <v>110</v>
      </c>
      <c r="E287" t="s">
        <v>95</v>
      </c>
      <c r="F287" t="s">
        <v>96</v>
      </c>
      <c r="G287">
        <v>0.86288297680484805</v>
      </c>
      <c r="H287">
        <v>1.3664729194752799E-2</v>
      </c>
      <c r="I287">
        <v>0</v>
      </c>
      <c r="J287">
        <v>1</v>
      </c>
      <c r="K287">
        <v>1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10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0.84465777371794004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0.87000527345659695</v>
      </c>
      <c r="U287" s="5">
        <f>IF((ContinuousStatsTable[[#This Row],[RepsRequested]]&gt;1),ContinuousStatsTable[[#This Row],[HalfWidth]],ContinuousStatsTable[[#This Row],[BatchMeansHalfWidth]])</f>
        <v>5.8838019158664288E-3</v>
      </c>
    </row>
    <row r="288" spans="1:21" x14ac:dyDescent="0.25">
      <c r="A288" t="s">
        <v>67</v>
      </c>
      <c r="B288" t="s">
        <v>69</v>
      </c>
      <c r="C288">
        <v>6</v>
      </c>
      <c r="D288" t="s">
        <v>110</v>
      </c>
      <c r="E288" t="s">
        <v>97</v>
      </c>
      <c r="F288" t="s">
        <v>96</v>
      </c>
      <c r="G288">
        <v>0.86288297680484805</v>
      </c>
      <c r="H288">
        <v>1.3664729194752799E-2</v>
      </c>
      <c r="I288">
        <v>0</v>
      </c>
      <c r="J288">
        <v>1</v>
      </c>
      <c r="K288">
        <v>1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10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0.84465777371794004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0.87000527345659695</v>
      </c>
      <c r="U288" s="5">
        <f>IF((ContinuousStatsTable[[#This Row],[RepsRequested]]&gt;1),ContinuousStatsTable[[#This Row],[HalfWidth]],ContinuousStatsTable[[#This Row],[BatchMeansHalfWidth]])</f>
        <v>5.8838019158664288E-3</v>
      </c>
    </row>
    <row r="289" spans="1:21" x14ac:dyDescent="0.25">
      <c r="A289" t="s">
        <v>67</v>
      </c>
      <c r="B289" t="s">
        <v>69</v>
      </c>
      <c r="C289">
        <v>6</v>
      </c>
      <c r="D289" t="s">
        <v>110</v>
      </c>
      <c r="E289" t="s">
        <v>98</v>
      </c>
      <c r="F289" t="s">
        <v>96</v>
      </c>
      <c r="G289">
        <v>1</v>
      </c>
      <c r="H289">
        <v>2E+20</v>
      </c>
      <c r="I289">
        <v>1</v>
      </c>
      <c r="J289">
        <v>1</v>
      </c>
      <c r="K289">
        <v>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10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1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1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1</v>
      </c>
      <c r="U289" s="5">
        <f>IF((ContinuousStatsTable[[#This Row],[RepsRequested]]&gt;1),ContinuousStatsTable[[#This Row],[HalfWidth]],ContinuousStatsTable[[#This Row],[BatchMeansHalfWidth]])</f>
        <v>0</v>
      </c>
    </row>
    <row r="290" spans="1:21" x14ac:dyDescent="0.25">
      <c r="A290" t="s">
        <v>67</v>
      </c>
      <c r="B290" t="s">
        <v>69</v>
      </c>
      <c r="C290">
        <v>6</v>
      </c>
      <c r="D290" t="s">
        <v>90</v>
      </c>
      <c r="E290" t="s">
        <v>93</v>
      </c>
      <c r="F290" t="s">
        <v>72</v>
      </c>
      <c r="G290">
        <v>2.9140825312753398</v>
      </c>
      <c r="H290">
        <v>0.52202894789377596</v>
      </c>
      <c r="I290">
        <v>0</v>
      </c>
      <c r="J290">
        <v>21</v>
      </c>
      <c r="K290">
        <v>0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10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2.3924416646278499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3.7422761400348601</v>
      </c>
      <c r="U290" s="5">
        <f>IF((ContinuousStatsTable[[#This Row],[RepsRequested]]&gt;1),ContinuousStatsTable[[#This Row],[HalfWidth]],ContinuousStatsTable[[#This Row],[BatchMeansHalfWidth]])</f>
        <v>0.29747169945211638</v>
      </c>
    </row>
    <row r="291" spans="1:21" x14ac:dyDescent="0.25">
      <c r="A291" t="s">
        <v>67</v>
      </c>
      <c r="B291" t="s">
        <v>69</v>
      </c>
      <c r="C291">
        <v>6</v>
      </c>
      <c r="D291" t="s">
        <v>91</v>
      </c>
      <c r="E291" t="s">
        <v>93</v>
      </c>
      <c r="F291" t="s">
        <v>72</v>
      </c>
      <c r="G291">
        <v>1.7520834896992801</v>
      </c>
      <c r="H291">
        <v>0.30464032871933999</v>
      </c>
      <c r="I291">
        <v>0</v>
      </c>
      <c r="J291">
        <v>18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10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1.2409432816355801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1.7520834896992801</v>
      </c>
      <c r="U291" s="5">
        <f>IF((ContinuousStatsTable[[#This Row],[RepsRequested]]&gt;1),ContinuousStatsTable[[#This Row],[HalfWidth]],ContinuousStatsTable[[#This Row],[BatchMeansHalfWidth]])</f>
        <v>0.1220330504521152</v>
      </c>
    </row>
    <row r="292" spans="1:21" x14ac:dyDescent="0.25">
      <c r="A292" t="s">
        <v>67</v>
      </c>
      <c r="B292" t="s">
        <v>69</v>
      </c>
      <c r="C292">
        <v>6</v>
      </c>
      <c r="D292" t="s">
        <v>92</v>
      </c>
      <c r="E292" t="s">
        <v>93</v>
      </c>
      <c r="F292" t="s">
        <v>72</v>
      </c>
      <c r="G292">
        <v>2.4575817322889399</v>
      </c>
      <c r="H292">
        <v>3E+20</v>
      </c>
      <c r="I292">
        <v>0</v>
      </c>
      <c r="J292">
        <v>23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10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2.1762907983550299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2.7399798743587298</v>
      </c>
      <c r="U292" s="5">
        <f>IF((ContinuousStatsTable[[#This Row],[RepsRequested]]&gt;1),ContinuousStatsTable[[#This Row],[HalfWidth]],ContinuousStatsTable[[#This Row],[BatchMeansHalfWidth]])</f>
        <v>0.1357647963567922</v>
      </c>
    </row>
    <row r="293" spans="1:21" x14ac:dyDescent="0.25">
      <c r="A293" t="s">
        <v>67</v>
      </c>
      <c r="B293" t="s">
        <v>69</v>
      </c>
      <c r="C293">
        <v>6</v>
      </c>
      <c r="D293" t="s">
        <v>111</v>
      </c>
      <c r="E293" t="s">
        <v>97</v>
      </c>
      <c r="F293" t="s">
        <v>112</v>
      </c>
      <c r="G293">
        <v>0.81086270984605202</v>
      </c>
      <c r="H293">
        <v>7.95623341524101E-3</v>
      </c>
      <c r="I293">
        <v>0</v>
      </c>
      <c r="J293">
        <v>2</v>
      </c>
      <c r="K293">
        <v>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10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0.79714222975806304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0.81086270984605202</v>
      </c>
      <c r="U293" s="5">
        <f>IF((ContinuousStatsTable[[#This Row],[RepsRequested]]&gt;1),ContinuousStatsTable[[#This Row],[HalfWidth]],ContinuousStatsTable[[#This Row],[BatchMeansHalfWidth]])</f>
        <v>3.3416443147686586E-3</v>
      </c>
    </row>
    <row r="294" spans="1:21" x14ac:dyDescent="0.25">
      <c r="A294" t="s">
        <v>67</v>
      </c>
      <c r="B294" t="s">
        <v>69</v>
      </c>
      <c r="C294">
        <v>6</v>
      </c>
      <c r="D294" t="s">
        <v>111</v>
      </c>
      <c r="E294" t="s">
        <v>98</v>
      </c>
      <c r="F294" t="s">
        <v>112</v>
      </c>
      <c r="G294">
        <v>2</v>
      </c>
      <c r="H294">
        <v>2E+20</v>
      </c>
      <c r="I294">
        <v>2</v>
      </c>
      <c r="J294">
        <v>2</v>
      </c>
      <c r="K294">
        <v>2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10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2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2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2</v>
      </c>
      <c r="U294" s="5">
        <f>IF((ContinuousStatsTable[[#This Row],[RepsRequested]]&gt;1),ContinuousStatsTable[[#This Row],[HalfWidth]],ContinuousStatsTable[[#This Row],[BatchMeansHalfWidth]])</f>
        <v>0</v>
      </c>
    </row>
    <row r="295" spans="1:21" x14ac:dyDescent="0.25">
      <c r="A295" t="s">
        <v>67</v>
      </c>
      <c r="B295" t="s">
        <v>69</v>
      </c>
      <c r="C295">
        <v>6</v>
      </c>
      <c r="D295" t="s">
        <v>111</v>
      </c>
      <c r="E295" t="s">
        <v>113</v>
      </c>
      <c r="F295" t="s">
        <v>112</v>
      </c>
      <c r="G295">
        <v>0.40543135492302601</v>
      </c>
      <c r="H295">
        <v>3.9781167076205102E-3</v>
      </c>
      <c r="I295">
        <v>0</v>
      </c>
      <c r="J295">
        <v>1</v>
      </c>
      <c r="K295">
        <v>0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10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0.39857111487903202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0.40543135492302601</v>
      </c>
      <c r="U295" s="5">
        <f>IF((ContinuousStatsTable[[#This Row],[RepsRequested]]&gt;1),ContinuousStatsTable[[#This Row],[HalfWidth]],ContinuousStatsTable[[#This Row],[BatchMeansHalfWidth]])</f>
        <v>1.6708221573839188E-3</v>
      </c>
    </row>
    <row r="296" spans="1:21" x14ac:dyDescent="0.25">
      <c r="A296" t="s">
        <v>67</v>
      </c>
      <c r="B296" t="s">
        <v>69</v>
      </c>
      <c r="C296">
        <v>7</v>
      </c>
      <c r="D296" t="s">
        <v>70</v>
      </c>
      <c r="E296" t="s">
        <v>93</v>
      </c>
      <c r="F296" t="s">
        <v>72</v>
      </c>
      <c r="G296">
        <v>1.76226441002947</v>
      </c>
      <c r="H296">
        <v>0.25842401861106001</v>
      </c>
      <c r="I296">
        <v>0</v>
      </c>
      <c r="J296">
        <v>25</v>
      </c>
      <c r="K296">
        <v>0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10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1.76226441002947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2.3188373788375798</v>
      </c>
      <c r="U296" s="5">
        <f>IF((ContinuousStatsTable[[#This Row],[RepsRequested]]&gt;1),ContinuousStatsTable[[#This Row],[HalfWidth]],ContinuousStatsTable[[#This Row],[BatchMeansHalfWidth]])</f>
        <v>0.12049041629004678</v>
      </c>
    </row>
    <row r="297" spans="1:21" x14ac:dyDescent="0.25">
      <c r="A297" t="s">
        <v>67</v>
      </c>
      <c r="B297" t="s">
        <v>69</v>
      </c>
      <c r="C297">
        <v>7</v>
      </c>
      <c r="D297" t="s">
        <v>94</v>
      </c>
      <c r="E297" t="s">
        <v>95</v>
      </c>
      <c r="F297" t="s">
        <v>96</v>
      </c>
      <c r="G297">
        <v>0.75246506567812199</v>
      </c>
      <c r="H297">
        <v>1.7833426703843299E-2</v>
      </c>
      <c r="I297">
        <v>0</v>
      </c>
      <c r="J297">
        <v>1</v>
      </c>
      <c r="K297">
        <v>0.5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10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0.73578099184835299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0.76817992377286104</v>
      </c>
      <c r="U297" s="5">
        <f>IF((ContinuousStatsTable[[#This Row],[RepsRequested]]&gt;1),ContinuousStatsTable[[#This Row],[HalfWidth]],ContinuousStatsTable[[#This Row],[BatchMeansHalfWidth]])</f>
        <v>6.6348533752732253E-3</v>
      </c>
    </row>
    <row r="298" spans="1:21" x14ac:dyDescent="0.25">
      <c r="A298" t="s">
        <v>67</v>
      </c>
      <c r="B298" t="s">
        <v>69</v>
      </c>
      <c r="C298">
        <v>7</v>
      </c>
      <c r="D298" t="s">
        <v>94</v>
      </c>
      <c r="E298" t="s">
        <v>97</v>
      </c>
      <c r="F298" t="s">
        <v>96</v>
      </c>
      <c r="G298">
        <v>1.50493013135624</v>
      </c>
      <c r="H298">
        <v>3.5666853407686501E-2</v>
      </c>
      <c r="I298">
        <v>0</v>
      </c>
      <c r="J298">
        <v>2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10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1.47156198369671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1.5363598475457201</v>
      </c>
      <c r="U298" s="5">
        <f>IF((ContinuousStatsTable[[#This Row],[RepsRequested]]&gt;1),ContinuousStatsTable[[#This Row],[HalfWidth]],ContinuousStatsTable[[#This Row],[BatchMeansHalfWidth]])</f>
        <v>1.3269706750545264E-2</v>
      </c>
    </row>
    <row r="299" spans="1:21" x14ac:dyDescent="0.25">
      <c r="A299" t="s">
        <v>67</v>
      </c>
      <c r="B299" t="s">
        <v>69</v>
      </c>
      <c r="C299">
        <v>7</v>
      </c>
      <c r="D299" t="s">
        <v>94</v>
      </c>
      <c r="E299" t="s">
        <v>98</v>
      </c>
      <c r="F299" t="s">
        <v>96</v>
      </c>
      <c r="G299">
        <v>2</v>
      </c>
      <c r="H299">
        <v>2E+20</v>
      </c>
      <c r="I299">
        <v>2</v>
      </c>
      <c r="J299">
        <v>2</v>
      </c>
      <c r="K299">
        <v>2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10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2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2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2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25">
      <c r="A300" t="s">
        <v>67</v>
      </c>
      <c r="B300" t="s">
        <v>69</v>
      </c>
      <c r="C300">
        <v>7</v>
      </c>
      <c r="D300" t="s">
        <v>99</v>
      </c>
      <c r="E300" t="s">
        <v>95</v>
      </c>
      <c r="F300" t="s">
        <v>96</v>
      </c>
      <c r="G300">
        <v>0.75336591751958304</v>
      </c>
      <c r="H300">
        <v>1.9126928298868799E-2</v>
      </c>
      <c r="I300">
        <v>0</v>
      </c>
      <c r="J300">
        <v>1</v>
      </c>
      <c r="K300">
        <v>1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10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0.73777590022083495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0.76666045600624</v>
      </c>
      <c r="U300" s="5">
        <f>IF((ContinuousStatsTable[[#This Row],[RepsRequested]]&gt;1),ContinuousStatsTable[[#This Row],[HalfWidth]],ContinuousStatsTable[[#This Row],[BatchMeansHalfWidth]])</f>
        <v>6.5760437266769349E-3</v>
      </c>
    </row>
    <row r="301" spans="1:21" x14ac:dyDescent="0.25">
      <c r="A301" t="s">
        <v>67</v>
      </c>
      <c r="B301" t="s">
        <v>69</v>
      </c>
      <c r="C301">
        <v>7</v>
      </c>
      <c r="D301" t="s">
        <v>99</v>
      </c>
      <c r="E301" t="s">
        <v>97</v>
      </c>
      <c r="F301" t="s">
        <v>96</v>
      </c>
      <c r="G301">
        <v>0.75336591751958304</v>
      </c>
      <c r="H301">
        <v>1.9126928298868799E-2</v>
      </c>
      <c r="I301">
        <v>0</v>
      </c>
      <c r="J301">
        <v>1</v>
      </c>
      <c r="K301">
        <v>1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10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0.73777590022083495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0.76666045600624</v>
      </c>
      <c r="U301" s="5">
        <f>IF((ContinuousStatsTable[[#This Row],[RepsRequested]]&gt;1),ContinuousStatsTable[[#This Row],[HalfWidth]],ContinuousStatsTable[[#This Row],[BatchMeansHalfWidth]])</f>
        <v>6.5760437266769349E-3</v>
      </c>
    </row>
    <row r="302" spans="1:21" x14ac:dyDescent="0.25">
      <c r="A302" t="s">
        <v>67</v>
      </c>
      <c r="B302" t="s">
        <v>69</v>
      </c>
      <c r="C302">
        <v>7</v>
      </c>
      <c r="D302" t="s">
        <v>99</v>
      </c>
      <c r="E302" t="s">
        <v>98</v>
      </c>
      <c r="F302" t="s">
        <v>96</v>
      </c>
      <c r="G302">
        <v>1</v>
      </c>
      <c r="H302">
        <v>2E+20</v>
      </c>
      <c r="I302">
        <v>1</v>
      </c>
      <c r="J302">
        <v>1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10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1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1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1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25">
      <c r="A303" t="s">
        <v>67</v>
      </c>
      <c r="B303" t="s">
        <v>69</v>
      </c>
      <c r="C303">
        <v>7</v>
      </c>
      <c r="D303" t="s">
        <v>100</v>
      </c>
      <c r="E303" t="s">
        <v>95</v>
      </c>
      <c r="F303" t="s">
        <v>96</v>
      </c>
      <c r="G303">
        <v>0.75156421383665595</v>
      </c>
      <c r="H303">
        <v>1.7776390810133401E-2</v>
      </c>
      <c r="I303">
        <v>0</v>
      </c>
      <c r="J303">
        <v>1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10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0.73378608347586405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0.76969939153947697</v>
      </c>
      <c r="U303" s="5">
        <f>IF((ContinuousStatsTable[[#This Row],[RepsRequested]]&gt;1),ContinuousStatsTable[[#This Row],[HalfWidth]],ContinuousStatsTable[[#This Row],[BatchMeansHalfWidth]])</f>
        <v>7.298068329198576E-3</v>
      </c>
    </row>
    <row r="304" spans="1:21" x14ac:dyDescent="0.25">
      <c r="A304" t="s">
        <v>67</v>
      </c>
      <c r="B304" t="s">
        <v>69</v>
      </c>
      <c r="C304">
        <v>7</v>
      </c>
      <c r="D304" t="s">
        <v>100</v>
      </c>
      <c r="E304" t="s">
        <v>97</v>
      </c>
      <c r="F304" t="s">
        <v>96</v>
      </c>
      <c r="G304">
        <v>0.75156421383665595</v>
      </c>
      <c r="H304">
        <v>1.7776390810133401E-2</v>
      </c>
      <c r="I304">
        <v>0</v>
      </c>
      <c r="J304">
        <v>1</v>
      </c>
      <c r="K304">
        <v>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10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0.73378608347586405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0.76969939153947697</v>
      </c>
      <c r="U304" s="5">
        <f>IF((ContinuousStatsTable[[#This Row],[RepsRequested]]&gt;1),ContinuousStatsTable[[#This Row],[HalfWidth]],ContinuousStatsTable[[#This Row],[BatchMeansHalfWidth]])</f>
        <v>7.298068329198576E-3</v>
      </c>
    </row>
    <row r="305" spans="1:21" x14ac:dyDescent="0.25">
      <c r="A305" t="s">
        <v>67</v>
      </c>
      <c r="B305" t="s">
        <v>69</v>
      </c>
      <c r="C305">
        <v>7</v>
      </c>
      <c r="D305" t="s">
        <v>100</v>
      </c>
      <c r="E305" t="s">
        <v>98</v>
      </c>
      <c r="F305" t="s">
        <v>96</v>
      </c>
      <c r="G305">
        <v>1</v>
      </c>
      <c r="H305">
        <v>2E+20</v>
      </c>
      <c r="I305">
        <v>1</v>
      </c>
      <c r="J305">
        <v>1</v>
      </c>
      <c r="K305">
        <v>1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10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1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1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1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67</v>
      </c>
      <c r="B306" t="s">
        <v>69</v>
      </c>
      <c r="C306">
        <v>7</v>
      </c>
      <c r="D306" t="s">
        <v>73</v>
      </c>
      <c r="E306" t="s">
        <v>101</v>
      </c>
      <c r="F306" t="s">
        <v>75</v>
      </c>
      <c r="G306">
        <v>17.801626103683301</v>
      </c>
      <c r="H306">
        <v>1.4085576845690699</v>
      </c>
      <c r="I306">
        <v>0</v>
      </c>
      <c r="J306">
        <v>46</v>
      </c>
      <c r="K306">
        <v>15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10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16.327634071208799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18.8479471560706</v>
      </c>
      <c r="U306" s="5">
        <f>IF((ContinuousStatsTable[[#This Row],[RepsRequested]]&gt;1),ContinuousStatsTable[[#This Row],[HalfWidth]],ContinuousStatsTable[[#This Row],[BatchMeansHalfWidth]])</f>
        <v>0.51828581657665529</v>
      </c>
    </row>
    <row r="307" spans="1:21" x14ac:dyDescent="0.25">
      <c r="A307" t="s">
        <v>67</v>
      </c>
      <c r="B307" t="s">
        <v>69</v>
      </c>
      <c r="C307">
        <v>7</v>
      </c>
      <c r="D307" t="s">
        <v>84</v>
      </c>
      <c r="E307" t="s">
        <v>93</v>
      </c>
      <c r="F307" t="s">
        <v>72</v>
      </c>
      <c r="G307">
        <v>1.2618254819572901</v>
      </c>
      <c r="H307">
        <v>0.27952836258035602</v>
      </c>
      <c r="I307">
        <v>0</v>
      </c>
      <c r="J307">
        <v>14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10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0.99579270827195998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1.40699442999762</v>
      </c>
      <c r="U307" s="5">
        <f>IF((ContinuousStatsTable[[#This Row],[RepsRequested]]&gt;1),ContinuousStatsTable[[#This Row],[HalfWidth]],ContinuousStatsTable[[#This Row],[BatchMeansHalfWidth]])</f>
        <v>9.4525954407496268E-2</v>
      </c>
    </row>
    <row r="308" spans="1:21" x14ac:dyDescent="0.25">
      <c r="A308" t="s">
        <v>67</v>
      </c>
      <c r="B308" t="s">
        <v>69</v>
      </c>
      <c r="C308">
        <v>7</v>
      </c>
      <c r="D308" t="s">
        <v>102</v>
      </c>
      <c r="E308" t="s">
        <v>95</v>
      </c>
      <c r="F308" t="s">
        <v>96</v>
      </c>
      <c r="G308">
        <v>0.86520324271807203</v>
      </c>
      <c r="H308">
        <v>1.47223776590014E-2</v>
      </c>
      <c r="I308">
        <v>0</v>
      </c>
      <c r="J308">
        <v>1</v>
      </c>
      <c r="K308">
        <v>1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10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0.85300206766602205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0.87632698102425799</v>
      </c>
      <c r="U308" s="5">
        <f>IF((ContinuousStatsTable[[#This Row],[RepsRequested]]&gt;1),ContinuousStatsTable[[#This Row],[HalfWidth]],ContinuousStatsTable[[#This Row],[BatchMeansHalfWidth]])</f>
        <v>5.2410393061669046E-3</v>
      </c>
    </row>
    <row r="309" spans="1:21" x14ac:dyDescent="0.25">
      <c r="A309" t="s">
        <v>67</v>
      </c>
      <c r="B309" t="s">
        <v>69</v>
      </c>
      <c r="C309">
        <v>7</v>
      </c>
      <c r="D309" t="s">
        <v>102</v>
      </c>
      <c r="E309" t="s">
        <v>97</v>
      </c>
      <c r="F309" t="s">
        <v>96</v>
      </c>
      <c r="G309">
        <v>0.86520324271807203</v>
      </c>
      <c r="H309">
        <v>1.47223776590014E-2</v>
      </c>
      <c r="I309">
        <v>0</v>
      </c>
      <c r="J309">
        <v>1</v>
      </c>
      <c r="K309">
        <v>1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10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0.85300206766602205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0.87632698102425799</v>
      </c>
      <c r="U309" s="5">
        <f>IF((ContinuousStatsTable[[#This Row],[RepsRequested]]&gt;1),ContinuousStatsTable[[#This Row],[HalfWidth]],ContinuousStatsTable[[#This Row],[BatchMeansHalfWidth]])</f>
        <v>5.2410393061669046E-3</v>
      </c>
    </row>
    <row r="310" spans="1:21" x14ac:dyDescent="0.25">
      <c r="A310" t="s">
        <v>67</v>
      </c>
      <c r="B310" t="s">
        <v>69</v>
      </c>
      <c r="C310">
        <v>7</v>
      </c>
      <c r="D310" t="s">
        <v>102</v>
      </c>
      <c r="E310" t="s">
        <v>98</v>
      </c>
      <c r="F310" t="s">
        <v>96</v>
      </c>
      <c r="G310">
        <v>1</v>
      </c>
      <c r="H310">
        <v>2E+20</v>
      </c>
      <c r="I310">
        <v>1</v>
      </c>
      <c r="J310">
        <v>1</v>
      </c>
      <c r="K310">
        <v>1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10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1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1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1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25">
      <c r="A311" t="s">
        <v>67</v>
      </c>
      <c r="B311" t="s">
        <v>69</v>
      </c>
      <c r="C311">
        <v>7</v>
      </c>
      <c r="D311" t="s">
        <v>103</v>
      </c>
      <c r="E311" t="s">
        <v>95</v>
      </c>
      <c r="F311" t="s">
        <v>96</v>
      </c>
      <c r="G311">
        <v>0.86433324884785501</v>
      </c>
      <c r="H311">
        <v>1.4354359662328601E-2</v>
      </c>
      <c r="I311">
        <v>0</v>
      </c>
      <c r="J311">
        <v>1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10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0.85267322894137698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0.87300868153341904</v>
      </c>
      <c r="U311" s="5">
        <f>IF((ContinuousStatsTable[[#This Row],[RepsRequested]]&gt;1),ContinuousStatsTable[[#This Row],[HalfWidth]],ContinuousStatsTable[[#This Row],[BatchMeansHalfWidth]])</f>
        <v>5.1492506011230968E-3</v>
      </c>
    </row>
    <row r="312" spans="1:21" x14ac:dyDescent="0.25">
      <c r="A312" t="s">
        <v>67</v>
      </c>
      <c r="B312" t="s">
        <v>69</v>
      </c>
      <c r="C312">
        <v>7</v>
      </c>
      <c r="D312" t="s">
        <v>103</v>
      </c>
      <c r="E312" t="s">
        <v>97</v>
      </c>
      <c r="F312" t="s">
        <v>96</v>
      </c>
      <c r="G312">
        <v>0.86433324884785501</v>
      </c>
      <c r="H312">
        <v>1.4354359662328601E-2</v>
      </c>
      <c r="I312">
        <v>0</v>
      </c>
      <c r="J312">
        <v>1</v>
      </c>
      <c r="K312">
        <v>1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10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0.85267322894137698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0.87300868153341904</v>
      </c>
      <c r="U312" s="5">
        <f>IF((ContinuousStatsTable[[#This Row],[RepsRequested]]&gt;1),ContinuousStatsTable[[#This Row],[HalfWidth]],ContinuousStatsTable[[#This Row],[BatchMeansHalfWidth]])</f>
        <v>5.1492506011230968E-3</v>
      </c>
    </row>
    <row r="313" spans="1:21" x14ac:dyDescent="0.25">
      <c r="A313" t="s">
        <v>67</v>
      </c>
      <c r="B313" t="s">
        <v>69</v>
      </c>
      <c r="C313">
        <v>7</v>
      </c>
      <c r="D313" t="s">
        <v>103</v>
      </c>
      <c r="E313" t="s">
        <v>98</v>
      </c>
      <c r="F313" t="s">
        <v>96</v>
      </c>
      <c r="G313">
        <v>1</v>
      </c>
      <c r="H313">
        <v>2E+20</v>
      </c>
      <c r="I313">
        <v>1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10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1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1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1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67</v>
      </c>
      <c r="B314" t="s">
        <v>69</v>
      </c>
      <c r="C314">
        <v>7</v>
      </c>
      <c r="D314" t="s">
        <v>104</v>
      </c>
      <c r="E314" t="s">
        <v>95</v>
      </c>
      <c r="F314" t="s">
        <v>96</v>
      </c>
      <c r="G314">
        <v>0.86706983833653595</v>
      </c>
      <c r="H314">
        <v>1.55089622108407E-2</v>
      </c>
      <c r="I314">
        <v>0</v>
      </c>
      <c r="J314">
        <v>1</v>
      </c>
      <c r="K314">
        <v>1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10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0.85312589705184705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0.87436351179675398</v>
      </c>
      <c r="U314" s="5">
        <f>IF((ContinuousStatsTable[[#This Row],[RepsRequested]]&gt;1),ContinuousStatsTable[[#This Row],[HalfWidth]],ContinuousStatsTable[[#This Row],[BatchMeansHalfWidth]])</f>
        <v>5.093233831135466E-3</v>
      </c>
    </row>
    <row r="315" spans="1:21" x14ac:dyDescent="0.25">
      <c r="A315" t="s">
        <v>67</v>
      </c>
      <c r="B315" t="s">
        <v>69</v>
      </c>
      <c r="C315">
        <v>7</v>
      </c>
      <c r="D315" t="s">
        <v>104</v>
      </c>
      <c r="E315" t="s">
        <v>97</v>
      </c>
      <c r="F315" t="s">
        <v>96</v>
      </c>
      <c r="G315">
        <v>0.86706983833653595</v>
      </c>
      <c r="H315">
        <v>1.55089622108407E-2</v>
      </c>
      <c r="I315">
        <v>0</v>
      </c>
      <c r="J315">
        <v>1</v>
      </c>
      <c r="K315">
        <v>1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10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0.85312589705184705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0.87436351179675398</v>
      </c>
      <c r="U315" s="5">
        <f>IF((ContinuousStatsTable[[#This Row],[RepsRequested]]&gt;1),ContinuousStatsTable[[#This Row],[HalfWidth]],ContinuousStatsTable[[#This Row],[BatchMeansHalfWidth]])</f>
        <v>5.093233831135466E-3</v>
      </c>
    </row>
    <row r="316" spans="1:21" x14ac:dyDescent="0.25">
      <c r="A316" t="s">
        <v>67</v>
      </c>
      <c r="B316" t="s">
        <v>69</v>
      </c>
      <c r="C316">
        <v>7</v>
      </c>
      <c r="D316" t="s">
        <v>104</v>
      </c>
      <c r="E316" t="s">
        <v>98</v>
      </c>
      <c r="F316" t="s">
        <v>96</v>
      </c>
      <c r="G316">
        <v>1</v>
      </c>
      <c r="H316">
        <v>2E+20</v>
      </c>
      <c r="I316">
        <v>1</v>
      </c>
      <c r="J316">
        <v>1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10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1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1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1</v>
      </c>
      <c r="U316" s="5">
        <f>IF((ContinuousStatsTable[[#This Row],[RepsRequested]]&gt;1),ContinuousStatsTable[[#This Row],[HalfWidth]],ContinuousStatsTable[[#This Row],[BatchMeansHalfWidth]])</f>
        <v>0</v>
      </c>
    </row>
    <row r="317" spans="1:21" x14ac:dyDescent="0.25">
      <c r="A317" t="s">
        <v>67</v>
      </c>
      <c r="B317" t="s">
        <v>69</v>
      </c>
      <c r="C317">
        <v>7</v>
      </c>
      <c r="D317" t="s">
        <v>85</v>
      </c>
      <c r="E317" t="s">
        <v>93</v>
      </c>
      <c r="F317" t="s">
        <v>72</v>
      </c>
      <c r="G317">
        <v>4.7887049798952599E-3</v>
      </c>
      <c r="H317">
        <v>3.9999738039058998E-4</v>
      </c>
      <c r="I317">
        <v>0</v>
      </c>
      <c r="J317">
        <v>1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10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4.46975375012869E-3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5.19139886192292E-3</v>
      </c>
      <c r="U317" s="5">
        <f>IF((ContinuousStatsTable[[#This Row],[RepsRequested]]&gt;1),ContinuousStatsTable[[#This Row],[HalfWidth]],ContinuousStatsTable[[#This Row],[BatchMeansHalfWidth]])</f>
        <v>1.5212674323174428E-4</v>
      </c>
    </row>
    <row r="318" spans="1:21" x14ac:dyDescent="0.25">
      <c r="A318" t="s">
        <v>67</v>
      </c>
      <c r="B318" t="s">
        <v>69</v>
      </c>
      <c r="C318">
        <v>7</v>
      </c>
      <c r="D318" t="s">
        <v>86</v>
      </c>
      <c r="E318" t="s">
        <v>93</v>
      </c>
      <c r="F318" t="s">
        <v>72</v>
      </c>
      <c r="G318">
        <v>6.9785839366449899E-3</v>
      </c>
      <c r="H318">
        <v>5.2417727382921095E-4</v>
      </c>
      <c r="I318">
        <v>0</v>
      </c>
      <c r="J318">
        <v>3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10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6.4644878524100302E-3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7.1613926309565699E-3</v>
      </c>
      <c r="U318" s="5">
        <f>IF((ContinuousStatsTable[[#This Row],[RepsRequested]]&gt;1),ContinuousStatsTable[[#This Row],[HalfWidth]],ContinuousStatsTable[[#This Row],[BatchMeansHalfWidth]])</f>
        <v>1.9039143298908446E-4</v>
      </c>
    </row>
    <row r="319" spans="1:21" x14ac:dyDescent="0.25">
      <c r="A319" t="s">
        <v>67</v>
      </c>
      <c r="B319" t="s">
        <v>69</v>
      </c>
      <c r="C319">
        <v>7</v>
      </c>
      <c r="D319" t="s">
        <v>87</v>
      </c>
      <c r="E319" t="s">
        <v>93</v>
      </c>
      <c r="F319" t="s">
        <v>72</v>
      </c>
      <c r="G319">
        <v>2.7719193899682498E-3</v>
      </c>
      <c r="H319">
        <v>2.7359083974921601E-4</v>
      </c>
      <c r="I319">
        <v>0</v>
      </c>
      <c r="J319">
        <v>1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10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2.6429119389876198E-3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3.0552991746512601E-3</v>
      </c>
      <c r="U319" s="5">
        <f>IF((ContinuousStatsTable[[#This Row],[RepsRequested]]&gt;1),ContinuousStatsTable[[#This Row],[HalfWidth]],ContinuousStatsTable[[#This Row],[BatchMeansHalfWidth]])</f>
        <v>1.0063752504111057E-4</v>
      </c>
    </row>
    <row r="320" spans="1:21" x14ac:dyDescent="0.25">
      <c r="A320" t="s">
        <v>67</v>
      </c>
      <c r="B320" t="s">
        <v>69</v>
      </c>
      <c r="C320">
        <v>7</v>
      </c>
      <c r="D320" t="s">
        <v>88</v>
      </c>
      <c r="E320" t="s">
        <v>93</v>
      </c>
      <c r="F320" t="s">
        <v>72</v>
      </c>
      <c r="G320">
        <v>3.9294187598258399E-3</v>
      </c>
      <c r="H320">
        <v>3.7015774586851102E-4</v>
      </c>
      <c r="I320">
        <v>0</v>
      </c>
      <c r="J320">
        <v>1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10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3.7244128651004798E-3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4.35137641764906E-3</v>
      </c>
      <c r="U320" s="5">
        <f>IF((ContinuousStatsTable[[#This Row],[RepsRequested]]&gt;1),ContinuousStatsTable[[#This Row],[HalfWidth]],ContinuousStatsTable[[#This Row],[BatchMeansHalfWidth]])</f>
        <v>1.2471918446914371E-4</v>
      </c>
    </row>
    <row r="321" spans="1:21" x14ac:dyDescent="0.25">
      <c r="A321" t="s">
        <v>67</v>
      </c>
      <c r="B321" t="s">
        <v>69</v>
      </c>
      <c r="C321">
        <v>7</v>
      </c>
      <c r="D321" t="s">
        <v>105</v>
      </c>
      <c r="E321" t="s">
        <v>95</v>
      </c>
      <c r="F321" t="s">
        <v>96</v>
      </c>
      <c r="G321">
        <v>0.86051993601772503</v>
      </c>
      <c r="H321">
        <v>1.5736800938006602E-2</v>
      </c>
      <c r="I321">
        <v>0</v>
      </c>
      <c r="J321">
        <v>1</v>
      </c>
      <c r="K321">
        <v>1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10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0.83618943731414597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0.86586763783419696</v>
      </c>
      <c r="U321" s="5">
        <f>IF((ContinuousStatsTable[[#This Row],[RepsRequested]]&gt;1),ContinuousStatsTable[[#This Row],[HalfWidth]],ContinuousStatsTable[[#This Row],[BatchMeansHalfWidth]])</f>
        <v>6.774830857795836E-3</v>
      </c>
    </row>
    <row r="322" spans="1:21" x14ac:dyDescent="0.25">
      <c r="A322" t="s">
        <v>67</v>
      </c>
      <c r="B322" t="s">
        <v>69</v>
      </c>
      <c r="C322">
        <v>7</v>
      </c>
      <c r="D322" t="s">
        <v>105</v>
      </c>
      <c r="E322" t="s">
        <v>97</v>
      </c>
      <c r="F322" t="s">
        <v>96</v>
      </c>
      <c r="G322">
        <v>0.86051993601772503</v>
      </c>
      <c r="H322">
        <v>1.5736800938006602E-2</v>
      </c>
      <c r="I322">
        <v>0</v>
      </c>
      <c r="J322">
        <v>1</v>
      </c>
      <c r="K322">
        <v>1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10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0.83618943731414597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0.86586763783419696</v>
      </c>
      <c r="U322" s="5">
        <f>IF((ContinuousStatsTable[[#This Row],[RepsRequested]]&gt;1),ContinuousStatsTable[[#This Row],[HalfWidth]],ContinuousStatsTable[[#This Row],[BatchMeansHalfWidth]])</f>
        <v>6.774830857795836E-3</v>
      </c>
    </row>
    <row r="323" spans="1:21" x14ac:dyDescent="0.25">
      <c r="A323" t="s">
        <v>67</v>
      </c>
      <c r="B323" t="s">
        <v>69</v>
      </c>
      <c r="C323">
        <v>7</v>
      </c>
      <c r="D323" t="s">
        <v>105</v>
      </c>
      <c r="E323" t="s">
        <v>98</v>
      </c>
      <c r="F323" t="s">
        <v>96</v>
      </c>
      <c r="G323">
        <v>1</v>
      </c>
      <c r="H323">
        <v>2E+20</v>
      </c>
      <c r="I323">
        <v>1</v>
      </c>
      <c r="J323">
        <v>1</v>
      </c>
      <c r="K323">
        <v>1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10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1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1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1</v>
      </c>
      <c r="U323" s="5">
        <f>IF((ContinuousStatsTable[[#This Row],[RepsRequested]]&gt;1),ContinuousStatsTable[[#This Row],[HalfWidth]],ContinuousStatsTable[[#This Row],[BatchMeansHalfWidth]])</f>
        <v>0</v>
      </c>
    </row>
    <row r="324" spans="1:21" x14ac:dyDescent="0.25">
      <c r="A324" t="s">
        <v>67</v>
      </c>
      <c r="B324" t="s">
        <v>69</v>
      </c>
      <c r="C324">
        <v>7</v>
      </c>
      <c r="D324" t="s">
        <v>106</v>
      </c>
      <c r="E324" t="s">
        <v>95</v>
      </c>
      <c r="F324" t="s">
        <v>96</v>
      </c>
      <c r="G324">
        <v>0.77453073283245</v>
      </c>
      <c r="H324">
        <v>1.8941085041914201E-2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10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0.75864843854708297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0.79252596119945096</v>
      </c>
      <c r="U324" s="5">
        <f>IF((ContinuousStatsTable[[#This Row],[RepsRequested]]&gt;1),ContinuousStatsTable[[#This Row],[HalfWidth]],ContinuousStatsTable[[#This Row],[BatchMeansHalfWidth]])</f>
        <v>7.9650525926457348E-3</v>
      </c>
    </row>
    <row r="325" spans="1:21" x14ac:dyDescent="0.25">
      <c r="A325" t="s">
        <v>67</v>
      </c>
      <c r="B325" t="s">
        <v>69</v>
      </c>
      <c r="C325">
        <v>7</v>
      </c>
      <c r="D325" t="s">
        <v>106</v>
      </c>
      <c r="E325" t="s">
        <v>97</v>
      </c>
      <c r="F325" t="s">
        <v>96</v>
      </c>
      <c r="G325">
        <v>0.77453073283245</v>
      </c>
      <c r="H325">
        <v>1.8941085041914201E-2</v>
      </c>
      <c r="I325">
        <v>0</v>
      </c>
      <c r="J325">
        <v>1</v>
      </c>
      <c r="K325">
        <v>1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10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0.75864843854708297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0.79252596119945096</v>
      </c>
      <c r="U325" s="5">
        <f>IF((ContinuousStatsTable[[#This Row],[RepsRequested]]&gt;1),ContinuousStatsTable[[#This Row],[HalfWidth]],ContinuousStatsTable[[#This Row],[BatchMeansHalfWidth]])</f>
        <v>7.9650525926457348E-3</v>
      </c>
    </row>
    <row r="326" spans="1:21" x14ac:dyDescent="0.25">
      <c r="A326" t="s">
        <v>67</v>
      </c>
      <c r="B326" t="s">
        <v>69</v>
      </c>
      <c r="C326">
        <v>7</v>
      </c>
      <c r="D326" t="s">
        <v>106</v>
      </c>
      <c r="E326" t="s">
        <v>98</v>
      </c>
      <c r="F326" t="s">
        <v>96</v>
      </c>
      <c r="G326">
        <v>1</v>
      </c>
      <c r="H326">
        <v>2E+20</v>
      </c>
      <c r="I326">
        <v>1</v>
      </c>
      <c r="J326">
        <v>1</v>
      </c>
      <c r="K326">
        <v>1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10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67</v>
      </c>
      <c r="B327" t="s">
        <v>69</v>
      </c>
      <c r="C327">
        <v>7</v>
      </c>
      <c r="D327" t="s">
        <v>107</v>
      </c>
      <c r="E327" t="s">
        <v>95</v>
      </c>
      <c r="F327" t="s">
        <v>96</v>
      </c>
      <c r="G327">
        <v>0.86170103121833397</v>
      </c>
      <c r="H327">
        <v>1.6782563233221599E-2</v>
      </c>
      <c r="I327">
        <v>0</v>
      </c>
      <c r="J327">
        <v>1</v>
      </c>
      <c r="K327">
        <v>1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10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0.84465777371794004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0.87000527345659695</v>
      </c>
      <c r="U327" s="5">
        <f>IF((ContinuousStatsTable[[#This Row],[RepsRequested]]&gt;1),ContinuousStatsTable[[#This Row],[HalfWidth]],ContinuousStatsTable[[#This Row],[BatchMeansHalfWidth]])</f>
        <v>5.8838019158664288E-3</v>
      </c>
    </row>
    <row r="328" spans="1:21" x14ac:dyDescent="0.25">
      <c r="A328" t="s">
        <v>67</v>
      </c>
      <c r="B328" t="s">
        <v>69</v>
      </c>
      <c r="C328">
        <v>7</v>
      </c>
      <c r="D328" t="s">
        <v>107</v>
      </c>
      <c r="E328" t="s">
        <v>97</v>
      </c>
      <c r="F328" t="s">
        <v>96</v>
      </c>
      <c r="G328">
        <v>0.86170103121833397</v>
      </c>
      <c r="H328">
        <v>1.6782563233221599E-2</v>
      </c>
      <c r="I328">
        <v>0</v>
      </c>
      <c r="J328">
        <v>1</v>
      </c>
      <c r="K328">
        <v>1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10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0.84465777371794004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0.87000527345659695</v>
      </c>
      <c r="U328" s="5">
        <f>IF((ContinuousStatsTable[[#This Row],[RepsRequested]]&gt;1),ContinuousStatsTable[[#This Row],[HalfWidth]],ContinuousStatsTable[[#This Row],[BatchMeansHalfWidth]])</f>
        <v>5.8838019158664288E-3</v>
      </c>
    </row>
    <row r="329" spans="1:21" x14ac:dyDescent="0.25">
      <c r="A329" t="s">
        <v>67</v>
      </c>
      <c r="B329" t="s">
        <v>69</v>
      </c>
      <c r="C329">
        <v>7</v>
      </c>
      <c r="D329" t="s">
        <v>107</v>
      </c>
      <c r="E329" t="s">
        <v>98</v>
      </c>
      <c r="F329" t="s">
        <v>96</v>
      </c>
      <c r="G329">
        <v>1</v>
      </c>
      <c r="H329">
        <v>2E+20</v>
      </c>
      <c r="I329">
        <v>1</v>
      </c>
      <c r="J329">
        <v>1</v>
      </c>
      <c r="K329">
        <v>1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10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1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1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1</v>
      </c>
      <c r="U329" s="5">
        <f>IF((ContinuousStatsTable[[#This Row],[RepsRequested]]&gt;1),ContinuousStatsTable[[#This Row],[HalfWidth]],ContinuousStatsTable[[#This Row],[BatchMeansHalfWidth]])</f>
        <v>0</v>
      </c>
    </row>
    <row r="330" spans="1:21" x14ac:dyDescent="0.25">
      <c r="A330" t="s">
        <v>67</v>
      </c>
      <c r="B330" t="s">
        <v>69</v>
      </c>
      <c r="C330">
        <v>7</v>
      </c>
      <c r="D330" t="s">
        <v>108</v>
      </c>
      <c r="E330" t="s">
        <v>95</v>
      </c>
      <c r="F330" t="s">
        <v>96</v>
      </c>
      <c r="G330">
        <v>0.86051993601772503</v>
      </c>
      <c r="H330">
        <v>1.5736800938006602E-2</v>
      </c>
      <c r="I330">
        <v>0</v>
      </c>
      <c r="J330">
        <v>1</v>
      </c>
      <c r="K330">
        <v>1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10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0.83618943731414597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0.86586763783419696</v>
      </c>
      <c r="U330" s="5">
        <f>IF((ContinuousStatsTable[[#This Row],[RepsRequested]]&gt;1),ContinuousStatsTable[[#This Row],[HalfWidth]],ContinuousStatsTable[[#This Row],[BatchMeansHalfWidth]])</f>
        <v>6.774830857795836E-3</v>
      </c>
    </row>
    <row r="331" spans="1:21" x14ac:dyDescent="0.25">
      <c r="A331" t="s">
        <v>67</v>
      </c>
      <c r="B331" t="s">
        <v>69</v>
      </c>
      <c r="C331">
        <v>7</v>
      </c>
      <c r="D331" t="s">
        <v>108</v>
      </c>
      <c r="E331" t="s">
        <v>97</v>
      </c>
      <c r="F331" t="s">
        <v>96</v>
      </c>
      <c r="G331">
        <v>0.86051993601772503</v>
      </c>
      <c r="H331">
        <v>1.5736800938006602E-2</v>
      </c>
      <c r="I331">
        <v>0</v>
      </c>
      <c r="J331">
        <v>1</v>
      </c>
      <c r="K331">
        <v>1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10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0.83618943731414597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0.86586763783419696</v>
      </c>
      <c r="U331" s="5">
        <f>IF((ContinuousStatsTable[[#This Row],[RepsRequested]]&gt;1),ContinuousStatsTable[[#This Row],[HalfWidth]],ContinuousStatsTable[[#This Row],[BatchMeansHalfWidth]])</f>
        <v>6.774830857795836E-3</v>
      </c>
    </row>
    <row r="332" spans="1:21" x14ac:dyDescent="0.25">
      <c r="A332" t="s">
        <v>67</v>
      </c>
      <c r="B332" t="s">
        <v>69</v>
      </c>
      <c r="C332">
        <v>7</v>
      </c>
      <c r="D332" t="s">
        <v>108</v>
      </c>
      <c r="E332" t="s">
        <v>98</v>
      </c>
      <c r="F332" t="s">
        <v>96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10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67</v>
      </c>
      <c r="B333" t="s">
        <v>69</v>
      </c>
      <c r="C333">
        <v>7</v>
      </c>
      <c r="D333" t="s">
        <v>109</v>
      </c>
      <c r="E333" t="s">
        <v>95</v>
      </c>
      <c r="F333" t="s">
        <v>96</v>
      </c>
      <c r="G333">
        <v>0.77453073283245</v>
      </c>
      <c r="H333">
        <v>1.8941085041914201E-2</v>
      </c>
      <c r="I333">
        <v>0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10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0.75864843854708297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0.79252596119945096</v>
      </c>
      <c r="U333" s="5">
        <f>IF((ContinuousStatsTable[[#This Row],[RepsRequested]]&gt;1),ContinuousStatsTable[[#This Row],[HalfWidth]],ContinuousStatsTable[[#This Row],[BatchMeansHalfWidth]])</f>
        <v>7.9650525926457348E-3</v>
      </c>
    </row>
    <row r="334" spans="1:21" x14ac:dyDescent="0.25">
      <c r="A334" t="s">
        <v>67</v>
      </c>
      <c r="B334" t="s">
        <v>69</v>
      </c>
      <c r="C334">
        <v>7</v>
      </c>
      <c r="D334" t="s">
        <v>109</v>
      </c>
      <c r="E334" t="s">
        <v>97</v>
      </c>
      <c r="F334" t="s">
        <v>96</v>
      </c>
      <c r="G334">
        <v>0.77453073283245</v>
      </c>
      <c r="H334">
        <v>1.8941085041914201E-2</v>
      </c>
      <c r="I334">
        <v>0</v>
      </c>
      <c r="J334">
        <v>1</v>
      </c>
      <c r="K334">
        <v>1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10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0.75864843854708297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0.79252596119945096</v>
      </c>
      <c r="U334" s="5">
        <f>IF((ContinuousStatsTable[[#This Row],[RepsRequested]]&gt;1),ContinuousStatsTable[[#This Row],[HalfWidth]],ContinuousStatsTable[[#This Row],[BatchMeansHalfWidth]])</f>
        <v>7.9650525926457348E-3</v>
      </c>
    </row>
    <row r="335" spans="1:21" x14ac:dyDescent="0.25">
      <c r="A335" t="s">
        <v>67</v>
      </c>
      <c r="B335" t="s">
        <v>69</v>
      </c>
      <c r="C335">
        <v>7</v>
      </c>
      <c r="D335" t="s">
        <v>109</v>
      </c>
      <c r="E335" t="s">
        <v>98</v>
      </c>
      <c r="F335" t="s">
        <v>96</v>
      </c>
      <c r="G335">
        <v>1</v>
      </c>
      <c r="H335">
        <v>2E+20</v>
      </c>
      <c r="I335">
        <v>1</v>
      </c>
      <c r="J335">
        <v>1</v>
      </c>
      <c r="K335">
        <v>1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10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1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1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1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67</v>
      </c>
      <c r="B336" t="s">
        <v>69</v>
      </c>
      <c r="C336">
        <v>7</v>
      </c>
      <c r="D336" t="s">
        <v>110</v>
      </c>
      <c r="E336" t="s">
        <v>95</v>
      </c>
      <c r="F336" t="s">
        <v>96</v>
      </c>
      <c r="G336">
        <v>0.86170103121833397</v>
      </c>
      <c r="H336">
        <v>1.6782563233221599E-2</v>
      </c>
      <c r="I336">
        <v>0</v>
      </c>
      <c r="J336">
        <v>1</v>
      </c>
      <c r="K336">
        <v>1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10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0.84465777371794004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0.87000527345659695</v>
      </c>
      <c r="U336" s="5">
        <f>IF((ContinuousStatsTable[[#This Row],[RepsRequested]]&gt;1),ContinuousStatsTable[[#This Row],[HalfWidth]],ContinuousStatsTable[[#This Row],[BatchMeansHalfWidth]])</f>
        <v>5.8838019158664288E-3</v>
      </c>
    </row>
    <row r="337" spans="1:21" x14ac:dyDescent="0.25">
      <c r="A337" t="s">
        <v>67</v>
      </c>
      <c r="B337" t="s">
        <v>69</v>
      </c>
      <c r="C337">
        <v>7</v>
      </c>
      <c r="D337" t="s">
        <v>110</v>
      </c>
      <c r="E337" t="s">
        <v>97</v>
      </c>
      <c r="F337" t="s">
        <v>96</v>
      </c>
      <c r="G337">
        <v>0.86170103121833397</v>
      </c>
      <c r="H337">
        <v>1.6782563233221599E-2</v>
      </c>
      <c r="I337">
        <v>0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10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0.84465777371794004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0.87000527345659695</v>
      </c>
      <c r="U337" s="5">
        <f>IF((ContinuousStatsTable[[#This Row],[RepsRequested]]&gt;1),ContinuousStatsTable[[#This Row],[HalfWidth]],ContinuousStatsTable[[#This Row],[BatchMeansHalfWidth]])</f>
        <v>5.8838019158664288E-3</v>
      </c>
    </row>
    <row r="338" spans="1:21" x14ac:dyDescent="0.25">
      <c r="A338" t="s">
        <v>67</v>
      </c>
      <c r="B338" t="s">
        <v>69</v>
      </c>
      <c r="C338">
        <v>7</v>
      </c>
      <c r="D338" t="s">
        <v>110</v>
      </c>
      <c r="E338" t="s">
        <v>98</v>
      </c>
      <c r="F338" t="s">
        <v>96</v>
      </c>
      <c r="G338">
        <v>1</v>
      </c>
      <c r="H338">
        <v>2E+20</v>
      </c>
      <c r="I338">
        <v>1</v>
      </c>
      <c r="J338">
        <v>1</v>
      </c>
      <c r="K338">
        <v>1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10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</v>
      </c>
      <c r="U338" s="5">
        <f>IF((ContinuousStatsTable[[#This Row],[RepsRequested]]&gt;1),ContinuousStatsTable[[#This Row],[HalfWidth]],ContinuousStatsTable[[#This Row],[BatchMeansHalfWidth]])</f>
        <v>0</v>
      </c>
    </row>
    <row r="339" spans="1:21" x14ac:dyDescent="0.25">
      <c r="A339" t="s">
        <v>67</v>
      </c>
      <c r="B339" t="s">
        <v>69</v>
      </c>
      <c r="C339">
        <v>7</v>
      </c>
      <c r="D339" t="s">
        <v>90</v>
      </c>
      <c r="E339" t="s">
        <v>93</v>
      </c>
      <c r="F339" t="s">
        <v>72</v>
      </c>
      <c r="G339">
        <v>3.3176303269109599</v>
      </c>
      <c r="H339">
        <v>3E+20</v>
      </c>
      <c r="I339">
        <v>0</v>
      </c>
      <c r="J339">
        <v>25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10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2.3924416646278499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3.7422761400348601</v>
      </c>
      <c r="U339" s="5">
        <f>IF((ContinuousStatsTable[[#This Row],[RepsRequested]]&gt;1),ContinuousStatsTable[[#This Row],[HalfWidth]],ContinuousStatsTable[[#This Row],[BatchMeansHalfWidth]])</f>
        <v>0.29747169945211638</v>
      </c>
    </row>
    <row r="340" spans="1:21" x14ac:dyDescent="0.25">
      <c r="A340" t="s">
        <v>67</v>
      </c>
      <c r="B340" t="s">
        <v>69</v>
      </c>
      <c r="C340">
        <v>7</v>
      </c>
      <c r="D340" t="s">
        <v>91</v>
      </c>
      <c r="E340" t="s">
        <v>93</v>
      </c>
      <c r="F340" t="s">
        <v>72</v>
      </c>
      <c r="G340">
        <v>1.3829723650346</v>
      </c>
      <c r="H340">
        <v>0.18553500705890499</v>
      </c>
      <c r="I340">
        <v>0</v>
      </c>
      <c r="J340">
        <v>14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10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1.2409432816355801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1.7520834896992801</v>
      </c>
      <c r="U340" s="5">
        <f>IF((ContinuousStatsTable[[#This Row],[RepsRequested]]&gt;1),ContinuousStatsTable[[#This Row],[HalfWidth]],ContinuousStatsTable[[#This Row],[BatchMeansHalfWidth]])</f>
        <v>0.1220330504521152</v>
      </c>
    </row>
    <row r="341" spans="1:21" x14ac:dyDescent="0.25">
      <c r="A341" t="s">
        <v>67</v>
      </c>
      <c r="B341" t="s">
        <v>69</v>
      </c>
      <c r="C341">
        <v>7</v>
      </c>
      <c r="D341" t="s">
        <v>92</v>
      </c>
      <c r="E341" t="s">
        <v>93</v>
      </c>
      <c r="F341" t="s">
        <v>72</v>
      </c>
      <c r="G341">
        <v>2.65810416692144</v>
      </c>
      <c r="H341">
        <v>3E+20</v>
      </c>
      <c r="I341">
        <v>0</v>
      </c>
      <c r="J341">
        <v>30</v>
      </c>
      <c r="K341">
        <v>5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10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2.1762907983550299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2.7399798743587298</v>
      </c>
      <c r="U341" s="5">
        <f>IF((ContinuousStatsTable[[#This Row],[RepsRequested]]&gt;1),ContinuousStatsTable[[#This Row],[HalfWidth]],ContinuousStatsTable[[#This Row],[BatchMeansHalfWidth]])</f>
        <v>0.1357647963567922</v>
      </c>
    </row>
    <row r="342" spans="1:21" x14ac:dyDescent="0.25">
      <c r="A342" t="s">
        <v>67</v>
      </c>
      <c r="B342" t="s">
        <v>69</v>
      </c>
      <c r="C342">
        <v>7</v>
      </c>
      <c r="D342" t="s">
        <v>111</v>
      </c>
      <c r="E342" t="s">
        <v>97</v>
      </c>
      <c r="F342" t="s">
        <v>112</v>
      </c>
      <c r="G342">
        <v>0.80207256443604902</v>
      </c>
      <c r="H342">
        <v>3E+20</v>
      </c>
      <c r="I342">
        <v>0</v>
      </c>
      <c r="J342">
        <v>2</v>
      </c>
      <c r="K342">
        <v>2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10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0.79714222975806304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0.81086270984605202</v>
      </c>
      <c r="U342" s="5">
        <f>IF((ContinuousStatsTable[[#This Row],[RepsRequested]]&gt;1),ContinuousStatsTable[[#This Row],[HalfWidth]],ContinuousStatsTable[[#This Row],[BatchMeansHalfWidth]])</f>
        <v>3.3416443147686586E-3</v>
      </c>
    </row>
    <row r="343" spans="1:21" x14ac:dyDescent="0.25">
      <c r="A343" t="s">
        <v>67</v>
      </c>
      <c r="B343" t="s">
        <v>69</v>
      </c>
      <c r="C343">
        <v>7</v>
      </c>
      <c r="D343" t="s">
        <v>111</v>
      </c>
      <c r="E343" t="s">
        <v>98</v>
      </c>
      <c r="F343" t="s">
        <v>112</v>
      </c>
      <c r="G343">
        <v>2</v>
      </c>
      <c r="H343">
        <v>2E+20</v>
      </c>
      <c r="I343">
        <v>2</v>
      </c>
      <c r="J343">
        <v>2</v>
      </c>
      <c r="K343">
        <v>2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10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2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2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2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67</v>
      </c>
      <c r="B344" t="s">
        <v>69</v>
      </c>
      <c r="C344">
        <v>7</v>
      </c>
      <c r="D344" t="s">
        <v>111</v>
      </c>
      <c r="E344" t="s">
        <v>113</v>
      </c>
      <c r="F344" t="s">
        <v>112</v>
      </c>
      <c r="G344">
        <v>0.40103628221802601</v>
      </c>
      <c r="H344">
        <v>3E+20</v>
      </c>
      <c r="I344">
        <v>0</v>
      </c>
      <c r="J344">
        <v>1</v>
      </c>
      <c r="K344">
        <v>1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10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0.39857111487903202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0.40543135492302601</v>
      </c>
      <c r="U344" s="5">
        <f>IF((ContinuousStatsTable[[#This Row],[RepsRequested]]&gt;1),ContinuousStatsTable[[#This Row],[HalfWidth]],ContinuousStatsTable[[#This Row],[BatchMeansHalfWidth]])</f>
        <v>1.6708221573839188E-3</v>
      </c>
    </row>
    <row r="345" spans="1:21" x14ac:dyDescent="0.25">
      <c r="A345" t="s">
        <v>67</v>
      </c>
      <c r="B345" t="s">
        <v>69</v>
      </c>
      <c r="C345">
        <v>8</v>
      </c>
      <c r="D345" t="s">
        <v>70</v>
      </c>
      <c r="E345" t="s">
        <v>93</v>
      </c>
      <c r="F345" t="s">
        <v>72</v>
      </c>
      <c r="G345">
        <v>1.76713502104653</v>
      </c>
      <c r="H345">
        <v>0.26899956734431002</v>
      </c>
      <c r="I345">
        <v>0</v>
      </c>
      <c r="J345">
        <v>24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10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1.76226441002947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2.3188373788375798</v>
      </c>
      <c r="U345" s="5">
        <f>IF((ContinuousStatsTable[[#This Row],[RepsRequested]]&gt;1),ContinuousStatsTable[[#This Row],[HalfWidth]],ContinuousStatsTable[[#This Row],[BatchMeansHalfWidth]])</f>
        <v>0.12049041629004678</v>
      </c>
    </row>
    <row r="346" spans="1:21" x14ac:dyDescent="0.25">
      <c r="A346" t="s">
        <v>67</v>
      </c>
      <c r="B346" t="s">
        <v>69</v>
      </c>
      <c r="C346">
        <v>8</v>
      </c>
      <c r="D346" t="s">
        <v>94</v>
      </c>
      <c r="E346" t="s">
        <v>95</v>
      </c>
      <c r="F346" t="s">
        <v>96</v>
      </c>
      <c r="G346">
        <v>0.74217058052644902</v>
      </c>
      <c r="H346">
        <v>1.7066679948485899E-2</v>
      </c>
      <c r="I346">
        <v>0</v>
      </c>
      <c r="J346">
        <v>1</v>
      </c>
      <c r="K346">
        <v>0.5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10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0.73578099184835299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0.76817992377286104</v>
      </c>
      <c r="U346" s="5">
        <f>IF((ContinuousStatsTable[[#This Row],[RepsRequested]]&gt;1),ContinuousStatsTable[[#This Row],[HalfWidth]],ContinuousStatsTable[[#This Row],[BatchMeansHalfWidth]])</f>
        <v>6.6348533752732253E-3</v>
      </c>
    </row>
    <row r="347" spans="1:21" x14ac:dyDescent="0.25">
      <c r="A347" t="s">
        <v>67</v>
      </c>
      <c r="B347" t="s">
        <v>69</v>
      </c>
      <c r="C347">
        <v>8</v>
      </c>
      <c r="D347" t="s">
        <v>94</v>
      </c>
      <c r="E347" t="s">
        <v>97</v>
      </c>
      <c r="F347" t="s">
        <v>96</v>
      </c>
      <c r="G347">
        <v>1.4843411610529</v>
      </c>
      <c r="H347">
        <v>3.4133359896971797E-2</v>
      </c>
      <c r="I347">
        <v>0</v>
      </c>
      <c r="J347">
        <v>2</v>
      </c>
      <c r="K347">
        <v>1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10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1.47156198369671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1.5363598475457201</v>
      </c>
      <c r="U347" s="5">
        <f>IF((ContinuousStatsTable[[#This Row],[RepsRequested]]&gt;1),ContinuousStatsTable[[#This Row],[HalfWidth]],ContinuousStatsTable[[#This Row],[BatchMeansHalfWidth]])</f>
        <v>1.3269706750545264E-2</v>
      </c>
    </row>
    <row r="348" spans="1:21" x14ac:dyDescent="0.25">
      <c r="A348" t="s">
        <v>67</v>
      </c>
      <c r="B348" t="s">
        <v>69</v>
      </c>
      <c r="C348">
        <v>8</v>
      </c>
      <c r="D348" t="s">
        <v>94</v>
      </c>
      <c r="E348" t="s">
        <v>98</v>
      </c>
      <c r="F348" t="s">
        <v>96</v>
      </c>
      <c r="G348">
        <v>2</v>
      </c>
      <c r="H348">
        <v>2E+20</v>
      </c>
      <c r="I348">
        <v>2</v>
      </c>
      <c r="J348">
        <v>2</v>
      </c>
      <c r="K348">
        <v>2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10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2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2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2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67</v>
      </c>
      <c r="B349" t="s">
        <v>69</v>
      </c>
      <c r="C349">
        <v>8</v>
      </c>
      <c r="D349" t="s">
        <v>99</v>
      </c>
      <c r="E349" t="s">
        <v>95</v>
      </c>
      <c r="F349" t="s">
        <v>96</v>
      </c>
      <c r="G349">
        <v>0.73843175708582198</v>
      </c>
      <c r="H349">
        <v>1.75995293714547E-2</v>
      </c>
      <c r="I349">
        <v>0</v>
      </c>
      <c r="J349">
        <v>1</v>
      </c>
      <c r="K349">
        <v>1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10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0.73777590022083495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0.76666045600624</v>
      </c>
      <c r="U349" s="5">
        <f>IF((ContinuousStatsTable[[#This Row],[RepsRequested]]&gt;1),ContinuousStatsTable[[#This Row],[HalfWidth]],ContinuousStatsTable[[#This Row],[BatchMeansHalfWidth]])</f>
        <v>6.5760437266769349E-3</v>
      </c>
    </row>
    <row r="350" spans="1:21" x14ac:dyDescent="0.25">
      <c r="A350" t="s">
        <v>67</v>
      </c>
      <c r="B350" t="s">
        <v>69</v>
      </c>
      <c r="C350">
        <v>8</v>
      </c>
      <c r="D350" t="s">
        <v>99</v>
      </c>
      <c r="E350" t="s">
        <v>97</v>
      </c>
      <c r="F350" t="s">
        <v>96</v>
      </c>
      <c r="G350">
        <v>0.73843175708582198</v>
      </c>
      <c r="H350">
        <v>1.75995293714547E-2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10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0.73777590022083495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0.76666045600624</v>
      </c>
      <c r="U350" s="5">
        <f>IF((ContinuousStatsTable[[#This Row],[RepsRequested]]&gt;1),ContinuousStatsTable[[#This Row],[HalfWidth]],ContinuousStatsTable[[#This Row],[BatchMeansHalfWidth]])</f>
        <v>6.5760437266769349E-3</v>
      </c>
    </row>
    <row r="351" spans="1:21" x14ac:dyDescent="0.25">
      <c r="A351" t="s">
        <v>67</v>
      </c>
      <c r="B351" t="s">
        <v>69</v>
      </c>
      <c r="C351">
        <v>8</v>
      </c>
      <c r="D351" t="s">
        <v>99</v>
      </c>
      <c r="E351" t="s">
        <v>98</v>
      </c>
      <c r="F351" t="s">
        <v>96</v>
      </c>
      <c r="G351">
        <v>1</v>
      </c>
      <c r="H351">
        <v>2E+20</v>
      </c>
      <c r="I351">
        <v>1</v>
      </c>
      <c r="J351">
        <v>1</v>
      </c>
      <c r="K351">
        <v>1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10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1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1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1</v>
      </c>
      <c r="U351" s="5">
        <f>IF((ContinuousStatsTable[[#This Row],[RepsRequested]]&gt;1),ContinuousStatsTable[[#This Row],[HalfWidth]],ContinuousStatsTable[[#This Row],[BatchMeansHalfWidth]])</f>
        <v>0</v>
      </c>
    </row>
    <row r="352" spans="1:21" x14ac:dyDescent="0.25">
      <c r="A352" t="s">
        <v>67</v>
      </c>
      <c r="B352" t="s">
        <v>69</v>
      </c>
      <c r="C352">
        <v>8</v>
      </c>
      <c r="D352" t="s">
        <v>100</v>
      </c>
      <c r="E352" t="s">
        <v>95</v>
      </c>
      <c r="F352" t="s">
        <v>96</v>
      </c>
      <c r="G352">
        <v>0.74590940396706595</v>
      </c>
      <c r="H352">
        <v>1.7582311096990599E-2</v>
      </c>
      <c r="I352">
        <v>0</v>
      </c>
      <c r="J352">
        <v>1</v>
      </c>
      <c r="K352">
        <v>0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10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0.73378608347586405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0.76969939153947697</v>
      </c>
      <c r="U352" s="5">
        <f>IF((ContinuousStatsTable[[#This Row],[RepsRequested]]&gt;1),ContinuousStatsTable[[#This Row],[HalfWidth]],ContinuousStatsTable[[#This Row],[BatchMeansHalfWidth]])</f>
        <v>7.298068329198576E-3</v>
      </c>
    </row>
    <row r="353" spans="1:21" x14ac:dyDescent="0.25">
      <c r="A353" t="s">
        <v>67</v>
      </c>
      <c r="B353" t="s">
        <v>69</v>
      </c>
      <c r="C353">
        <v>8</v>
      </c>
      <c r="D353" t="s">
        <v>100</v>
      </c>
      <c r="E353" t="s">
        <v>97</v>
      </c>
      <c r="F353" t="s">
        <v>96</v>
      </c>
      <c r="G353">
        <v>0.74590940396706595</v>
      </c>
      <c r="H353">
        <v>1.7582311096990599E-2</v>
      </c>
      <c r="I353">
        <v>0</v>
      </c>
      <c r="J353">
        <v>1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10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0.73378608347586405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0.76969939153947697</v>
      </c>
      <c r="U353" s="5">
        <f>IF((ContinuousStatsTable[[#This Row],[RepsRequested]]&gt;1),ContinuousStatsTable[[#This Row],[HalfWidth]],ContinuousStatsTable[[#This Row],[BatchMeansHalfWidth]])</f>
        <v>7.298068329198576E-3</v>
      </c>
    </row>
    <row r="354" spans="1:21" x14ac:dyDescent="0.25">
      <c r="A354" t="s">
        <v>67</v>
      </c>
      <c r="B354" t="s">
        <v>69</v>
      </c>
      <c r="C354">
        <v>8</v>
      </c>
      <c r="D354" t="s">
        <v>100</v>
      </c>
      <c r="E354" t="s">
        <v>98</v>
      </c>
      <c r="F354" t="s">
        <v>96</v>
      </c>
      <c r="G354">
        <v>1</v>
      </c>
      <c r="H354">
        <v>2E+20</v>
      </c>
      <c r="I354">
        <v>1</v>
      </c>
      <c r="J354">
        <v>1</v>
      </c>
      <c r="K354">
        <v>1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10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1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1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1</v>
      </c>
      <c r="U354" s="5">
        <f>IF((ContinuousStatsTable[[#This Row],[RepsRequested]]&gt;1),ContinuousStatsTable[[#This Row],[HalfWidth]],ContinuousStatsTable[[#This Row],[BatchMeansHalfWidth]])</f>
        <v>0</v>
      </c>
    </row>
    <row r="355" spans="1:21" x14ac:dyDescent="0.25">
      <c r="A355" t="s">
        <v>67</v>
      </c>
      <c r="B355" t="s">
        <v>69</v>
      </c>
      <c r="C355">
        <v>8</v>
      </c>
      <c r="D355" t="s">
        <v>73</v>
      </c>
      <c r="E355" t="s">
        <v>101</v>
      </c>
      <c r="F355" t="s">
        <v>75</v>
      </c>
      <c r="G355">
        <v>16.327634071208799</v>
      </c>
      <c r="H355">
        <v>1.0602508002162201</v>
      </c>
      <c r="I355">
        <v>0</v>
      </c>
      <c r="J355">
        <v>39</v>
      </c>
      <c r="K355">
        <v>17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10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16.327634071208799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18.8479471560706</v>
      </c>
      <c r="U355" s="5">
        <f>IF((ContinuousStatsTable[[#This Row],[RepsRequested]]&gt;1),ContinuousStatsTable[[#This Row],[HalfWidth]],ContinuousStatsTable[[#This Row],[BatchMeansHalfWidth]])</f>
        <v>0.51828581657665529</v>
      </c>
    </row>
    <row r="356" spans="1:21" x14ac:dyDescent="0.25">
      <c r="A356" t="s">
        <v>67</v>
      </c>
      <c r="B356" t="s">
        <v>69</v>
      </c>
      <c r="C356">
        <v>8</v>
      </c>
      <c r="D356" t="s">
        <v>84</v>
      </c>
      <c r="E356" t="s">
        <v>93</v>
      </c>
      <c r="F356" t="s">
        <v>72</v>
      </c>
      <c r="G356">
        <v>0.99579270827195998</v>
      </c>
      <c r="H356">
        <v>0.155729850531206</v>
      </c>
      <c r="I356">
        <v>0</v>
      </c>
      <c r="J356">
        <v>11</v>
      </c>
      <c r="K356">
        <v>1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10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0.99579270827195998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1.40699442999762</v>
      </c>
      <c r="U356" s="5">
        <f>IF((ContinuousStatsTable[[#This Row],[RepsRequested]]&gt;1),ContinuousStatsTable[[#This Row],[HalfWidth]],ContinuousStatsTable[[#This Row],[BatchMeansHalfWidth]])</f>
        <v>9.4525954407496268E-2</v>
      </c>
    </row>
    <row r="357" spans="1:21" x14ac:dyDescent="0.25">
      <c r="A357" t="s">
        <v>67</v>
      </c>
      <c r="B357" t="s">
        <v>69</v>
      </c>
      <c r="C357">
        <v>8</v>
      </c>
      <c r="D357" t="s">
        <v>102</v>
      </c>
      <c r="E357" t="s">
        <v>95</v>
      </c>
      <c r="F357" t="s">
        <v>96</v>
      </c>
      <c r="G357">
        <v>0.85730277923538301</v>
      </c>
      <c r="H357">
        <v>1.45570749077641E-2</v>
      </c>
      <c r="I357">
        <v>0</v>
      </c>
      <c r="J357">
        <v>1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10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0.85300206766602205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0.87632698102425799</v>
      </c>
      <c r="U357" s="5">
        <f>IF((ContinuousStatsTable[[#This Row],[RepsRequested]]&gt;1),ContinuousStatsTable[[#This Row],[HalfWidth]],ContinuousStatsTable[[#This Row],[BatchMeansHalfWidth]])</f>
        <v>5.2410393061669046E-3</v>
      </c>
    </row>
    <row r="358" spans="1:21" x14ac:dyDescent="0.25">
      <c r="A358" t="s">
        <v>67</v>
      </c>
      <c r="B358" t="s">
        <v>69</v>
      </c>
      <c r="C358">
        <v>8</v>
      </c>
      <c r="D358" t="s">
        <v>102</v>
      </c>
      <c r="E358" t="s">
        <v>97</v>
      </c>
      <c r="F358" t="s">
        <v>96</v>
      </c>
      <c r="G358">
        <v>0.85730277923538301</v>
      </c>
      <c r="H358">
        <v>1.45570749077641E-2</v>
      </c>
      <c r="I358">
        <v>0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10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0.85300206766602205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0.87632698102425799</v>
      </c>
      <c r="U358" s="5">
        <f>IF((ContinuousStatsTable[[#This Row],[RepsRequested]]&gt;1),ContinuousStatsTable[[#This Row],[HalfWidth]],ContinuousStatsTable[[#This Row],[BatchMeansHalfWidth]])</f>
        <v>5.2410393061669046E-3</v>
      </c>
    </row>
    <row r="359" spans="1:21" x14ac:dyDescent="0.25">
      <c r="A359" t="s">
        <v>67</v>
      </c>
      <c r="B359" t="s">
        <v>69</v>
      </c>
      <c r="C359">
        <v>8</v>
      </c>
      <c r="D359" t="s">
        <v>102</v>
      </c>
      <c r="E359" t="s">
        <v>98</v>
      </c>
      <c r="F359" t="s">
        <v>96</v>
      </c>
      <c r="G359">
        <v>1</v>
      </c>
      <c r="H359">
        <v>2E+20</v>
      </c>
      <c r="I359">
        <v>1</v>
      </c>
      <c r="J359">
        <v>1</v>
      </c>
      <c r="K359">
        <v>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10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1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1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1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25">
      <c r="A360" t="s">
        <v>67</v>
      </c>
      <c r="B360" t="s">
        <v>69</v>
      </c>
      <c r="C360">
        <v>8</v>
      </c>
      <c r="D360" t="s">
        <v>103</v>
      </c>
      <c r="E360" t="s">
        <v>95</v>
      </c>
      <c r="F360" t="s">
        <v>96</v>
      </c>
      <c r="G360">
        <v>0.85550101809076895</v>
      </c>
      <c r="H360">
        <v>1.53383800178035E-2</v>
      </c>
      <c r="I360">
        <v>0</v>
      </c>
      <c r="J360">
        <v>1</v>
      </c>
      <c r="K360">
        <v>1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10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0.85267322894137698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0.87300868153341904</v>
      </c>
      <c r="U360" s="5">
        <f>IF((ContinuousStatsTable[[#This Row],[RepsRequested]]&gt;1),ContinuousStatsTable[[#This Row],[HalfWidth]],ContinuousStatsTable[[#This Row],[BatchMeansHalfWidth]])</f>
        <v>5.1492506011230968E-3</v>
      </c>
    </row>
    <row r="361" spans="1:21" x14ac:dyDescent="0.25">
      <c r="A361" t="s">
        <v>67</v>
      </c>
      <c r="B361" t="s">
        <v>69</v>
      </c>
      <c r="C361">
        <v>8</v>
      </c>
      <c r="D361" t="s">
        <v>103</v>
      </c>
      <c r="E361" t="s">
        <v>97</v>
      </c>
      <c r="F361" t="s">
        <v>96</v>
      </c>
      <c r="G361">
        <v>0.85550101809076895</v>
      </c>
      <c r="H361">
        <v>1.53383800178035E-2</v>
      </c>
      <c r="I361">
        <v>0</v>
      </c>
      <c r="J361">
        <v>1</v>
      </c>
      <c r="K361">
        <v>1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10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0.85267322894137698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0.87300868153341904</v>
      </c>
      <c r="U361" s="5">
        <f>IF((ContinuousStatsTable[[#This Row],[RepsRequested]]&gt;1),ContinuousStatsTable[[#This Row],[HalfWidth]],ContinuousStatsTable[[#This Row],[BatchMeansHalfWidth]])</f>
        <v>5.1492506011230968E-3</v>
      </c>
    </row>
    <row r="362" spans="1:21" x14ac:dyDescent="0.25">
      <c r="A362" t="s">
        <v>67</v>
      </c>
      <c r="B362" t="s">
        <v>69</v>
      </c>
      <c r="C362">
        <v>8</v>
      </c>
      <c r="D362" t="s">
        <v>103</v>
      </c>
      <c r="E362" t="s">
        <v>98</v>
      </c>
      <c r="F362" t="s">
        <v>96</v>
      </c>
      <c r="G362">
        <v>1</v>
      </c>
      <c r="H362">
        <v>2E+20</v>
      </c>
      <c r="I362">
        <v>1</v>
      </c>
      <c r="J362">
        <v>1</v>
      </c>
      <c r="K362">
        <v>1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10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1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1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1</v>
      </c>
      <c r="U362" s="5">
        <f>IF((ContinuousStatsTable[[#This Row],[RepsRequested]]&gt;1),ContinuousStatsTable[[#This Row],[HalfWidth]],ContinuousStatsTable[[#This Row],[BatchMeansHalfWidth]])</f>
        <v>0</v>
      </c>
    </row>
    <row r="363" spans="1:21" x14ac:dyDescent="0.25">
      <c r="A363" t="s">
        <v>67</v>
      </c>
      <c r="B363" t="s">
        <v>69</v>
      </c>
      <c r="C363">
        <v>8</v>
      </c>
      <c r="D363" t="s">
        <v>104</v>
      </c>
      <c r="E363" t="s">
        <v>95</v>
      </c>
      <c r="F363" t="s">
        <v>96</v>
      </c>
      <c r="G363">
        <v>0.85510768626576406</v>
      </c>
      <c r="H363">
        <v>1.4825272696706001E-2</v>
      </c>
      <c r="I363">
        <v>0</v>
      </c>
      <c r="J363">
        <v>1</v>
      </c>
      <c r="K363">
        <v>1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10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0.85312589705184705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0.87436351179675398</v>
      </c>
      <c r="U363" s="5">
        <f>IF((ContinuousStatsTable[[#This Row],[RepsRequested]]&gt;1),ContinuousStatsTable[[#This Row],[HalfWidth]],ContinuousStatsTable[[#This Row],[BatchMeansHalfWidth]])</f>
        <v>5.093233831135466E-3</v>
      </c>
    </row>
    <row r="364" spans="1:21" x14ac:dyDescent="0.25">
      <c r="A364" t="s">
        <v>67</v>
      </c>
      <c r="B364" t="s">
        <v>69</v>
      </c>
      <c r="C364">
        <v>8</v>
      </c>
      <c r="D364" t="s">
        <v>104</v>
      </c>
      <c r="E364" t="s">
        <v>97</v>
      </c>
      <c r="F364" t="s">
        <v>96</v>
      </c>
      <c r="G364">
        <v>0.85510768626576406</v>
      </c>
      <c r="H364">
        <v>1.4825272696706001E-2</v>
      </c>
      <c r="I364">
        <v>0</v>
      </c>
      <c r="J364">
        <v>1</v>
      </c>
      <c r="K364">
        <v>1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10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0.85312589705184705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0.87436351179675398</v>
      </c>
      <c r="U364" s="5">
        <f>IF((ContinuousStatsTable[[#This Row],[RepsRequested]]&gt;1),ContinuousStatsTable[[#This Row],[HalfWidth]],ContinuousStatsTable[[#This Row],[BatchMeansHalfWidth]])</f>
        <v>5.093233831135466E-3</v>
      </c>
    </row>
    <row r="365" spans="1:21" x14ac:dyDescent="0.25">
      <c r="A365" t="s">
        <v>67</v>
      </c>
      <c r="B365" t="s">
        <v>69</v>
      </c>
      <c r="C365">
        <v>8</v>
      </c>
      <c r="D365" t="s">
        <v>104</v>
      </c>
      <c r="E365" t="s">
        <v>98</v>
      </c>
      <c r="F365" t="s">
        <v>96</v>
      </c>
      <c r="G365">
        <v>1</v>
      </c>
      <c r="H365">
        <v>2E+20</v>
      </c>
      <c r="I365">
        <v>1</v>
      </c>
      <c r="J365">
        <v>1</v>
      </c>
      <c r="K365">
        <v>1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10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1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1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1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67</v>
      </c>
      <c r="B366" t="s">
        <v>69</v>
      </c>
      <c r="C366">
        <v>8</v>
      </c>
      <c r="D366" t="s">
        <v>85</v>
      </c>
      <c r="E366" t="s">
        <v>93</v>
      </c>
      <c r="F366" t="s">
        <v>72</v>
      </c>
      <c r="G366">
        <v>4.6077118410630504E-3</v>
      </c>
      <c r="H366">
        <v>3E+20</v>
      </c>
      <c r="I366">
        <v>0</v>
      </c>
      <c r="J366">
        <v>1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10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4.46975375012869E-3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5.19139886192292E-3</v>
      </c>
      <c r="U366" s="5">
        <f>IF((ContinuousStatsTable[[#This Row],[RepsRequested]]&gt;1),ContinuousStatsTable[[#This Row],[HalfWidth]],ContinuousStatsTable[[#This Row],[BatchMeansHalfWidth]])</f>
        <v>1.5212674323174428E-4</v>
      </c>
    </row>
    <row r="367" spans="1:21" x14ac:dyDescent="0.25">
      <c r="A367" t="s">
        <v>67</v>
      </c>
      <c r="B367" t="s">
        <v>69</v>
      </c>
      <c r="C367">
        <v>8</v>
      </c>
      <c r="D367" t="s">
        <v>86</v>
      </c>
      <c r="E367" t="s">
        <v>93</v>
      </c>
      <c r="F367" t="s">
        <v>72</v>
      </c>
      <c r="G367">
        <v>6.4983761586690399E-3</v>
      </c>
      <c r="H367">
        <v>5.0055307398241702E-4</v>
      </c>
      <c r="I367">
        <v>0</v>
      </c>
      <c r="J367">
        <v>3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10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6.4644878524100302E-3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7.1613926309565699E-3</v>
      </c>
      <c r="U367" s="5">
        <f>IF((ContinuousStatsTable[[#This Row],[RepsRequested]]&gt;1),ContinuousStatsTable[[#This Row],[HalfWidth]],ContinuousStatsTable[[#This Row],[BatchMeansHalfWidth]])</f>
        <v>1.9039143298908446E-4</v>
      </c>
    </row>
    <row r="368" spans="1:21" x14ac:dyDescent="0.25">
      <c r="A368" t="s">
        <v>67</v>
      </c>
      <c r="B368" t="s">
        <v>69</v>
      </c>
      <c r="C368">
        <v>8</v>
      </c>
      <c r="D368" t="s">
        <v>87</v>
      </c>
      <c r="E368" t="s">
        <v>93</v>
      </c>
      <c r="F368" t="s">
        <v>72</v>
      </c>
      <c r="G368">
        <v>2.7767008081367602E-3</v>
      </c>
      <c r="H368">
        <v>2.5312812034092899E-4</v>
      </c>
      <c r="I368">
        <v>0</v>
      </c>
      <c r="J368">
        <v>1</v>
      </c>
      <c r="K368">
        <v>0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10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2.6429119389876198E-3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3.0552991746512601E-3</v>
      </c>
      <c r="U368" s="5">
        <f>IF((ContinuousStatsTable[[#This Row],[RepsRequested]]&gt;1),ContinuousStatsTable[[#This Row],[HalfWidth]],ContinuousStatsTable[[#This Row],[BatchMeansHalfWidth]])</f>
        <v>1.0063752504111057E-4</v>
      </c>
    </row>
    <row r="369" spans="1:21" x14ac:dyDescent="0.25">
      <c r="A369" t="s">
        <v>67</v>
      </c>
      <c r="B369" t="s">
        <v>69</v>
      </c>
      <c r="C369">
        <v>8</v>
      </c>
      <c r="D369" t="s">
        <v>88</v>
      </c>
      <c r="E369" t="s">
        <v>93</v>
      </c>
      <c r="F369" t="s">
        <v>72</v>
      </c>
      <c r="G369">
        <v>3.7244128651004798E-3</v>
      </c>
      <c r="H369">
        <v>3.5826806300397798E-4</v>
      </c>
      <c r="I369">
        <v>0</v>
      </c>
      <c r="J369">
        <v>1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10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3.7244128651004798E-3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4.35137641764906E-3</v>
      </c>
      <c r="U369" s="5">
        <f>IF((ContinuousStatsTable[[#This Row],[RepsRequested]]&gt;1),ContinuousStatsTable[[#This Row],[HalfWidth]],ContinuousStatsTable[[#This Row],[BatchMeansHalfWidth]])</f>
        <v>1.2471918446914371E-4</v>
      </c>
    </row>
    <row r="370" spans="1:21" x14ac:dyDescent="0.25">
      <c r="A370" t="s">
        <v>67</v>
      </c>
      <c r="B370" t="s">
        <v>69</v>
      </c>
      <c r="C370">
        <v>8</v>
      </c>
      <c r="D370" t="s">
        <v>105</v>
      </c>
      <c r="E370" t="s">
        <v>95</v>
      </c>
      <c r="F370" t="s">
        <v>96</v>
      </c>
      <c r="G370">
        <v>0.84048036374453705</v>
      </c>
      <c r="H370">
        <v>1.8032303589784599E-2</v>
      </c>
      <c r="I370">
        <v>0</v>
      </c>
      <c r="J370">
        <v>1</v>
      </c>
      <c r="K370">
        <v>1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10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0.83618943731414597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0.86586763783419696</v>
      </c>
      <c r="U370" s="5">
        <f>IF((ContinuousStatsTable[[#This Row],[RepsRequested]]&gt;1),ContinuousStatsTable[[#This Row],[HalfWidth]],ContinuousStatsTable[[#This Row],[BatchMeansHalfWidth]])</f>
        <v>6.774830857795836E-3</v>
      </c>
    </row>
    <row r="371" spans="1:21" x14ac:dyDescent="0.25">
      <c r="A371" t="s">
        <v>67</v>
      </c>
      <c r="B371" t="s">
        <v>69</v>
      </c>
      <c r="C371">
        <v>8</v>
      </c>
      <c r="D371" t="s">
        <v>105</v>
      </c>
      <c r="E371" t="s">
        <v>97</v>
      </c>
      <c r="F371" t="s">
        <v>96</v>
      </c>
      <c r="G371">
        <v>0.84048036374453705</v>
      </c>
      <c r="H371">
        <v>1.8032303589784599E-2</v>
      </c>
      <c r="I371">
        <v>0</v>
      </c>
      <c r="J371">
        <v>1</v>
      </c>
      <c r="K371">
        <v>1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10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0.83618943731414597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0.86586763783419696</v>
      </c>
      <c r="U371" s="5">
        <f>IF((ContinuousStatsTable[[#This Row],[RepsRequested]]&gt;1),ContinuousStatsTable[[#This Row],[HalfWidth]],ContinuousStatsTable[[#This Row],[BatchMeansHalfWidth]])</f>
        <v>6.774830857795836E-3</v>
      </c>
    </row>
    <row r="372" spans="1:21" x14ac:dyDescent="0.25">
      <c r="A372" t="s">
        <v>67</v>
      </c>
      <c r="B372" t="s">
        <v>69</v>
      </c>
      <c r="C372">
        <v>8</v>
      </c>
      <c r="D372" t="s">
        <v>105</v>
      </c>
      <c r="E372" t="s">
        <v>98</v>
      </c>
      <c r="F372" t="s">
        <v>96</v>
      </c>
      <c r="G372">
        <v>1</v>
      </c>
      <c r="H372">
        <v>2E+20</v>
      </c>
      <c r="I372">
        <v>1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10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1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1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1</v>
      </c>
      <c r="U372" s="5">
        <f>IF((ContinuousStatsTable[[#This Row],[RepsRequested]]&gt;1),ContinuousStatsTable[[#This Row],[HalfWidth]],ContinuousStatsTable[[#This Row],[BatchMeansHalfWidth]])</f>
        <v>0</v>
      </c>
    </row>
    <row r="373" spans="1:21" x14ac:dyDescent="0.25">
      <c r="A373" t="s">
        <v>67</v>
      </c>
      <c r="B373" t="s">
        <v>69</v>
      </c>
      <c r="C373">
        <v>8</v>
      </c>
      <c r="D373" t="s">
        <v>106</v>
      </c>
      <c r="E373" t="s">
        <v>95</v>
      </c>
      <c r="F373" t="s">
        <v>96</v>
      </c>
      <c r="G373">
        <v>0.76752965241864102</v>
      </c>
      <c r="H373">
        <v>1.7847235602902599E-2</v>
      </c>
      <c r="I373">
        <v>0</v>
      </c>
      <c r="J373">
        <v>1</v>
      </c>
      <c r="K373">
        <v>1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10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0.75864843854708297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0.79252596119945096</v>
      </c>
      <c r="U373" s="5">
        <f>IF((ContinuousStatsTable[[#This Row],[RepsRequested]]&gt;1),ContinuousStatsTable[[#This Row],[HalfWidth]],ContinuousStatsTable[[#This Row],[BatchMeansHalfWidth]])</f>
        <v>7.9650525926457348E-3</v>
      </c>
    </row>
    <row r="374" spans="1:21" x14ac:dyDescent="0.25">
      <c r="A374" t="s">
        <v>67</v>
      </c>
      <c r="B374" t="s">
        <v>69</v>
      </c>
      <c r="C374">
        <v>8</v>
      </c>
      <c r="D374" t="s">
        <v>106</v>
      </c>
      <c r="E374" t="s">
        <v>97</v>
      </c>
      <c r="F374" t="s">
        <v>96</v>
      </c>
      <c r="G374">
        <v>0.76752965241864102</v>
      </c>
      <c r="H374">
        <v>1.7847235602902599E-2</v>
      </c>
      <c r="I374">
        <v>0</v>
      </c>
      <c r="J374">
        <v>1</v>
      </c>
      <c r="K374">
        <v>1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10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0.75864843854708297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0.79252596119945096</v>
      </c>
      <c r="U374" s="5">
        <f>IF((ContinuousStatsTable[[#This Row],[RepsRequested]]&gt;1),ContinuousStatsTable[[#This Row],[HalfWidth]],ContinuousStatsTable[[#This Row],[BatchMeansHalfWidth]])</f>
        <v>7.9650525926457348E-3</v>
      </c>
    </row>
    <row r="375" spans="1:21" x14ac:dyDescent="0.25">
      <c r="A375" t="s">
        <v>67</v>
      </c>
      <c r="B375" t="s">
        <v>69</v>
      </c>
      <c r="C375">
        <v>8</v>
      </c>
      <c r="D375" t="s">
        <v>106</v>
      </c>
      <c r="E375" t="s">
        <v>98</v>
      </c>
      <c r="F375" t="s">
        <v>96</v>
      </c>
      <c r="G375">
        <v>1</v>
      </c>
      <c r="H375">
        <v>2E+20</v>
      </c>
      <c r="I375">
        <v>1</v>
      </c>
      <c r="J375">
        <v>1</v>
      </c>
      <c r="K375">
        <v>1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10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1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1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1</v>
      </c>
      <c r="U375" s="5">
        <f>IF((ContinuousStatsTable[[#This Row],[RepsRequested]]&gt;1),ContinuousStatsTable[[#This Row],[HalfWidth]],ContinuousStatsTable[[#This Row],[BatchMeansHalfWidth]])</f>
        <v>0</v>
      </c>
    </row>
    <row r="376" spans="1:21" x14ac:dyDescent="0.25">
      <c r="A376" t="s">
        <v>67</v>
      </c>
      <c r="B376" t="s">
        <v>69</v>
      </c>
      <c r="C376">
        <v>8</v>
      </c>
      <c r="D376" t="s">
        <v>107</v>
      </c>
      <c r="E376" t="s">
        <v>95</v>
      </c>
      <c r="F376" t="s">
        <v>96</v>
      </c>
      <c r="G376">
        <v>0.85153212247057997</v>
      </c>
      <c r="H376">
        <v>3E+20</v>
      </c>
      <c r="I376">
        <v>0</v>
      </c>
      <c r="J376">
        <v>1</v>
      </c>
      <c r="K376">
        <v>1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10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0.84465777371794004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0.87000527345659695</v>
      </c>
      <c r="U376" s="5">
        <f>IF((ContinuousStatsTable[[#This Row],[RepsRequested]]&gt;1),ContinuousStatsTable[[#This Row],[HalfWidth]],ContinuousStatsTable[[#This Row],[BatchMeansHalfWidth]])</f>
        <v>5.8838019158664288E-3</v>
      </c>
    </row>
    <row r="377" spans="1:21" x14ac:dyDescent="0.25">
      <c r="A377" t="s">
        <v>67</v>
      </c>
      <c r="B377" t="s">
        <v>69</v>
      </c>
      <c r="C377">
        <v>8</v>
      </c>
      <c r="D377" t="s">
        <v>107</v>
      </c>
      <c r="E377" t="s">
        <v>97</v>
      </c>
      <c r="F377" t="s">
        <v>96</v>
      </c>
      <c r="G377">
        <v>0.85153212247057997</v>
      </c>
      <c r="H377">
        <v>3E+20</v>
      </c>
      <c r="I377">
        <v>0</v>
      </c>
      <c r="J377">
        <v>1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10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0.84465777371794004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0.87000527345659695</v>
      </c>
      <c r="U377" s="5">
        <f>IF((ContinuousStatsTable[[#This Row],[RepsRequested]]&gt;1),ContinuousStatsTable[[#This Row],[HalfWidth]],ContinuousStatsTable[[#This Row],[BatchMeansHalfWidth]])</f>
        <v>5.8838019158664288E-3</v>
      </c>
    </row>
    <row r="378" spans="1:21" x14ac:dyDescent="0.25">
      <c r="A378" t="s">
        <v>67</v>
      </c>
      <c r="B378" t="s">
        <v>69</v>
      </c>
      <c r="C378">
        <v>8</v>
      </c>
      <c r="D378" t="s">
        <v>107</v>
      </c>
      <c r="E378" t="s">
        <v>98</v>
      </c>
      <c r="F378" t="s">
        <v>96</v>
      </c>
      <c r="G378">
        <v>1</v>
      </c>
      <c r="H378">
        <v>2E+20</v>
      </c>
      <c r="I378">
        <v>1</v>
      </c>
      <c r="J378">
        <v>1</v>
      </c>
      <c r="K378">
        <v>1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10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1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1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1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67</v>
      </c>
      <c r="B379" t="s">
        <v>69</v>
      </c>
      <c r="C379">
        <v>8</v>
      </c>
      <c r="D379" t="s">
        <v>108</v>
      </c>
      <c r="E379" t="s">
        <v>95</v>
      </c>
      <c r="F379" t="s">
        <v>96</v>
      </c>
      <c r="G379">
        <v>0.84048036374453705</v>
      </c>
      <c r="H379">
        <v>1.8032303589784599E-2</v>
      </c>
      <c r="I379">
        <v>0</v>
      </c>
      <c r="J379">
        <v>1</v>
      </c>
      <c r="K379">
        <v>1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10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0.83618943731414597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0.86586763783419696</v>
      </c>
      <c r="U379" s="5">
        <f>IF((ContinuousStatsTable[[#This Row],[RepsRequested]]&gt;1),ContinuousStatsTable[[#This Row],[HalfWidth]],ContinuousStatsTable[[#This Row],[BatchMeansHalfWidth]])</f>
        <v>6.774830857795836E-3</v>
      </c>
    </row>
    <row r="380" spans="1:21" x14ac:dyDescent="0.25">
      <c r="A380" t="s">
        <v>67</v>
      </c>
      <c r="B380" t="s">
        <v>69</v>
      </c>
      <c r="C380">
        <v>8</v>
      </c>
      <c r="D380" t="s">
        <v>108</v>
      </c>
      <c r="E380" t="s">
        <v>97</v>
      </c>
      <c r="F380" t="s">
        <v>96</v>
      </c>
      <c r="G380">
        <v>0.84048036374453705</v>
      </c>
      <c r="H380">
        <v>1.8032303589784599E-2</v>
      </c>
      <c r="I380">
        <v>0</v>
      </c>
      <c r="J380">
        <v>1</v>
      </c>
      <c r="K380">
        <v>1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10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0.83618943731414597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0.86586763783419696</v>
      </c>
      <c r="U380" s="5">
        <f>IF((ContinuousStatsTable[[#This Row],[RepsRequested]]&gt;1),ContinuousStatsTable[[#This Row],[HalfWidth]],ContinuousStatsTable[[#This Row],[BatchMeansHalfWidth]])</f>
        <v>6.774830857795836E-3</v>
      </c>
    </row>
    <row r="381" spans="1:21" x14ac:dyDescent="0.25">
      <c r="A381" t="s">
        <v>67</v>
      </c>
      <c r="B381" t="s">
        <v>69</v>
      </c>
      <c r="C381">
        <v>8</v>
      </c>
      <c r="D381" t="s">
        <v>108</v>
      </c>
      <c r="E381" t="s">
        <v>98</v>
      </c>
      <c r="F381" t="s">
        <v>96</v>
      </c>
      <c r="G381">
        <v>1</v>
      </c>
      <c r="H381">
        <v>2E+20</v>
      </c>
      <c r="I381">
        <v>1</v>
      </c>
      <c r="J381">
        <v>1</v>
      </c>
      <c r="K381">
        <v>1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10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1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1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25">
      <c r="A382" t="s">
        <v>67</v>
      </c>
      <c r="B382" t="s">
        <v>69</v>
      </c>
      <c r="C382">
        <v>8</v>
      </c>
      <c r="D382" t="s">
        <v>109</v>
      </c>
      <c r="E382" t="s">
        <v>95</v>
      </c>
      <c r="F382" t="s">
        <v>96</v>
      </c>
      <c r="G382">
        <v>0.76752965241864102</v>
      </c>
      <c r="H382">
        <v>1.7847235602902599E-2</v>
      </c>
      <c r="I382">
        <v>0</v>
      </c>
      <c r="J382">
        <v>1</v>
      </c>
      <c r="K382">
        <v>1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10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0.75864843854708297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0.79252596119945096</v>
      </c>
      <c r="U382" s="5">
        <f>IF((ContinuousStatsTable[[#This Row],[RepsRequested]]&gt;1),ContinuousStatsTable[[#This Row],[HalfWidth]],ContinuousStatsTable[[#This Row],[BatchMeansHalfWidth]])</f>
        <v>7.9650525926457348E-3</v>
      </c>
    </row>
    <row r="383" spans="1:21" x14ac:dyDescent="0.25">
      <c r="A383" t="s">
        <v>67</v>
      </c>
      <c r="B383" t="s">
        <v>69</v>
      </c>
      <c r="C383">
        <v>8</v>
      </c>
      <c r="D383" t="s">
        <v>109</v>
      </c>
      <c r="E383" t="s">
        <v>97</v>
      </c>
      <c r="F383" t="s">
        <v>96</v>
      </c>
      <c r="G383">
        <v>0.76752965241864102</v>
      </c>
      <c r="H383">
        <v>1.7847235602902599E-2</v>
      </c>
      <c r="I383">
        <v>0</v>
      </c>
      <c r="J383">
        <v>1</v>
      </c>
      <c r="K383">
        <v>1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10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0.75864843854708297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0.79252596119945096</v>
      </c>
      <c r="U383" s="5">
        <f>IF((ContinuousStatsTable[[#This Row],[RepsRequested]]&gt;1),ContinuousStatsTable[[#This Row],[HalfWidth]],ContinuousStatsTable[[#This Row],[BatchMeansHalfWidth]])</f>
        <v>7.9650525926457348E-3</v>
      </c>
    </row>
    <row r="384" spans="1:21" x14ac:dyDescent="0.25">
      <c r="A384" t="s">
        <v>67</v>
      </c>
      <c r="B384" t="s">
        <v>69</v>
      </c>
      <c r="C384">
        <v>8</v>
      </c>
      <c r="D384" t="s">
        <v>109</v>
      </c>
      <c r="E384" t="s">
        <v>98</v>
      </c>
      <c r="F384" t="s">
        <v>96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10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67</v>
      </c>
      <c r="B385" t="s">
        <v>69</v>
      </c>
      <c r="C385">
        <v>8</v>
      </c>
      <c r="D385" t="s">
        <v>110</v>
      </c>
      <c r="E385" t="s">
        <v>95</v>
      </c>
      <c r="F385" t="s">
        <v>96</v>
      </c>
      <c r="G385">
        <v>0.85153212247057997</v>
      </c>
      <c r="H385">
        <v>3E+20</v>
      </c>
      <c r="I385">
        <v>0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10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0.84465777371794004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0.87000527345659695</v>
      </c>
      <c r="U385" s="5">
        <f>IF((ContinuousStatsTable[[#This Row],[RepsRequested]]&gt;1),ContinuousStatsTable[[#This Row],[HalfWidth]],ContinuousStatsTable[[#This Row],[BatchMeansHalfWidth]])</f>
        <v>5.8838019158664288E-3</v>
      </c>
    </row>
    <row r="386" spans="1:21" x14ac:dyDescent="0.25">
      <c r="A386" t="s">
        <v>67</v>
      </c>
      <c r="B386" t="s">
        <v>69</v>
      </c>
      <c r="C386">
        <v>8</v>
      </c>
      <c r="D386" t="s">
        <v>110</v>
      </c>
      <c r="E386" t="s">
        <v>97</v>
      </c>
      <c r="F386" t="s">
        <v>96</v>
      </c>
      <c r="G386">
        <v>0.85153212247057997</v>
      </c>
      <c r="H386">
        <v>3E+20</v>
      </c>
      <c r="I386">
        <v>0</v>
      </c>
      <c r="J386">
        <v>1</v>
      </c>
      <c r="K386">
        <v>1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10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0.84465777371794004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0.87000527345659695</v>
      </c>
      <c r="U386" s="5">
        <f>IF((ContinuousStatsTable[[#This Row],[RepsRequested]]&gt;1),ContinuousStatsTable[[#This Row],[HalfWidth]],ContinuousStatsTable[[#This Row],[BatchMeansHalfWidth]])</f>
        <v>5.8838019158664288E-3</v>
      </c>
    </row>
    <row r="387" spans="1:21" x14ac:dyDescent="0.25">
      <c r="A387" t="s">
        <v>67</v>
      </c>
      <c r="B387" t="s">
        <v>69</v>
      </c>
      <c r="C387">
        <v>8</v>
      </c>
      <c r="D387" t="s">
        <v>110</v>
      </c>
      <c r="E387" t="s">
        <v>98</v>
      </c>
      <c r="F387" t="s">
        <v>96</v>
      </c>
      <c r="G387">
        <v>1</v>
      </c>
      <c r="H387">
        <v>2E+20</v>
      </c>
      <c r="I387">
        <v>1</v>
      </c>
      <c r="J387">
        <v>1</v>
      </c>
      <c r="K387">
        <v>1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10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1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1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1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67</v>
      </c>
      <c r="B388" t="s">
        <v>69</v>
      </c>
      <c r="C388">
        <v>8</v>
      </c>
      <c r="D388" t="s">
        <v>90</v>
      </c>
      <c r="E388" t="s">
        <v>93</v>
      </c>
      <c r="F388" t="s">
        <v>72</v>
      </c>
      <c r="G388">
        <v>2.7069146743970798</v>
      </c>
      <c r="H388">
        <v>0.60171432713403605</v>
      </c>
      <c r="I388">
        <v>0</v>
      </c>
      <c r="J388">
        <v>22</v>
      </c>
      <c r="K388">
        <v>5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10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2.3924416646278499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3.7422761400348601</v>
      </c>
      <c r="U388" s="5">
        <f>IF((ContinuousStatsTable[[#This Row],[RepsRequested]]&gt;1),ContinuousStatsTable[[#This Row],[HalfWidth]],ContinuousStatsTable[[#This Row],[BatchMeansHalfWidth]])</f>
        <v>0.29747169945211638</v>
      </c>
    </row>
    <row r="389" spans="1:21" x14ac:dyDescent="0.25">
      <c r="A389" t="s">
        <v>67</v>
      </c>
      <c r="B389" t="s">
        <v>69</v>
      </c>
      <c r="C389">
        <v>8</v>
      </c>
      <c r="D389" t="s">
        <v>91</v>
      </c>
      <c r="E389" t="s">
        <v>93</v>
      </c>
      <c r="F389" t="s">
        <v>72</v>
      </c>
      <c r="G389">
        <v>1.35495665442863</v>
      </c>
      <c r="H389">
        <v>0.22922239228867999</v>
      </c>
      <c r="I389">
        <v>0</v>
      </c>
      <c r="J389">
        <v>16</v>
      </c>
      <c r="K389">
        <v>1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10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1.2409432816355801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1.7520834896992801</v>
      </c>
      <c r="U389" s="5">
        <f>IF((ContinuousStatsTable[[#This Row],[RepsRequested]]&gt;1),ContinuousStatsTable[[#This Row],[HalfWidth]],ContinuousStatsTable[[#This Row],[BatchMeansHalfWidth]])</f>
        <v>0.1220330504521152</v>
      </c>
    </row>
    <row r="390" spans="1:21" x14ac:dyDescent="0.25">
      <c r="A390" t="s">
        <v>67</v>
      </c>
      <c r="B390" t="s">
        <v>69</v>
      </c>
      <c r="C390">
        <v>8</v>
      </c>
      <c r="D390" t="s">
        <v>92</v>
      </c>
      <c r="E390" t="s">
        <v>93</v>
      </c>
      <c r="F390" t="s">
        <v>72</v>
      </c>
      <c r="G390">
        <v>2.1762907983550299</v>
      </c>
      <c r="H390">
        <v>0.38034953892314499</v>
      </c>
      <c r="I390">
        <v>0</v>
      </c>
      <c r="J390">
        <v>23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10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2.1762907983550299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2.7399798743587298</v>
      </c>
      <c r="U390" s="5">
        <f>IF((ContinuousStatsTable[[#This Row],[RepsRequested]]&gt;1),ContinuousStatsTable[[#This Row],[HalfWidth]],ContinuousStatsTable[[#This Row],[BatchMeansHalfWidth]])</f>
        <v>0.1357647963567922</v>
      </c>
    </row>
    <row r="391" spans="1:21" x14ac:dyDescent="0.25">
      <c r="A391" t="s">
        <v>67</v>
      </c>
      <c r="B391" t="s">
        <v>69</v>
      </c>
      <c r="C391">
        <v>8</v>
      </c>
      <c r="D391" t="s">
        <v>111</v>
      </c>
      <c r="E391" t="s">
        <v>97</v>
      </c>
      <c r="F391" t="s">
        <v>112</v>
      </c>
      <c r="G391">
        <v>0.79714222975806304</v>
      </c>
      <c r="H391">
        <v>8.6172187297498294E-3</v>
      </c>
      <c r="I391">
        <v>0</v>
      </c>
      <c r="J391">
        <v>2</v>
      </c>
      <c r="K391">
        <v>2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10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0.79714222975806304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0.81086270984605202</v>
      </c>
      <c r="U391" s="5">
        <f>IF((ContinuousStatsTable[[#This Row],[RepsRequested]]&gt;1),ContinuousStatsTable[[#This Row],[HalfWidth]],ContinuousStatsTable[[#This Row],[BatchMeansHalfWidth]])</f>
        <v>3.3416443147686586E-3</v>
      </c>
    </row>
    <row r="392" spans="1:21" x14ac:dyDescent="0.25">
      <c r="A392" t="s">
        <v>67</v>
      </c>
      <c r="B392" t="s">
        <v>69</v>
      </c>
      <c r="C392">
        <v>8</v>
      </c>
      <c r="D392" t="s">
        <v>111</v>
      </c>
      <c r="E392" t="s">
        <v>98</v>
      </c>
      <c r="F392" t="s">
        <v>112</v>
      </c>
      <c r="G392">
        <v>2</v>
      </c>
      <c r="H392">
        <v>2E+20</v>
      </c>
      <c r="I392">
        <v>2</v>
      </c>
      <c r="J392">
        <v>2</v>
      </c>
      <c r="K392">
        <v>2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10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2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2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2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25">
      <c r="A393" t="s">
        <v>67</v>
      </c>
      <c r="B393" t="s">
        <v>69</v>
      </c>
      <c r="C393">
        <v>8</v>
      </c>
      <c r="D393" t="s">
        <v>111</v>
      </c>
      <c r="E393" t="s">
        <v>113</v>
      </c>
      <c r="F393" t="s">
        <v>112</v>
      </c>
      <c r="G393">
        <v>0.39857111487903202</v>
      </c>
      <c r="H393">
        <v>4.3086093648749104E-3</v>
      </c>
      <c r="I393">
        <v>0</v>
      </c>
      <c r="J393">
        <v>1</v>
      </c>
      <c r="K393">
        <v>1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10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0.39857111487903202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0.40543135492302601</v>
      </c>
      <c r="U393" s="5">
        <f>IF((ContinuousStatsTable[[#This Row],[RepsRequested]]&gt;1),ContinuousStatsTable[[#This Row],[HalfWidth]],ContinuousStatsTable[[#This Row],[BatchMeansHalfWidth]])</f>
        <v>1.6708221573839188E-3</v>
      </c>
    </row>
    <row r="394" spans="1:21" x14ac:dyDescent="0.25">
      <c r="A394" t="s">
        <v>67</v>
      </c>
      <c r="B394" t="s">
        <v>69</v>
      </c>
      <c r="C394">
        <v>9</v>
      </c>
      <c r="D394" t="s">
        <v>70</v>
      </c>
      <c r="E394" t="s">
        <v>93</v>
      </c>
      <c r="F394" t="s">
        <v>72</v>
      </c>
      <c r="G394">
        <v>2.00826089573046</v>
      </c>
      <c r="H394">
        <v>0.35372840131997701</v>
      </c>
      <c r="I394">
        <v>0</v>
      </c>
      <c r="J394">
        <v>25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10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1.76226441002947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2.3188373788375798</v>
      </c>
      <c r="U394" s="5">
        <f>IF((ContinuousStatsTable[[#This Row],[RepsRequested]]&gt;1),ContinuousStatsTable[[#This Row],[HalfWidth]],ContinuousStatsTable[[#This Row],[BatchMeansHalfWidth]])</f>
        <v>0.12049041629004678</v>
      </c>
    </row>
    <row r="395" spans="1:21" x14ac:dyDescent="0.25">
      <c r="A395" t="s">
        <v>67</v>
      </c>
      <c r="B395" t="s">
        <v>69</v>
      </c>
      <c r="C395">
        <v>9</v>
      </c>
      <c r="D395" t="s">
        <v>94</v>
      </c>
      <c r="E395" t="s">
        <v>95</v>
      </c>
      <c r="F395" t="s">
        <v>96</v>
      </c>
      <c r="G395">
        <v>0.75553585059543105</v>
      </c>
      <c r="H395">
        <v>1.8950089939103801E-2</v>
      </c>
      <c r="I395">
        <v>0</v>
      </c>
      <c r="J395">
        <v>1</v>
      </c>
      <c r="K395">
        <v>1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10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0.73578099184835299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0.76817992377286104</v>
      </c>
      <c r="U395" s="5">
        <f>IF((ContinuousStatsTable[[#This Row],[RepsRequested]]&gt;1),ContinuousStatsTable[[#This Row],[HalfWidth]],ContinuousStatsTable[[#This Row],[BatchMeansHalfWidth]])</f>
        <v>6.6348533752732253E-3</v>
      </c>
    </row>
    <row r="396" spans="1:21" x14ac:dyDescent="0.25">
      <c r="A396" t="s">
        <v>67</v>
      </c>
      <c r="B396" t="s">
        <v>69</v>
      </c>
      <c r="C396">
        <v>9</v>
      </c>
      <c r="D396" t="s">
        <v>94</v>
      </c>
      <c r="E396" t="s">
        <v>97</v>
      </c>
      <c r="F396" t="s">
        <v>96</v>
      </c>
      <c r="G396">
        <v>1.5110717011908601</v>
      </c>
      <c r="H396">
        <v>3.79001798782077E-2</v>
      </c>
      <c r="I396">
        <v>0</v>
      </c>
      <c r="J396">
        <v>2</v>
      </c>
      <c r="K396">
        <v>2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10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1.47156198369671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1.5363598475457201</v>
      </c>
      <c r="U396" s="5">
        <f>IF((ContinuousStatsTable[[#This Row],[RepsRequested]]&gt;1),ContinuousStatsTable[[#This Row],[HalfWidth]],ContinuousStatsTable[[#This Row],[BatchMeansHalfWidth]])</f>
        <v>1.3269706750545264E-2</v>
      </c>
    </row>
    <row r="397" spans="1:21" x14ac:dyDescent="0.25">
      <c r="A397" t="s">
        <v>67</v>
      </c>
      <c r="B397" t="s">
        <v>69</v>
      </c>
      <c r="C397">
        <v>9</v>
      </c>
      <c r="D397" t="s">
        <v>94</v>
      </c>
      <c r="E397" t="s">
        <v>98</v>
      </c>
      <c r="F397" t="s">
        <v>96</v>
      </c>
      <c r="G397">
        <v>2</v>
      </c>
      <c r="H397">
        <v>2E+20</v>
      </c>
      <c r="I397">
        <v>2</v>
      </c>
      <c r="J397">
        <v>2</v>
      </c>
      <c r="K397">
        <v>2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10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2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2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2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67</v>
      </c>
      <c r="B398" t="s">
        <v>69</v>
      </c>
      <c r="C398">
        <v>9</v>
      </c>
      <c r="D398" t="s">
        <v>99</v>
      </c>
      <c r="E398" t="s">
        <v>95</v>
      </c>
      <c r="F398" t="s">
        <v>96</v>
      </c>
      <c r="G398">
        <v>0.75434550443435999</v>
      </c>
      <c r="H398">
        <v>1.94207002760385E-2</v>
      </c>
      <c r="I398">
        <v>0</v>
      </c>
      <c r="J398">
        <v>1</v>
      </c>
      <c r="K398">
        <v>1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10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0.73777590022083495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0.76666045600624</v>
      </c>
      <c r="U398" s="5">
        <f>IF((ContinuousStatsTable[[#This Row],[RepsRequested]]&gt;1),ContinuousStatsTable[[#This Row],[HalfWidth]],ContinuousStatsTable[[#This Row],[BatchMeansHalfWidth]])</f>
        <v>6.5760437266769349E-3</v>
      </c>
    </row>
    <row r="399" spans="1:21" x14ac:dyDescent="0.25">
      <c r="A399" t="s">
        <v>67</v>
      </c>
      <c r="B399" t="s">
        <v>69</v>
      </c>
      <c r="C399">
        <v>9</v>
      </c>
      <c r="D399" t="s">
        <v>99</v>
      </c>
      <c r="E399" t="s">
        <v>97</v>
      </c>
      <c r="F399" t="s">
        <v>96</v>
      </c>
      <c r="G399">
        <v>0.75434550443435999</v>
      </c>
      <c r="H399">
        <v>1.94207002760385E-2</v>
      </c>
      <c r="I399">
        <v>0</v>
      </c>
      <c r="J399">
        <v>1</v>
      </c>
      <c r="K399">
        <v>1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10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0.73777590022083495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0.76666045600624</v>
      </c>
      <c r="U399" s="5">
        <f>IF((ContinuousStatsTable[[#This Row],[RepsRequested]]&gt;1),ContinuousStatsTable[[#This Row],[HalfWidth]],ContinuousStatsTable[[#This Row],[BatchMeansHalfWidth]])</f>
        <v>6.5760437266769349E-3</v>
      </c>
    </row>
    <row r="400" spans="1:21" x14ac:dyDescent="0.25">
      <c r="A400" t="s">
        <v>67</v>
      </c>
      <c r="B400" t="s">
        <v>69</v>
      </c>
      <c r="C400">
        <v>9</v>
      </c>
      <c r="D400" t="s">
        <v>99</v>
      </c>
      <c r="E400" t="s">
        <v>98</v>
      </c>
      <c r="F400" t="s">
        <v>96</v>
      </c>
      <c r="G400">
        <v>1</v>
      </c>
      <c r="H400">
        <v>2E+20</v>
      </c>
      <c r="I400">
        <v>1</v>
      </c>
      <c r="J400">
        <v>1</v>
      </c>
      <c r="K400">
        <v>1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10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1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1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1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67</v>
      </c>
      <c r="B401" t="s">
        <v>69</v>
      </c>
      <c r="C401">
        <v>9</v>
      </c>
      <c r="D401" t="s">
        <v>100</v>
      </c>
      <c r="E401" t="s">
        <v>95</v>
      </c>
      <c r="F401" t="s">
        <v>96</v>
      </c>
      <c r="G401">
        <v>0.75672619675650699</v>
      </c>
      <c r="H401">
        <v>1.93827360240201E-2</v>
      </c>
      <c r="I401">
        <v>0</v>
      </c>
      <c r="J401">
        <v>1</v>
      </c>
      <c r="K401">
        <v>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10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0.73378608347586405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0.76969939153947697</v>
      </c>
      <c r="U401" s="5">
        <f>IF((ContinuousStatsTable[[#This Row],[RepsRequested]]&gt;1),ContinuousStatsTable[[#This Row],[HalfWidth]],ContinuousStatsTable[[#This Row],[BatchMeansHalfWidth]])</f>
        <v>7.298068329198576E-3</v>
      </c>
    </row>
    <row r="402" spans="1:21" x14ac:dyDescent="0.25">
      <c r="A402" t="s">
        <v>67</v>
      </c>
      <c r="B402" t="s">
        <v>69</v>
      </c>
      <c r="C402">
        <v>9</v>
      </c>
      <c r="D402" t="s">
        <v>100</v>
      </c>
      <c r="E402" t="s">
        <v>97</v>
      </c>
      <c r="F402" t="s">
        <v>96</v>
      </c>
      <c r="G402">
        <v>0.75672619675650699</v>
      </c>
      <c r="H402">
        <v>1.93827360240201E-2</v>
      </c>
      <c r="I402">
        <v>0</v>
      </c>
      <c r="J402">
        <v>1</v>
      </c>
      <c r="K402">
        <v>1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10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0.73378608347586405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0.76969939153947697</v>
      </c>
      <c r="U402" s="5">
        <f>IF((ContinuousStatsTable[[#This Row],[RepsRequested]]&gt;1),ContinuousStatsTable[[#This Row],[HalfWidth]],ContinuousStatsTable[[#This Row],[BatchMeansHalfWidth]])</f>
        <v>7.298068329198576E-3</v>
      </c>
    </row>
    <row r="403" spans="1:21" x14ac:dyDescent="0.25">
      <c r="A403" t="s">
        <v>67</v>
      </c>
      <c r="B403" t="s">
        <v>69</v>
      </c>
      <c r="C403">
        <v>9</v>
      </c>
      <c r="D403" t="s">
        <v>100</v>
      </c>
      <c r="E403" t="s">
        <v>98</v>
      </c>
      <c r="F403" t="s">
        <v>96</v>
      </c>
      <c r="G403">
        <v>1</v>
      </c>
      <c r="H403">
        <v>2E+20</v>
      </c>
      <c r="I403">
        <v>1</v>
      </c>
      <c r="J403">
        <v>1</v>
      </c>
      <c r="K403">
        <v>1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10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25">
      <c r="A404" t="s">
        <v>67</v>
      </c>
      <c r="B404" t="s">
        <v>69</v>
      </c>
      <c r="C404">
        <v>9</v>
      </c>
      <c r="D404" t="s">
        <v>73</v>
      </c>
      <c r="E404" t="s">
        <v>101</v>
      </c>
      <c r="F404" t="s">
        <v>75</v>
      </c>
      <c r="G404">
        <v>18.085149792468599</v>
      </c>
      <c r="H404">
        <v>1.65723522179071</v>
      </c>
      <c r="I404">
        <v>0</v>
      </c>
      <c r="J404">
        <v>53</v>
      </c>
      <c r="K404">
        <v>13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10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16.327634071208799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18.8479471560706</v>
      </c>
      <c r="U404" s="5">
        <f>IF((ContinuousStatsTable[[#This Row],[RepsRequested]]&gt;1),ContinuousStatsTable[[#This Row],[HalfWidth]],ContinuousStatsTable[[#This Row],[BatchMeansHalfWidth]])</f>
        <v>0.51828581657665529</v>
      </c>
    </row>
    <row r="405" spans="1:21" x14ac:dyDescent="0.25">
      <c r="A405" t="s">
        <v>67</v>
      </c>
      <c r="B405" t="s">
        <v>69</v>
      </c>
      <c r="C405">
        <v>9</v>
      </c>
      <c r="D405" t="s">
        <v>84</v>
      </c>
      <c r="E405" t="s">
        <v>93</v>
      </c>
      <c r="F405" t="s">
        <v>72</v>
      </c>
      <c r="G405">
        <v>1.4068415350854899</v>
      </c>
      <c r="H405">
        <v>0.31912597957528299</v>
      </c>
      <c r="I405">
        <v>0</v>
      </c>
      <c r="J405">
        <v>19</v>
      </c>
      <c r="K405">
        <v>1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10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0.99579270827195998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1.40699442999762</v>
      </c>
      <c r="U405" s="5">
        <f>IF((ContinuousStatsTable[[#This Row],[RepsRequested]]&gt;1),ContinuousStatsTable[[#This Row],[HalfWidth]],ContinuousStatsTable[[#This Row],[BatchMeansHalfWidth]])</f>
        <v>9.4525954407496268E-2</v>
      </c>
    </row>
    <row r="406" spans="1:21" x14ac:dyDescent="0.25">
      <c r="A406" t="s">
        <v>67</v>
      </c>
      <c r="B406" t="s">
        <v>69</v>
      </c>
      <c r="C406">
        <v>9</v>
      </c>
      <c r="D406" t="s">
        <v>102</v>
      </c>
      <c r="E406" t="s">
        <v>95</v>
      </c>
      <c r="F406" t="s">
        <v>96</v>
      </c>
      <c r="G406">
        <v>0.87632698102425799</v>
      </c>
      <c r="H406">
        <v>1.5699900558801199E-2</v>
      </c>
      <c r="I406">
        <v>0</v>
      </c>
      <c r="J406">
        <v>1</v>
      </c>
      <c r="K406">
        <v>1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10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0.85300206766602205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0.87632698102425799</v>
      </c>
      <c r="U406" s="5">
        <f>IF((ContinuousStatsTable[[#This Row],[RepsRequested]]&gt;1),ContinuousStatsTable[[#This Row],[HalfWidth]],ContinuousStatsTable[[#This Row],[BatchMeansHalfWidth]])</f>
        <v>5.2410393061669046E-3</v>
      </c>
    </row>
    <row r="407" spans="1:21" x14ac:dyDescent="0.25">
      <c r="A407" t="s">
        <v>67</v>
      </c>
      <c r="B407" t="s">
        <v>69</v>
      </c>
      <c r="C407">
        <v>9</v>
      </c>
      <c r="D407" t="s">
        <v>102</v>
      </c>
      <c r="E407" t="s">
        <v>97</v>
      </c>
      <c r="F407" t="s">
        <v>96</v>
      </c>
      <c r="G407">
        <v>0.87632698102425799</v>
      </c>
      <c r="H407">
        <v>1.5699900558801199E-2</v>
      </c>
      <c r="I407">
        <v>0</v>
      </c>
      <c r="J407">
        <v>1</v>
      </c>
      <c r="K407">
        <v>1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10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0.85300206766602205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0.87632698102425799</v>
      </c>
      <c r="U407" s="5">
        <f>IF((ContinuousStatsTable[[#This Row],[RepsRequested]]&gt;1),ContinuousStatsTable[[#This Row],[HalfWidth]],ContinuousStatsTable[[#This Row],[BatchMeansHalfWidth]])</f>
        <v>5.2410393061669046E-3</v>
      </c>
    </row>
    <row r="408" spans="1:21" x14ac:dyDescent="0.25">
      <c r="A408" t="s">
        <v>67</v>
      </c>
      <c r="B408" t="s">
        <v>69</v>
      </c>
      <c r="C408">
        <v>9</v>
      </c>
      <c r="D408" t="s">
        <v>102</v>
      </c>
      <c r="E408" t="s">
        <v>98</v>
      </c>
      <c r="F408" t="s">
        <v>96</v>
      </c>
      <c r="G408">
        <v>1</v>
      </c>
      <c r="H408">
        <v>2E+20</v>
      </c>
      <c r="I408">
        <v>1</v>
      </c>
      <c r="J408">
        <v>1</v>
      </c>
      <c r="K408">
        <v>1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10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1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1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1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67</v>
      </c>
      <c r="B409" t="s">
        <v>69</v>
      </c>
      <c r="C409">
        <v>9</v>
      </c>
      <c r="D409" t="s">
        <v>103</v>
      </c>
      <c r="E409" t="s">
        <v>95</v>
      </c>
      <c r="F409" t="s">
        <v>96</v>
      </c>
      <c r="G409">
        <v>0.872966031274238</v>
      </c>
      <c r="H409">
        <v>1.7222392379132801E-2</v>
      </c>
      <c r="I409">
        <v>0</v>
      </c>
      <c r="J409">
        <v>1</v>
      </c>
      <c r="K409">
        <v>1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10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0.85267322894137698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0.87300868153341904</v>
      </c>
      <c r="U409" s="5">
        <f>IF((ContinuousStatsTable[[#This Row],[RepsRequested]]&gt;1),ContinuousStatsTable[[#This Row],[HalfWidth]],ContinuousStatsTable[[#This Row],[BatchMeansHalfWidth]])</f>
        <v>5.1492506011230968E-3</v>
      </c>
    </row>
    <row r="410" spans="1:21" x14ac:dyDescent="0.25">
      <c r="A410" t="s">
        <v>67</v>
      </c>
      <c r="B410" t="s">
        <v>69</v>
      </c>
      <c r="C410">
        <v>9</v>
      </c>
      <c r="D410" t="s">
        <v>103</v>
      </c>
      <c r="E410" t="s">
        <v>97</v>
      </c>
      <c r="F410" t="s">
        <v>96</v>
      </c>
      <c r="G410">
        <v>0.872966031274238</v>
      </c>
      <c r="H410">
        <v>1.7222392379132801E-2</v>
      </c>
      <c r="I410">
        <v>0</v>
      </c>
      <c r="J410">
        <v>1</v>
      </c>
      <c r="K410">
        <v>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10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0.85267322894137698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0.87300868153341904</v>
      </c>
      <c r="U410" s="5">
        <f>IF((ContinuousStatsTable[[#This Row],[RepsRequested]]&gt;1),ContinuousStatsTable[[#This Row],[HalfWidth]],ContinuousStatsTable[[#This Row],[BatchMeansHalfWidth]])</f>
        <v>5.1492506011230968E-3</v>
      </c>
    </row>
    <row r="411" spans="1:21" x14ac:dyDescent="0.25">
      <c r="A411" t="s">
        <v>67</v>
      </c>
      <c r="B411" t="s">
        <v>69</v>
      </c>
      <c r="C411">
        <v>9</v>
      </c>
      <c r="D411" t="s">
        <v>103</v>
      </c>
      <c r="E411" t="s">
        <v>98</v>
      </c>
      <c r="F411" t="s">
        <v>96</v>
      </c>
      <c r="G411">
        <v>1</v>
      </c>
      <c r="H411">
        <v>2E+20</v>
      </c>
      <c r="I411">
        <v>1</v>
      </c>
      <c r="J411">
        <v>1</v>
      </c>
      <c r="K411">
        <v>1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10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1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0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1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1</v>
      </c>
      <c r="U411" s="5">
        <f>IF((ContinuousStatsTable[[#This Row],[RepsRequested]]&gt;1),ContinuousStatsTable[[#This Row],[HalfWidth]],ContinuousStatsTable[[#This Row],[BatchMeansHalfWidth]])</f>
        <v>0</v>
      </c>
    </row>
    <row r="412" spans="1:21" x14ac:dyDescent="0.25">
      <c r="A412" t="s">
        <v>67</v>
      </c>
      <c r="B412" t="s">
        <v>69</v>
      </c>
      <c r="C412">
        <v>9</v>
      </c>
      <c r="D412" t="s">
        <v>104</v>
      </c>
      <c r="E412" t="s">
        <v>95</v>
      </c>
      <c r="F412" t="s">
        <v>96</v>
      </c>
      <c r="G412">
        <v>0.87049911855662898</v>
      </c>
      <c r="H412">
        <v>1.5487237457998E-2</v>
      </c>
      <c r="I412">
        <v>0</v>
      </c>
      <c r="J412">
        <v>1</v>
      </c>
      <c r="K412">
        <v>1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10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0.85312589705184705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0.87436351179675398</v>
      </c>
      <c r="U412" s="5">
        <f>IF((ContinuousStatsTable[[#This Row],[RepsRequested]]&gt;1),ContinuousStatsTable[[#This Row],[HalfWidth]],ContinuousStatsTable[[#This Row],[BatchMeansHalfWidth]])</f>
        <v>5.093233831135466E-3</v>
      </c>
    </row>
    <row r="413" spans="1:21" x14ac:dyDescent="0.25">
      <c r="A413" t="s">
        <v>67</v>
      </c>
      <c r="B413" t="s">
        <v>69</v>
      </c>
      <c r="C413">
        <v>9</v>
      </c>
      <c r="D413" t="s">
        <v>104</v>
      </c>
      <c r="E413" t="s">
        <v>97</v>
      </c>
      <c r="F413" t="s">
        <v>96</v>
      </c>
      <c r="G413">
        <v>0.87049911855662898</v>
      </c>
      <c r="H413">
        <v>1.5487237457998E-2</v>
      </c>
      <c r="I413">
        <v>0</v>
      </c>
      <c r="J413">
        <v>1</v>
      </c>
      <c r="K413">
        <v>1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10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0.85312589705184705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0.87436351179675398</v>
      </c>
      <c r="U413" s="5">
        <f>IF((ContinuousStatsTable[[#This Row],[RepsRequested]]&gt;1),ContinuousStatsTable[[#This Row],[HalfWidth]],ContinuousStatsTable[[#This Row],[BatchMeansHalfWidth]])</f>
        <v>5.093233831135466E-3</v>
      </c>
    </row>
    <row r="414" spans="1:21" x14ac:dyDescent="0.25">
      <c r="A414" t="s">
        <v>67</v>
      </c>
      <c r="B414" t="s">
        <v>69</v>
      </c>
      <c r="C414">
        <v>9</v>
      </c>
      <c r="D414" t="s">
        <v>104</v>
      </c>
      <c r="E414" t="s">
        <v>98</v>
      </c>
      <c r="F414" t="s">
        <v>96</v>
      </c>
      <c r="G414">
        <v>1</v>
      </c>
      <c r="H414">
        <v>2E+20</v>
      </c>
      <c r="I414">
        <v>1</v>
      </c>
      <c r="J414">
        <v>1</v>
      </c>
      <c r="K414">
        <v>1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10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25">
      <c r="A415" t="s">
        <v>67</v>
      </c>
      <c r="B415" t="s">
        <v>69</v>
      </c>
      <c r="C415">
        <v>9</v>
      </c>
      <c r="D415" t="s">
        <v>85</v>
      </c>
      <c r="E415" t="s">
        <v>93</v>
      </c>
      <c r="F415" t="s">
        <v>72</v>
      </c>
      <c r="G415">
        <v>5.19139886192292E-3</v>
      </c>
      <c r="H415">
        <v>5.4871959812777802E-4</v>
      </c>
      <c r="I415">
        <v>0</v>
      </c>
      <c r="J415">
        <v>1</v>
      </c>
      <c r="K415">
        <v>0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10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4.46975375012869E-3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5.19139886192292E-3</v>
      </c>
      <c r="U415" s="5">
        <f>IF((ContinuousStatsTable[[#This Row],[RepsRequested]]&gt;1),ContinuousStatsTable[[#This Row],[HalfWidth]],ContinuousStatsTable[[#This Row],[BatchMeansHalfWidth]])</f>
        <v>1.5212674323174428E-4</v>
      </c>
    </row>
    <row r="416" spans="1:21" x14ac:dyDescent="0.25">
      <c r="A416" t="s">
        <v>67</v>
      </c>
      <c r="B416" t="s">
        <v>69</v>
      </c>
      <c r="C416">
        <v>9</v>
      </c>
      <c r="D416" t="s">
        <v>86</v>
      </c>
      <c r="E416" t="s">
        <v>93</v>
      </c>
      <c r="F416" t="s">
        <v>72</v>
      </c>
      <c r="G416">
        <v>7.04705921521653E-3</v>
      </c>
      <c r="H416">
        <v>6.2266818537148199E-4</v>
      </c>
      <c r="I416">
        <v>0</v>
      </c>
      <c r="J416">
        <v>3</v>
      </c>
      <c r="K416">
        <v>0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10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6.4644878524100302E-3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7.1613926309565699E-3</v>
      </c>
      <c r="U416" s="5">
        <f>IF((ContinuousStatsTable[[#This Row],[RepsRequested]]&gt;1),ContinuousStatsTable[[#This Row],[HalfWidth]],ContinuousStatsTable[[#This Row],[BatchMeansHalfWidth]])</f>
        <v>1.9039143298908446E-4</v>
      </c>
    </row>
    <row r="417" spans="1:21" x14ac:dyDescent="0.25">
      <c r="A417" t="s">
        <v>67</v>
      </c>
      <c r="B417" t="s">
        <v>69</v>
      </c>
      <c r="C417">
        <v>9</v>
      </c>
      <c r="D417" t="s">
        <v>87</v>
      </c>
      <c r="E417" t="s">
        <v>93</v>
      </c>
      <c r="F417" t="s">
        <v>72</v>
      </c>
      <c r="G417">
        <v>2.9229235884505101E-3</v>
      </c>
      <c r="H417">
        <v>3.5316087929505299E-4</v>
      </c>
      <c r="I417">
        <v>0</v>
      </c>
      <c r="J417">
        <v>1</v>
      </c>
      <c r="K417">
        <v>0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10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2.6429119389876198E-3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3.0552991746512601E-3</v>
      </c>
      <c r="U417" s="5">
        <f>IF((ContinuousStatsTable[[#This Row],[RepsRequested]]&gt;1),ContinuousStatsTable[[#This Row],[HalfWidth]],ContinuousStatsTable[[#This Row],[BatchMeansHalfWidth]])</f>
        <v>1.0063752504111057E-4</v>
      </c>
    </row>
    <row r="418" spans="1:21" x14ac:dyDescent="0.25">
      <c r="A418" t="s">
        <v>67</v>
      </c>
      <c r="B418" t="s">
        <v>69</v>
      </c>
      <c r="C418">
        <v>9</v>
      </c>
      <c r="D418" t="s">
        <v>88</v>
      </c>
      <c r="E418" t="s">
        <v>93</v>
      </c>
      <c r="F418" t="s">
        <v>72</v>
      </c>
      <c r="G418">
        <v>4.2011525084732302E-3</v>
      </c>
      <c r="H418">
        <v>3.88182216583157E-4</v>
      </c>
      <c r="I418">
        <v>0</v>
      </c>
      <c r="J418">
        <v>1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10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3.7244128651004798E-3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4.35137641764906E-3</v>
      </c>
      <c r="U418" s="5">
        <f>IF((ContinuousStatsTable[[#This Row],[RepsRequested]]&gt;1),ContinuousStatsTable[[#This Row],[HalfWidth]],ContinuousStatsTable[[#This Row],[BatchMeansHalfWidth]])</f>
        <v>1.2471918446914371E-4</v>
      </c>
    </row>
    <row r="419" spans="1:21" x14ac:dyDescent="0.25">
      <c r="A419" t="s">
        <v>67</v>
      </c>
      <c r="B419" t="s">
        <v>69</v>
      </c>
      <c r="C419">
        <v>9</v>
      </c>
      <c r="D419" t="s">
        <v>105</v>
      </c>
      <c r="E419" t="s">
        <v>95</v>
      </c>
      <c r="F419" t="s">
        <v>96</v>
      </c>
      <c r="G419">
        <v>0.85796950456786103</v>
      </c>
      <c r="H419">
        <v>1.93567209747448E-2</v>
      </c>
      <c r="I419">
        <v>0</v>
      </c>
      <c r="J419">
        <v>1</v>
      </c>
      <c r="K419">
        <v>1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10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0.83618943731414597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0.86586763783419696</v>
      </c>
      <c r="U419" s="5">
        <f>IF((ContinuousStatsTable[[#This Row],[RepsRequested]]&gt;1),ContinuousStatsTable[[#This Row],[HalfWidth]],ContinuousStatsTable[[#This Row],[BatchMeansHalfWidth]])</f>
        <v>6.774830857795836E-3</v>
      </c>
    </row>
    <row r="420" spans="1:21" x14ac:dyDescent="0.25">
      <c r="A420" t="s">
        <v>67</v>
      </c>
      <c r="B420" t="s">
        <v>69</v>
      </c>
      <c r="C420">
        <v>9</v>
      </c>
      <c r="D420" t="s">
        <v>105</v>
      </c>
      <c r="E420" t="s">
        <v>97</v>
      </c>
      <c r="F420" t="s">
        <v>96</v>
      </c>
      <c r="G420">
        <v>0.85796950456786103</v>
      </c>
      <c r="H420">
        <v>1.93567209747448E-2</v>
      </c>
      <c r="I420">
        <v>0</v>
      </c>
      <c r="J420">
        <v>1</v>
      </c>
      <c r="K420">
        <v>1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10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0.83618943731414597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0.86586763783419696</v>
      </c>
      <c r="U420" s="5">
        <f>IF((ContinuousStatsTable[[#This Row],[RepsRequested]]&gt;1),ContinuousStatsTable[[#This Row],[HalfWidth]],ContinuousStatsTable[[#This Row],[BatchMeansHalfWidth]])</f>
        <v>6.774830857795836E-3</v>
      </c>
    </row>
    <row r="421" spans="1:21" x14ac:dyDescent="0.25">
      <c r="A421" t="s">
        <v>67</v>
      </c>
      <c r="B421" t="s">
        <v>69</v>
      </c>
      <c r="C421">
        <v>9</v>
      </c>
      <c r="D421" t="s">
        <v>105</v>
      </c>
      <c r="E421" t="s">
        <v>98</v>
      </c>
      <c r="F421" t="s">
        <v>96</v>
      </c>
      <c r="G421">
        <v>1</v>
      </c>
      <c r="H421">
        <v>2E+20</v>
      </c>
      <c r="I421">
        <v>1</v>
      </c>
      <c r="J421">
        <v>1</v>
      </c>
      <c r="K421">
        <v>1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10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1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1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1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67</v>
      </c>
      <c r="B422" t="s">
        <v>69</v>
      </c>
      <c r="C422">
        <v>9</v>
      </c>
      <c r="D422" t="s">
        <v>106</v>
      </c>
      <c r="E422" t="s">
        <v>95</v>
      </c>
      <c r="F422" t="s">
        <v>96</v>
      </c>
      <c r="G422">
        <v>0.77980236616475795</v>
      </c>
      <c r="H422">
        <v>2.0226866506446201E-2</v>
      </c>
      <c r="I422">
        <v>0</v>
      </c>
      <c r="J422">
        <v>1</v>
      </c>
      <c r="K422">
        <v>1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10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0.75864843854708297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0.79252596119945096</v>
      </c>
      <c r="U422" s="5">
        <f>IF((ContinuousStatsTable[[#This Row],[RepsRequested]]&gt;1),ContinuousStatsTable[[#This Row],[HalfWidth]],ContinuousStatsTable[[#This Row],[BatchMeansHalfWidth]])</f>
        <v>7.9650525926457348E-3</v>
      </c>
    </row>
    <row r="423" spans="1:21" x14ac:dyDescent="0.25">
      <c r="A423" t="s">
        <v>67</v>
      </c>
      <c r="B423" t="s">
        <v>69</v>
      </c>
      <c r="C423">
        <v>9</v>
      </c>
      <c r="D423" t="s">
        <v>106</v>
      </c>
      <c r="E423" t="s">
        <v>97</v>
      </c>
      <c r="F423" t="s">
        <v>96</v>
      </c>
      <c r="G423">
        <v>0.77980236616475795</v>
      </c>
      <c r="H423">
        <v>2.0226866506446201E-2</v>
      </c>
      <c r="I423">
        <v>0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10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0.75864843854708297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0.79252596119945096</v>
      </c>
      <c r="U423" s="5">
        <f>IF((ContinuousStatsTable[[#This Row],[RepsRequested]]&gt;1),ContinuousStatsTable[[#This Row],[HalfWidth]],ContinuousStatsTable[[#This Row],[BatchMeansHalfWidth]])</f>
        <v>7.9650525926457348E-3</v>
      </c>
    </row>
    <row r="424" spans="1:21" x14ac:dyDescent="0.25">
      <c r="A424" t="s">
        <v>67</v>
      </c>
      <c r="B424" t="s">
        <v>69</v>
      </c>
      <c r="C424">
        <v>9</v>
      </c>
      <c r="D424" t="s">
        <v>106</v>
      </c>
      <c r="E424" t="s">
        <v>98</v>
      </c>
      <c r="F424" t="s">
        <v>96</v>
      </c>
      <c r="G424">
        <v>1</v>
      </c>
      <c r="H424">
        <v>2E+20</v>
      </c>
      <c r="I424">
        <v>1</v>
      </c>
      <c r="J424">
        <v>1</v>
      </c>
      <c r="K424">
        <v>1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10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1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1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1</v>
      </c>
      <c r="U424" s="5">
        <f>IF((ContinuousStatsTable[[#This Row],[RepsRequested]]&gt;1),ContinuousStatsTable[[#This Row],[HalfWidth]],ContinuousStatsTable[[#This Row],[BatchMeansHalfWidth]])</f>
        <v>0</v>
      </c>
    </row>
    <row r="425" spans="1:21" x14ac:dyDescent="0.25">
      <c r="A425" t="s">
        <v>67</v>
      </c>
      <c r="B425" t="s">
        <v>69</v>
      </c>
      <c r="C425">
        <v>9</v>
      </c>
      <c r="D425" t="s">
        <v>107</v>
      </c>
      <c r="E425" t="s">
        <v>95</v>
      </c>
      <c r="F425" t="s">
        <v>96</v>
      </c>
      <c r="G425">
        <v>0.87000527345659695</v>
      </c>
      <c r="H425">
        <v>1.6393049017206299E-2</v>
      </c>
      <c r="I425">
        <v>0</v>
      </c>
      <c r="J425">
        <v>1</v>
      </c>
      <c r="K425">
        <v>1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10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0.84465777371794004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0.87000527345659695</v>
      </c>
      <c r="U425" s="5">
        <f>IF((ContinuousStatsTable[[#This Row],[RepsRequested]]&gt;1),ContinuousStatsTable[[#This Row],[HalfWidth]],ContinuousStatsTable[[#This Row],[BatchMeansHalfWidth]])</f>
        <v>5.8838019158664288E-3</v>
      </c>
    </row>
    <row r="426" spans="1:21" x14ac:dyDescent="0.25">
      <c r="A426" t="s">
        <v>67</v>
      </c>
      <c r="B426" t="s">
        <v>69</v>
      </c>
      <c r="C426">
        <v>9</v>
      </c>
      <c r="D426" t="s">
        <v>107</v>
      </c>
      <c r="E426" t="s">
        <v>97</v>
      </c>
      <c r="F426" t="s">
        <v>96</v>
      </c>
      <c r="G426">
        <v>0.87000527345659695</v>
      </c>
      <c r="H426">
        <v>1.6393049017206299E-2</v>
      </c>
      <c r="I426">
        <v>0</v>
      </c>
      <c r="J426">
        <v>1</v>
      </c>
      <c r="K426">
        <v>1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10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0.84465777371794004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0.87000527345659695</v>
      </c>
      <c r="U426" s="5">
        <f>IF((ContinuousStatsTable[[#This Row],[RepsRequested]]&gt;1),ContinuousStatsTable[[#This Row],[HalfWidth]],ContinuousStatsTable[[#This Row],[BatchMeansHalfWidth]])</f>
        <v>5.8838019158664288E-3</v>
      </c>
    </row>
    <row r="427" spans="1:21" x14ac:dyDescent="0.25">
      <c r="A427" t="s">
        <v>67</v>
      </c>
      <c r="B427" t="s">
        <v>69</v>
      </c>
      <c r="C427">
        <v>9</v>
      </c>
      <c r="D427" t="s">
        <v>107</v>
      </c>
      <c r="E427" t="s">
        <v>98</v>
      </c>
      <c r="F427" t="s">
        <v>96</v>
      </c>
      <c r="G427">
        <v>1</v>
      </c>
      <c r="H427">
        <v>2E+20</v>
      </c>
      <c r="I427">
        <v>1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10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1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1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1</v>
      </c>
      <c r="U427" s="5">
        <f>IF((ContinuousStatsTable[[#This Row],[RepsRequested]]&gt;1),ContinuousStatsTable[[#This Row],[HalfWidth]],ContinuousStatsTable[[#This Row],[BatchMeansHalfWidth]])</f>
        <v>0</v>
      </c>
    </row>
    <row r="428" spans="1:21" x14ac:dyDescent="0.25">
      <c r="A428" t="s">
        <v>67</v>
      </c>
      <c r="B428" t="s">
        <v>69</v>
      </c>
      <c r="C428">
        <v>9</v>
      </c>
      <c r="D428" t="s">
        <v>108</v>
      </c>
      <c r="E428" t="s">
        <v>95</v>
      </c>
      <c r="F428" t="s">
        <v>96</v>
      </c>
      <c r="G428">
        <v>0.85796950456786103</v>
      </c>
      <c r="H428">
        <v>1.93567209747448E-2</v>
      </c>
      <c r="I428">
        <v>0</v>
      </c>
      <c r="J428">
        <v>1</v>
      </c>
      <c r="K428">
        <v>1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10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0.83618943731414597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0.86586763783419696</v>
      </c>
      <c r="U428" s="5">
        <f>IF((ContinuousStatsTable[[#This Row],[RepsRequested]]&gt;1),ContinuousStatsTable[[#This Row],[HalfWidth]],ContinuousStatsTable[[#This Row],[BatchMeansHalfWidth]])</f>
        <v>6.774830857795836E-3</v>
      </c>
    </row>
    <row r="429" spans="1:21" x14ac:dyDescent="0.25">
      <c r="A429" t="s">
        <v>67</v>
      </c>
      <c r="B429" t="s">
        <v>69</v>
      </c>
      <c r="C429">
        <v>9</v>
      </c>
      <c r="D429" t="s">
        <v>108</v>
      </c>
      <c r="E429" t="s">
        <v>97</v>
      </c>
      <c r="F429" t="s">
        <v>96</v>
      </c>
      <c r="G429">
        <v>0.85796950456786103</v>
      </c>
      <c r="H429">
        <v>1.93567209747448E-2</v>
      </c>
      <c r="I429">
        <v>0</v>
      </c>
      <c r="J429">
        <v>1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10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0.83618943731414597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0.86586763783419696</v>
      </c>
      <c r="U429" s="5">
        <f>IF((ContinuousStatsTable[[#This Row],[RepsRequested]]&gt;1),ContinuousStatsTable[[#This Row],[HalfWidth]],ContinuousStatsTable[[#This Row],[BatchMeansHalfWidth]])</f>
        <v>6.774830857795836E-3</v>
      </c>
    </row>
    <row r="430" spans="1:21" x14ac:dyDescent="0.25">
      <c r="A430" t="s">
        <v>67</v>
      </c>
      <c r="B430" t="s">
        <v>69</v>
      </c>
      <c r="C430">
        <v>9</v>
      </c>
      <c r="D430" t="s">
        <v>108</v>
      </c>
      <c r="E430" t="s">
        <v>98</v>
      </c>
      <c r="F430" t="s">
        <v>96</v>
      </c>
      <c r="G430">
        <v>1</v>
      </c>
      <c r="H430">
        <v>2E+20</v>
      </c>
      <c r="I430">
        <v>1</v>
      </c>
      <c r="J430">
        <v>1</v>
      </c>
      <c r="K430">
        <v>1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10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1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1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1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67</v>
      </c>
      <c r="B431" t="s">
        <v>69</v>
      </c>
      <c r="C431">
        <v>9</v>
      </c>
      <c r="D431" t="s">
        <v>109</v>
      </c>
      <c r="E431" t="s">
        <v>95</v>
      </c>
      <c r="F431" t="s">
        <v>96</v>
      </c>
      <c r="G431">
        <v>0.77980236616475795</v>
      </c>
      <c r="H431">
        <v>2.0226866506446201E-2</v>
      </c>
      <c r="I431">
        <v>0</v>
      </c>
      <c r="J431">
        <v>1</v>
      </c>
      <c r="K431">
        <v>1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10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0.75864843854708297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0.79252596119945096</v>
      </c>
      <c r="U431" s="5">
        <f>IF((ContinuousStatsTable[[#This Row],[RepsRequested]]&gt;1),ContinuousStatsTable[[#This Row],[HalfWidth]],ContinuousStatsTable[[#This Row],[BatchMeansHalfWidth]])</f>
        <v>7.9650525926457348E-3</v>
      </c>
    </row>
    <row r="432" spans="1:21" x14ac:dyDescent="0.25">
      <c r="A432" t="s">
        <v>67</v>
      </c>
      <c r="B432" t="s">
        <v>69</v>
      </c>
      <c r="C432">
        <v>9</v>
      </c>
      <c r="D432" t="s">
        <v>109</v>
      </c>
      <c r="E432" t="s">
        <v>97</v>
      </c>
      <c r="F432" t="s">
        <v>96</v>
      </c>
      <c r="G432">
        <v>0.77980236616475795</v>
      </c>
      <c r="H432">
        <v>2.0226866506446201E-2</v>
      </c>
      <c r="I432">
        <v>0</v>
      </c>
      <c r="J432">
        <v>1</v>
      </c>
      <c r="K432">
        <v>1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10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0.75864843854708297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0.79252596119945096</v>
      </c>
      <c r="U432" s="5">
        <f>IF((ContinuousStatsTable[[#This Row],[RepsRequested]]&gt;1),ContinuousStatsTable[[#This Row],[HalfWidth]],ContinuousStatsTable[[#This Row],[BatchMeansHalfWidth]])</f>
        <v>7.9650525926457348E-3</v>
      </c>
    </row>
    <row r="433" spans="1:21" x14ac:dyDescent="0.25">
      <c r="A433" t="s">
        <v>67</v>
      </c>
      <c r="B433" t="s">
        <v>69</v>
      </c>
      <c r="C433">
        <v>9</v>
      </c>
      <c r="D433" t="s">
        <v>109</v>
      </c>
      <c r="E433" t="s">
        <v>98</v>
      </c>
      <c r="F433" t="s">
        <v>96</v>
      </c>
      <c r="G433">
        <v>1</v>
      </c>
      <c r="H433">
        <v>2E+20</v>
      </c>
      <c r="I433">
        <v>1</v>
      </c>
      <c r="J433">
        <v>1</v>
      </c>
      <c r="K433">
        <v>1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10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1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1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1</v>
      </c>
      <c r="U433" s="5">
        <f>IF((ContinuousStatsTable[[#This Row],[RepsRequested]]&gt;1),ContinuousStatsTable[[#This Row],[HalfWidth]],ContinuousStatsTable[[#This Row],[BatchMeansHalfWidth]])</f>
        <v>0</v>
      </c>
    </row>
    <row r="434" spans="1:21" x14ac:dyDescent="0.25">
      <c r="A434" t="s">
        <v>67</v>
      </c>
      <c r="B434" t="s">
        <v>69</v>
      </c>
      <c r="C434">
        <v>9</v>
      </c>
      <c r="D434" t="s">
        <v>110</v>
      </c>
      <c r="E434" t="s">
        <v>95</v>
      </c>
      <c r="F434" t="s">
        <v>96</v>
      </c>
      <c r="G434">
        <v>0.87000527345659695</v>
      </c>
      <c r="H434">
        <v>1.6393049017206299E-2</v>
      </c>
      <c r="I434">
        <v>0</v>
      </c>
      <c r="J434">
        <v>1</v>
      </c>
      <c r="K434">
        <v>1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10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0.84465777371794004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0.87000527345659695</v>
      </c>
      <c r="U434" s="5">
        <f>IF((ContinuousStatsTable[[#This Row],[RepsRequested]]&gt;1),ContinuousStatsTable[[#This Row],[HalfWidth]],ContinuousStatsTable[[#This Row],[BatchMeansHalfWidth]])</f>
        <v>5.8838019158664288E-3</v>
      </c>
    </row>
    <row r="435" spans="1:21" x14ac:dyDescent="0.25">
      <c r="A435" t="s">
        <v>67</v>
      </c>
      <c r="B435" t="s">
        <v>69</v>
      </c>
      <c r="C435">
        <v>9</v>
      </c>
      <c r="D435" t="s">
        <v>110</v>
      </c>
      <c r="E435" t="s">
        <v>97</v>
      </c>
      <c r="F435" t="s">
        <v>96</v>
      </c>
      <c r="G435">
        <v>0.87000527345659695</v>
      </c>
      <c r="H435">
        <v>1.6393049017206299E-2</v>
      </c>
      <c r="I435">
        <v>0</v>
      </c>
      <c r="J435">
        <v>1</v>
      </c>
      <c r="K435">
        <v>1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10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0.84465777371794004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0.87000527345659695</v>
      </c>
      <c r="U435" s="5">
        <f>IF((ContinuousStatsTable[[#This Row],[RepsRequested]]&gt;1),ContinuousStatsTable[[#This Row],[HalfWidth]],ContinuousStatsTable[[#This Row],[BatchMeansHalfWidth]])</f>
        <v>5.8838019158664288E-3</v>
      </c>
    </row>
    <row r="436" spans="1:21" x14ac:dyDescent="0.25">
      <c r="A436" t="s">
        <v>67</v>
      </c>
      <c r="B436" t="s">
        <v>69</v>
      </c>
      <c r="C436">
        <v>9</v>
      </c>
      <c r="D436" t="s">
        <v>110</v>
      </c>
      <c r="E436" t="s">
        <v>98</v>
      </c>
      <c r="F436" t="s">
        <v>96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10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67</v>
      </c>
      <c r="B437" t="s">
        <v>69</v>
      </c>
      <c r="C437">
        <v>9</v>
      </c>
      <c r="D437" t="s">
        <v>90</v>
      </c>
      <c r="E437" t="s">
        <v>93</v>
      </c>
      <c r="F437" t="s">
        <v>72</v>
      </c>
      <c r="G437">
        <v>2.7865618987969398</v>
      </c>
      <c r="H437">
        <v>0.60419230925988798</v>
      </c>
      <c r="I437">
        <v>0</v>
      </c>
      <c r="J437">
        <v>20</v>
      </c>
      <c r="K437">
        <v>3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10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2.3924416646278499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3.7422761400348601</v>
      </c>
      <c r="U437" s="5">
        <f>IF((ContinuousStatsTable[[#This Row],[RepsRequested]]&gt;1),ContinuousStatsTable[[#This Row],[HalfWidth]],ContinuousStatsTable[[#This Row],[BatchMeansHalfWidth]])</f>
        <v>0.29747169945211638</v>
      </c>
    </row>
    <row r="438" spans="1:21" x14ac:dyDescent="0.25">
      <c r="A438" t="s">
        <v>67</v>
      </c>
      <c r="B438" t="s">
        <v>69</v>
      </c>
      <c r="C438">
        <v>9</v>
      </c>
      <c r="D438" t="s">
        <v>91</v>
      </c>
      <c r="E438" t="s">
        <v>93</v>
      </c>
      <c r="F438" t="s">
        <v>72</v>
      </c>
      <c r="G438">
        <v>1.74022791302924</v>
      </c>
      <c r="H438">
        <v>0.41986620648614797</v>
      </c>
      <c r="I438">
        <v>0</v>
      </c>
      <c r="J438">
        <v>20</v>
      </c>
      <c r="K438">
        <v>0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10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1.2409432816355801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1.7520834896992801</v>
      </c>
      <c r="U438" s="5">
        <f>IF((ContinuousStatsTable[[#This Row],[RepsRequested]]&gt;1),ContinuousStatsTable[[#This Row],[HalfWidth]],ContinuousStatsTable[[#This Row],[BatchMeansHalfWidth]])</f>
        <v>0.1220330504521152</v>
      </c>
    </row>
    <row r="439" spans="1:21" x14ac:dyDescent="0.25">
      <c r="A439" t="s">
        <v>67</v>
      </c>
      <c r="B439" t="s">
        <v>69</v>
      </c>
      <c r="C439">
        <v>9</v>
      </c>
      <c r="D439" t="s">
        <v>92</v>
      </c>
      <c r="E439" t="s">
        <v>93</v>
      </c>
      <c r="F439" t="s">
        <v>72</v>
      </c>
      <c r="G439">
        <v>2.6776011542451599</v>
      </c>
      <c r="H439">
        <v>0.62434106590254701</v>
      </c>
      <c r="I439">
        <v>0</v>
      </c>
      <c r="J439">
        <v>27</v>
      </c>
      <c r="K439">
        <v>0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10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2.1762907983550299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2.7399798743587298</v>
      </c>
      <c r="U439" s="5">
        <f>IF((ContinuousStatsTable[[#This Row],[RepsRequested]]&gt;1),ContinuousStatsTable[[#This Row],[HalfWidth]],ContinuousStatsTable[[#This Row],[BatchMeansHalfWidth]])</f>
        <v>0.1357647963567922</v>
      </c>
    </row>
    <row r="440" spans="1:21" x14ac:dyDescent="0.25">
      <c r="A440" t="s">
        <v>67</v>
      </c>
      <c r="B440" t="s">
        <v>69</v>
      </c>
      <c r="C440">
        <v>9</v>
      </c>
      <c r="D440" t="s">
        <v>111</v>
      </c>
      <c r="E440" t="s">
        <v>97</v>
      </c>
      <c r="F440" t="s">
        <v>112</v>
      </c>
      <c r="G440">
        <v>0.80765288517199496</v>
      </c>
      <c r="H440">
        <v>9.3113372478858397E-3</v>
      </c>
      <c r="I440">
        <v>0</v>
      </c>
      <c r="J440">
        <v>2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10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0.79714222975806304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0.81086270984605202</v>
      </c>
      <c r="U440" s="5">
        <f>IF((ContinuousStatsTable[[#This Row],[RepsRequested]]&gt;1),ContinuousStatsTable[[#This Row],[HalfWidth]],ContinuousStatsTable[[#This Row],[BatchMeansHalfWidth]])</f>
        <v>3.3416443147686586E-3</v>
      </c>
    </row>
    <row r="441" spans="1:21" x14ac:dyDescent="0.25">
      <c r="A441" t="s">
        <v>67</v>
      </c>
      <c r="B441" t="s">
        <v>69</v>
      </c>
      <c r="C441">
        <v>9</v>
      </c>
      <c r="D441" t="s">
        <v>111</v>
      </c>
      <c r="E441" t="s">
        <v>98</v>
      </c>
      <c r="F441" t="s">
        <v>112</v>
      </c>
      <c r="G441">
        <v>2</v>
      </c>
      <c r="H441">
        <v>2E+20</v>
      </c>
      <c r="I441">
        <v>2</v>
      </c>
      <c r="J441">
        <v>2</v>
      </c>
      <c r="K441">
        <v>2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10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2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2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2</v>
      </c>
      <c r="U441" s="5">
        <f>IF((ContinuousStatsTable[[#This Row],[RepsRequested]]&gt;1),ContinuousStatsTable[[#This Row],[HalfWidth]],ContinuousStatsTable[[#This Row],[BatchMeansHalfWidth]])</f>
        <v>0</v>
      </c>
    </row>
    <row r="442" spans="1:21" x14ac:dyDescent="0.25">
      <c r="A442" t="s">
        <v>67</v>
      </c>
      <c r="B442" t="s">
        <v>69</v>
      </c>
      <c r="C442">
        <v>9</v>
      </c>
      <c r="D442" t="s">
        <v>111</v>
      </c>
      <c r="E442" t="s">
        <v>113</v>
      </c>
      <c r="F442" t="s">
        <v>112</v>
      </c>
      <c r="G442">
        <v>0.40382644258599698</v>
      </c>
      <c r="H442">
        <v>4.6556686239429199E-3</v>
      </c>
      <c r="I442">
        <v>0</v>
      </c>
      <c r="J442">
        <v>1</v>
      </c>
      <c r="K442">
        <v>0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10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0.39857111487903202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0.40543135492302601</v>
      </c>
      <c r="U442" s="5">
        <f>IF((ContinuousStatsTable[[#This Row],[RepsRequested]]&gt;1),ContinuousStatsTable[[#This Row],[HalfWidth]],ContinuousStatsTable[[#This Row],[BatchMeansHalfWidth]])</f>
        <v>1.6708221573839188E-3</v>
      </c>
    </row>
    <row r="443" spans="1:21" x14ac:dyDescent="0.25">
      <c r="A443" t="s">
        <v>67</v>
      </c>
      <c r="B443" t="s">
        <v>69</v>
      </c>
      <c r="C443">
        <v>10</v>
      </c>
      <c r="D443" t="s">
        <v>70</v>
      </c>
      <c r="E443" t="s">
        <v>93</v>
      </c>
      <c r="F443" t="s">
        <v>72</v>
      </c>
      <c r="G443">
        <v>1.844511757129</v>
      </c>
      <c r="H443">
        <v>0.4238113162305</v>
      </c>
      <c r="I443">
        <v>0</v>
      </c>
      <c r="J443">
        <v>21</v>
      </c>
      <c r="K443">
        <v>0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10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1.957219285972764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0.16843398768416706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0.12049041629004678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1.76226441002947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2.3188373788375798</v>
      </c>
      <c r="U443" s="5">
        <f>IF((ContinuousStatsTable[[#This Row],[RepsRequested]]&gt;1),ContinuousStatsTable[[#This Row],[HalfWidth]],ContinuousStatsTable[[#This Row],[BatchMeansHalfWidth]])</f>
        <v>0.12049041629004678</v>
      </c>
    </row>
    <row r="444" spans="1:21" x14ac:dyDescent="0.25">
      <c r="A444" t="s">
        <v>67</v>
      </c>
      <c r="B444" t="s">
        <v>69</v>
      </c>
      <c r="C444">
        <v>10</v>
      </c>
      <c r="D444" t="s">
        <v>94</v>
      </c>
      <c r="E444" t="s">
        <v>95</v>
      </c>
      <c r="F444" t="s">
        <v>96</v>
      </c>
      <c r="G444">
        <v>0.73578099184835299</v>
      </c>
      <c r="H444">
        <v>2.0397358881022499E-2</v>
      </c>
      <c r="I444">
        <v>0</v>
      </c>
      <c r="J444">
        <v>1</v>
      </c>
      <c r="K444">
        <v>1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10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0.75203828164859643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9.2748854731057942E-3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6.6348533752732253E-3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0.73578099184835299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0.76817992377286104</v>
      </c>
      <c r="U444" s="5">
        <f>IF((ContinuousStatsTable[[#This Row],[RepsRequested]]&gt;1),ContinuousStatsTable[[#This Row],[HalfWidth]],ContinuousStatsTable[[#This Row],[BatchMeansHalfWidth]])</f>
        <v>6.6348533752732253E-3</v>
      </c>
    </row>
    <row r="445" spans="1:21" x14ac:dyDescent="0.25">
      <c r="A445" t="s">
        <v>67</v>
      </c>
      <c r="B445" t="s">
        <v>69</v>
      </c>
      <c r="C445">
        <v>10</v>
      </c>
      <c r="D445" t="s">
        <v>94</v>
      </c>
      <c r="E445" t="s">
        <v>97</v>
      </c>
      <c r="F445" t="s">
        <v>96</v>
      </c>
      <c r="G445">
        <v>1.47156198369671</v>
      </c>
      <c r="H445">
        <v>4.0794717762044901E-2</v>
      </c>
      <c r="I445">
        <v>0</v>
      </c>
      <c r="J445">
        <v>2</v>
      </c>
      <c r="K445">
        <v>2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10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1.5040765632971917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1.854977094620993E-2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1.3269706750545264E-2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1.47156198369671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1.5363598475457201</v>
      </c>
      <c r="U445" s="5">
        <f>IF((ContinuousStatsTable[[#This Row],[RepsRequested]]&gt;1),ContinuousStatsTable[[#This Row],[HalfWidth]],ContinuousStatsTable[[#This Row],[BatchMeansHalfWidth]])</f>
        <v>1.3269706750545264E-2</v>
      </c>
    </row>
    <row r="446" spans="1:21" x14ac:dyDescent="0.25">
      <c r="A446" t="s">
        <v>67</v>
      </c>
      <c r="B446" t="s">
        <v>69</v>
      </c>
      <c r="C446">
        <v>10</v>
      </c>
      <c r="D446" t="s">
        <v>94</v>
      </c>
      <c r="E446" t="s">
        <v>98</v>
      </c>
      <c r="F446" t="s">
        <v>96</v>
      </c>
      <c r="G446">
        <v>2</v>
      </c>
      <c r="H446">
        <v>2E+20</v>
      </c>
      <c r="I446">
        <v>2</v>
      </c>
      <c r="J446">
        <v>2</v>
      </c>
      <c r="K446">
        <v>2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10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2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2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2</v>
      </c>
      <c r="U446" s="5">
        <f>IF((ContinuousStatsTable[[#This Row],[RepsRequested]]&gt;1),ContinuousStatsTable[[#This Row],[HalfWidth]],ContinuousStatsTable[[#This Row],[BatchMeansHalfWidth]])</f>
        <v>0</v>
      </c>
    </row>
    <row r="447" spans="1:21" x14ac:dyDescent="0.25">
      <c r="A447" t="s">
        <v>67</v>
      </c>
      <c r="B447" t="s">
        <v>69</v>
      </c>
      <c r="C447">
        <v>10</v>
      </c>
      <c r="D447" t="s">
        <v>99</v>
      </c>
      <c r="E447" t="s">
        <v>95</v>
      </c>
      <c r="F447" t="s">
        <v>96</v>
      </c>
      <c r="G447">
        <v>0.73777590022083495</v>
      </c>
      <c r="H447">
        <v>2.2434695503227398E-2</v>
      </c>
      <c r="I447">
        <v>0</v>
      </c>
      <c r="J447">
        <v>1</v>
      </c>
      <c r="K447">
        <v>1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10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0.73777590022083495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0.76666045600624</v>
      </c>
      <c r="U447" s="5">
        <f>IF((ContinuousStatsTable[[#This Row],[RepsRequested]]&gt;1),ContinuousStatsTable[[#This Row],[HalfWidth]],ContinuousStatsTable[[#This Row],[BatchMeansHalfWidth]])</f>
        <v>6.5760437266769349E-3</v>
      </c>
    </row>
    <row r="448" spans="1:21" x14ac:dyDescent="0.25">
      <c r="A448" t="s">
        <v>67</v>
      </c>
      <c r="B448" t="s">
        <v>69</v>
      </c>
      <c r="C448">
        <v>10</v>
      </c>
      <c r="D448" t="s">
        <v>99</v>
      </c>
      <c r="E448" t="s">
        <v>97</v>
      </c>
      <c r="F448" t="s">
        <v>96</v>
      </c>
      <c r="G448">
        <v>0.73777590022083495</v>
      </c>
      <c r="H448">
        <v>2.2434695503227398E-2</v>
      </c>
      <c r="I448">
        <v>0</v>
      </c>
      <c r="J448">
        <v>1</v>
      </c>
      <c r="K448">
        <v>1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10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0.75111586075292547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9.1926752531366566E-3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6.5760437266769349E-3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0.73777590022083495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0.76666045600624</v>
      </c>
      <c r="U448" s="5">
        <f>IF((ContinuousStatsTable[[#This Row],[RepsRequested]]&gt;1),ContinuousStatsTable[[#This Row],[HalfWidth]],ContinuousStatsTable[[#This Row],[BatchMeansHalfWidth]])</f>
        <v>6.5760437266769349E-3</v>
      </c>
    </row>
    <row r="449" spans="1:21" x14ac:dyDescent="0.25">
      <c r="A449" t="s">
        <v>67</v>
      </c>
      <c r="B449" t="s">
        <v>69</v>
      </c>
      <c r="C449">
        <v>10</v>
      </c>
      <c r="D449" t="s">
        <v>99</v>
      </c>
      <c r="E449" t="s">
        <v>98</v>
      </c>
      <c r="F449" t="s">
        <v>96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10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67</v>
      </c>
      <c r="B450" t="s">
        <v>69</v>
      </c>
      <c r="C450">
        <v>10</v>
      </c>
      <c r="D450" t="s">
        <v>100</v>
      </c>
      <c r="E450" t="s">
        <v>95</v>
      </c>
      <c r="F450" t="s">
        <v>96</v>
      </c>
      <c r="G450">
        <v>0.73378608347586405</v>
      </c>
      <c r="H450">
        <v>1.9251370327564001E-2</v>
      </c>
      <c r="I450">
        <v>0</v>
      </c>
      <c r="J450">
        <v>1</v>
      </c>
      <c r="K450">
        <v>1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10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0.73378608347586405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0.76969939153947697</v>
      </c>
      <c r="U450" s="5">
        <f>IF((ContinuousStatsTable[[#This Row],[RepsRequested]]&gt;1),ContinuousStatsTable[[#This Row],[HalfWidth]],ContinuousStatsTable[[#This Row],[BatchMeansHalfWidth]])</f>
        <v>7.298068329198576E-3</v>
      </c>
    </row>
    <row r="451" spans="1:21" x14ac:dyDescent="0.25">
      <c r="A451" t="s">
        <v>67</v>
      </c>
      <c r="B451" t="s">
        <v>69</v>
      </c>
      <c r="C451">
        <v>10</v>
      </c>
      <c r="D451" t="s">
        <v>100</v>
      </c>
      <c r="E451" t="s">
        <v>97</v>
      </c>
      <c r="F451" t="s">
        <v>96</v>
      </c>
      <c r="G451">
        <v>0.73378608347586405</v>
      </c>
      <c r="H451">
        <v>1.9251370327564001E-2</v>
      </c>
      <c r="I451">
        <v>0</v>
      </c>
      <c r="J451">
        <v>1</v>
      </c>
      <c r="K451">
        <v>1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10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0.75296070254426462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1.0201996050203582E-2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7.298068329198576E-3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0.73378608347586405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0.76969939153947697</v>
      </c>
      <c r="U451" s="5">
        <f>IF((ContinuousStatsTable[[#This Row],[RepsRequested]]&gt;1),ContinuousStatsTable[[#This Row],[HalfWidth]],ContinuousStatsTable[[#This Row],[BatchMeansHalfWidth]])</f>
        <v>7.298068329198576E-3</v>
      </c>
    </row>
    <row r="452" spans="1:21" x14ac:dyDescent="0.25">
      <c r="A452" t="s">
        <v>67</v>
      </c>
      <c r="B452" t="s">
        <v>69</v>
      </c>
      <c r="C452">
        <v>10</v>
      </c>
      <c r="D452" t="s">
        <v>100</v>
      </c>
      <c r="E452" t="s">
        <v>98</v>
      </c>
      <c r="F452" t="s">
        <v>96</v>
      </c>
      <c r="G452">
        <v>1</v>
      </c>
      <c r="H452">
        <v>2E+20</v>
      </c>
      <c r="I452">
        <v>1</v>
      </c>
      <c r="J452">
        <v>1</v>
      </c>
      <c r="K452">
        <v>1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10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1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1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1</v>
      </c>
      <c r="U452" s="5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67</v>
      </c>
      <c r="B453" t="s">
        <v>69</v>
      </c>
      <c r="C453">
        <v>10</v>
      </c>
      <c r="D453" t="s">
        <v>73</v>
      </c>
      <c r="E453" t="s">
        <v>101</v>
      </c>
      <c r="F453" t="s">
        <v>75</v>
      </c>
      <c r="G453">
        <v>16.7366016824285</v>
      </c>
      <c r="H453">
        <v>2.1941340690004698</v>
      </c>
      <c r="I453">
        <v>0</v>
      </c>
      <c r="J453">
        <v>66</v>
      </c>
      <c r="K453">
        <v>10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10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17.649112520714102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0.72451361306618767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0.51828581657665529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16.327634071208799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18.8479471560706</v>
      </c>
      <c r="U453" s="5">
        <f>IF((ContinuousStatsTable[[#This Row],[RepsRequested]]&gt;1),ContinuousStatsTable[[#This Row],[HalfWidth]],ContinuousStatsTable[[#This Row],[BatchMeansHalfWidth]])</f>
        <v>0.51828581657665529</v>
      </c>
    </row>
    <row r="454" spans="1:21" x14ac:dyDescent="0.25">
      <c r="A454" t="s">
        <v>67</v>
      </c>
      <c r="B454" t="s">
        <v>69</v>
      </c>
      <c r="C454">
        <v>10</v>
      </c>
      <c r="D454" t="s">
        <v>84</v>
      </c>
      <c r="E454" t="s">
        <v>93</v>
      </c>
      <c r="F454" t="s">
        <v>72</v>
      </c>
      <c r="G454">
        <v>1.17424478824085</v>
      </c>
      <c r="H454">
        <v>3E+20</v>
      </c>
      <c r="I454">
        <v>0</v>
      </c>
      <c r="J454">
        <v>18</v>
      </c>
      <c r="K454">
        <v>1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10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1.2597425491006189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0.13213817273383896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9.4525954407496268E-2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0.99579270827195998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1.40699442999762</v>
      </c>
      <c r="U454" s="5">
        <f>IF((ContinuousStatsTable[[#This Row],[RepsRequested]]&gt;1),ContinuousStatsTable[[#This Row],[HalfWidth]],ContinuousStatsTable[[#This Row],[BatchMeansHalfWidth]])</f>
        <v>9.4525954407496268E-2</v>
      </c>
    </row>
    <row r="455" spans="1:21" x14ac:dyDescent="0.25">
      <c r="A455" t="s">
        <v>67</v>
      </c>
      <c r="B455" t="s">
        <v>69</v>
      </c>
      <c r="C455">
        <v>10</v>
      </c>
      <c r="D455" t="s">
        <v>102</v>
      </c>
      <c r="E455" t="s">
        <v>95</v>
      </c>
      <c r="F455" t="s">
        <v>96</v>
      </c>
      <c r="G455">
        <v>0.85300206766602205</v>
      </c>
      <c r="H455">
        <v>1.56934798601507E-2</v>
      </c>
      <c r="I455">
        <v>0</v>
      </c>
      <c r="J455">
        <v>1</v>
      </c>
      <c r="K455">
        <v>1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10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0.85300206766602205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0.87632698102425799</v>
      </c>
      <c r="U455" s="5">
        <f>IF((ContinuousStatsTable[[#This Row],[RepsRequested]]&gt;1),ContinuousStatsTable[[#This Row],[HalfWidth]],ContinuousStatsTable[[#This Row],[BatchMeansHalfWidth]])</f>
        <v>5.2410393061669046E-3</v>
      </c>
    </row>
    <row r="456" spans="1:21" x14ac:dyDescent="0.25">
      <c r="A456" t="s">
        <v>67</v>
      </c>
      <c r="B456" t="s">
        <v>69</v>
      </c>
      <c r="C456">
        <v>10</v>
      </c>
      <c r="D456" t="s">
        <v>102</v>
      </c>
      <c r="E456" t="s">
        <v>97</v>
      </c>
      <c r="F456" t="s">
        <v>96</v>
      </c>
      <c r="G456">
        <v>0.85300206766602205</v>
      </c>
      <c r="H456">
        <v>1.56934798601507E-2</v>
      </c>
      <c r="I456">
        <v>0</v>
      </c>
      <c r="J456">
        <v>1</v>
      </c>
      <c r="K456">
        <v>1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10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0.86617223927529052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7.3264677567561349E-3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5.2410393061669046E-3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0.85300206766602205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0.87632698102425799</v>
      </c>
      <c r="U456" s="5">
        <f>IF((ContinuousStatsTable[[#This Row],[RepsRequested]]&gt;1),ContinuousStatsTable[[#This Row],[HalfWidth]],ContinuousStatsTable[[#This Row],[BatchMeansHalfWidth]])</f>
        <v>5.2410393061669046E-3</v>
      </c>
    </row>
    <row r="457" spans="1:21" x14ac:dyDescent="0.25">
      <c r="A457" t="s">
        <v>67</v>
      </c>
      <c r="B457" t="s">
        <v>69</v>
      </c>
      <c r="C457">
        <v>10</v>
      </c>
      <c r="D457" t="s">
        <v>102</v>
      </c>
      <c r="E457" t="s">
        <v>98</v>
      </c>
      <c r="F457" t="s">
        <v>96</v>
      </c>
      <c r="G457">
        <v>1</v>
      </c>
      <c r="H457">
        <v>2E+20</v>
      </c>
      <c r="I457">
        <v>1</v>
      </c>
      <c r="J457">
        <v>1</v>
      </c>
      <c r="K457">
        <v>1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10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1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0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1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1</v>
      </c>
      <c r="U457" s="5">
        <f>IF((ContinuousStatsTable[[#This Row],[RepsRequested]]&gt;1),ContinuousStatsTable[[#This Row],[HalfWidth]],ContinuousStatsTable[[#This Row],[BatchMeansHalfWidth]])</f>
        <v>0</v>
      </c>
    </row>
    <row r="458" spans="1:21" x14ac:dyDescent="0.25">
      <c r="A458" t="s">
        <v>67</v>
      </c>
      <c r="B458" t="s">
        <v>69</v>
      </c>
      <c r="C458">
        <v>10</v>
      </c>
      <c r="D458" t="s">
        <v>103</v>
      </c>
      <c r="E458" t="s">
        <v>95</v>
      </c>
      <c r="F458" t="s">
        <v>96</v>
      </c>
      <c r="G458">
        <v>0.85267322894137698</v>
      </c>
      <c r="H458">
        <v>1.5985131979849899E-2</v>
      </c>
      <c r="I458">
        <v>0</v>
      </c>
      <c r="J458">
        <v>1</v>
      </c>
      <c r="K458">
        <v>1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10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0.85267322894137698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0.87300868153341904</v>
      </c>
      <c r="U458" s="5">
        <f>IF((ContinuousStatsTable[[#This Row],[RepsRequested]]&gt;1),ContinuousStatsTable[[#This Row],[HalfWidth]],ContinuousStatsTable[[#This Row],[BatchMeansHalfWidth]])</f>
        <v>5.1492506011230968E-3</v>
      </c>
    </row>
    <row r="459" spans="1:21" x14ac:dyDescent="0.25">
      <c r="A459" t="s">
        <v>67</v>
      </c>
      <c r="B459" t="s">
        <v>69</v>
      </c>
      <c r="C459">
        <v>10</v>
      </c>
      <c r="D459" t="s">
        <v>103</v>
      </c>
      <c r="E459" t="s">
        <v>97</v>
      </c>
      <c r="F459" t="s">
        <v>96</v>
      </c>
      <c r="G459">
        <v>0.85267322894137698</v>
      </c>
      <c r="H459">
        <v>1.5985131979849899E-2</v>
      </c>
      <c r="I459">
        <v>0</v>
      </c>
      <c r="J459">
        <v>1</v>
      </c>
      <c r="K459">
        <v>1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10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0.86586513532824916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7.1981559947843117E-3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5.1492506011230968E-3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0.85267322894137698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0.87300868153341904</v>
      </c>
      <c r="U459" s="5">
        <f>IF((ContinuousStatsTable[[#This Row],[RepsRequested]]&gt;1),ContinuousStatsTable[[#This Row],[HalfWidth]],ContinuousStatsTable[[#This Row],[BatchMeansHalfWidth]])</f>
        <v>5.1492506011230968E-3</v>
      </c>
    </row>
    <row r="460" spans="1:21" x14ac:dyDescent="0.25">
      <c r="A460" t="s">
        <v>67</v>
      </c>
      <c r="B460" t="s">
        <v>69</v>
      </c>
      <c r="C460">
        <v>10</v>
      </c>
      <c r="D460" t="s">
        <v>103</v>
      </c>
      <c r="E460" t="s">
        <v>98</v>
      </c>
      <c r="F460" t="s">
        <v>96</v>
      </c>
      <c r="G460">
        <v>1</v>
      </c>
      <c r="H460">
        <v>2E+20</v>
      </c>
      <c r="I460">
        <v>1</v>
      </c>
      <c r="J460">
        <v>1</v>
      </c>
      <c r="K460">
        <v>1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10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1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1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1</v>
      </c>
      <c r="U460" s="5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67</v>
      </c>
      <c r="B461" t="s">
        <v>69</v>
      </c>
      <c r="C461">
        <v>10</v>
      </c>
      <c r="D461" t="s">
        <v>104</v>
      </c>
      <c r="E461" t="s">
        <v>95</v>
      </c>
      <c r="F461" t="s">
        <v>96</v>
      </c>
      <c r="G461">
        <v>0.85312589705184705</v>
      </c>
      <c r="H461">
        <v>1.54470948983235E-2</v>
      </c>
      <c r="I461">
        <v>0</v>
      </c>
      <c r="J461">
        <v>1</v>
      </c>
      <c r="K461">
        <v>1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10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0.85312589705184705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0.87436351179675398</v>
      </c>
      <c r="U461" s="5">
        <f>IF((ContinuousStatsTable[[#This Row],[RepsRequested]]&gt;1),ContinuousStatsTable[[#This Row],[HalfWidth]],ContinuousStatsTable[[#This Row],[BatchMeansHalfWidth]])</f>
        <v>5.093233831135466E-3</v>
      </c>
    </row>
    <row r="462" spans="1:21" x14ac:dyDescent="0.25">
      <c r="A462" t="s">
        <v>67</v>
      </c>
      <c r="B462" t="s">
        <v>69</v>
      </c>
      <c r="C462">
        <v>10</v>
      </c>
      <c r="D462" t="s">
        <v>104</v>
      </c>
      <c r="E462" t="s">
        <v>97</v>
      </c>
      <c r="F462" t="s">
        <v>96</v>
      </c>
      <c r="G462">
        <v>0.85312589705184705</v>
      </c>
      <c r="H462">
        <v>1.54470948983235E-2</v>
      </c>
      <c r="I462">
        <v>0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10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0.86584756987747569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7.1198499498994544E-3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5.093233831135466E-3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0.85312589705184705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0.87436351179675398</v>
      </c>
      <c r="U462" s="5">
        <f>IF((ContinuousStatsTable[[#This Row],[RepsRequested]]&gt;1),ContinuousStatsTable[[#This Row],[HalfWidth]],ContinuousStatsTable[[#This Row],[BatchMeansHalfWidth]])</f>
        <v>5.093233831135466E-3</v>
      </c>
    </row>
    <row r="463" spans="1:21" x14ac:dyDescent="0.25">
      <c r="A463" t="s">
        <v>67</v>
      </c>
      <c r="B463" t="s">
        <v>69</v>
      </c>
      <c r="C463">
        <v>10</v>
      </c>
      <c r="D463" t="s">
        <v>104</v>
      </c>
      <c r="E463" t="s">
        <v>98</v>
      </c>
      <c r="F463" t="s">
        <v>96</v>
      </c>
      <c r="G463">
        <v>1</v>
      </c>
      <c r="H463">
        <v>2E+20</v>
      </c>
      <c r="I463">
        <v>1</v>
      </c>
      <c r="J463">
        <v>1</v>
      </c>
      <c r="K463">
        <v>1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10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1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0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1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1</v>
      </c>
      <c r="U463" s="5">
        <f>IF((ContinuousStatsTable[[#This Row],[RepsRequested]]&gt;1),ContinuousStatsTable[[#This Row],[HalfWidth]],ContinuousStatsTable[[#This Row],[BatchMeansHalfWidth]])</f>
        <v>0</v>
      </c>
    </row>
    <row r="464" spans="1:21" x14ac:dyDescent="0.25">
      <c r="A464" t="s">
        <v>67</v>
      </c>
      <c r="B464" t="s">
        <v>69</v>
      </c>
      <c r="C464">
        <v>10</v>
      </c>
      <c r="D464" t="s">
        <v>85</v>
      </c>
      <c r="E464" t="s">
        <v>93</v>
      </c>
      <c r="F464" t="s">
        <v>72</v>
      </c>
      <c r="G464">
        <v>4.6044719893939302E-3</v>
      </c>
      <c r="H464">
        <v>3.7683296747698802E-4</v>
      </c>
      <c r="I464">
        <v>0</v>
      </c>
      <c r="J464">
        <v>1</v>
      </c>
      <c r="K464">
        <v>0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10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4.7852429439825955E-3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2.1265852326584332E-4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1.5212674323174428E-4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4.46975375012869E-3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5.19139886192292E-3</v>
      </c>
      <c r="U464" s="5">
        <f>IF((ContinuousStatsTable[[#This Row],[RepsRequested]]&gt;1),ContinuousStatsTable[[#This Row],[HalfWidth]],ContinuousStatsTable[[#This Row],[BatchMeansHalfWidth]])</f>
        <v>1.5212674323174428E-4</v>
      </c>
    </row>
    <row r="465" spans="1:21" x14ac:dyDescent="0.25">
      <c r="A465" t="s">
        <v>67</v>
      </c>
      <c r="B465" t="s">
        <v>69</v>
      </c>
      <c r="C465">
        <v>10</v>
      </c>
      <c r="D465" t="s">
        <v>86</v>
      </c>
      <c r="E465" t="s">
        <v>93</v>
      </c>
      <c r="F465" t="s">
        <v>72</v>
      </c>
      <c r="G465">
        <v>6.8091724367877401E-3</v>
      </c>
      <c r="H465">
        <v>5.1849300203090504E-4</v>
      </c>
      <c r="I465">
        <v>0</v>
      </c>
      <c r="J465">
        <v>3</v>
      </c>
      <c r="K465">
        <v>0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10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6.9351226390634898E-3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2.6614887114389868E-4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1.9039143298908446E-4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6.4644878524100302E-3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7.1613926309565699E-3</v>
      </c>
      <c r="U465" s="5">
        <f>IF((ContinuousStatsTable[[#This Row],[RepsRequested]]&gt;1),ContinuousStatsTable[[#This Row],[HalfWidth]],ContinuousStatsTable[[#This Row],[BatchMeansHalfWidth]])</f>
        <v>1.9039143298908446E-4</v>
      </c>
    </row>
    <row r="466" spans="1:21" x14ac:dyDescent="0.25">
      <c r="A466" t="s">
        <v>67</v>
      </c>
      <c r="B466" t="s">
        <v>69</v>
      </c>
      <c r="C466">
        <v>10</v>
      </c>
      <c r="D466" t="s">
        <v>87</v>
      </c>
      <c r="E466" t="s">
        <v>93</v>
      </c>
      <c r="F466" t="s">
        <v>72</v>
      </c>
      <c r="G466">
        <v>2.6429119389876198E-3</v>
      </c>
      <c r="H466">
        <v>2.51784950752073E-4</v>
      </c>
      <c r="I466">
        <v>0</v>
      </c>
      <c r="J466">
        <v>1</v>
      </c>
      <c r="K466">
        <v>0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10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2.8613000333574589E-3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1.406815593742762E-4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1.0063752504111057E-4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2.6429119389876198E-3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3.0552991746512601E-3</v>
      </c>
      <c r="U466" s="5">
        <f>IF((ContinuousStatsTable[[#This Row],[RepsRequested]]&gt;1),ContinuousStatsTable[[#This Row],[HalfWidth]],ContinuousStatsTable[[#This Row],[BatchMeansHalfWidth]])</f>
        <v>1.0063752504111057E-4</v>
      </c>
    </row>
    <row r="467" spans="1:21" x14ac:dyDescent="0.25">
      <c r="A467" t="s">
        <v>67</v>
      </c>
      <c r="B467" t="s">
        <v>69</v>
      </c>
      <c r="C467">
        <v>10</v>
      </c>
      <c r="D467" t="s">
        <v>88</v>
      </c>
      <c r="E467" t="s">
        <v>93</v>
      </c>
      <c r="F467" t="s">
        <v>72</v>
      </c>
      <c r="G467">
        <v>3.9620127750043801E-3</v>
      </c>
      <c r="H467">
        <v>2.9583671500873397E-4</v>
      </c>
      <c r="I467">
        <v>0</v>
      </c>
      <c r="J467">
        <v>1</v>
      </c>
      <c r="K467">
        <v>0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10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4.0215426135384764E-3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1.7434539797992556E-4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1.2471918446914371E-4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3.7244128651004798E-3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4.35137641764906E-3</v>
      </c>
      <c r="U467" s="5">
        <f>IF((ContinuousStatsTable[[#This Row],[RepsRequested]]&gt;1),ContinuousStatsTable[[#This Row],[HalfWidth]],ContinuousStatsTable[[#This Row],[BatchMeansHalfWidth]])</f>
        <v>1.2471918446914371E-4</v>
      </c>
    </row>
    <row r="468" spans="1:21" x14ac:dyDescent="0.25">
      <c r="A468" t="s">
        <v>67</v>
      </c>
      <c r="B468" t="s">
        <v>69</v>
      </c>
      <c r="C468">
        <v>10</v>
      </c>
      <c r="D468" t="s">
        <v>105</v>
      </c>
      <c r="E468" t="s">
        <v>95</v>
      </c>
      <c r="F468" t="s">
        <v>96</v>
      </c>
      <c r="G468">
        <v>0.83618943731414597</v>
      </c>
      <c r="H468">
        <v>1.7522527883034999E-2</v>
      </c>
      <c r="I468">
        <v>0</v>
      </c>
      <c r="J468">
        <v>1</v>
      </c>
      <c r="K468">
        <v>1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10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0.83618943731414597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0.86586763783419696</v>
      </c>
      <c r="U468" s="5">
        <f>IF((ContinuousStatsTable[[#This Row],[RepsRequested]]&gt;1),ContinuousStatsTable[[#This Row],[HalfWidth]],ContinuousStatsTable[[#This Row],[BatchMeansHalfWidth]])</f>
        <v>6.774830857795836E-3</v>
      </c>
    </row>
    <row r="469" spans="1:21" x14ac:dyDescent="0.25">
      <c r="A469" t="s">
        <v>67</v>
      </c>
      <c r="B469" t="s">
        <v>69</v>
      </c>
      <c r="C469">
        <v>10</v>
      </c>
      <c r="D469" t="s">
        <v>105</v>
      </c>
      <c r="E469" t="s">
        <v>97</v>
      </c>
      <c r="F469" t="s">
        <v>96</v>
      </c>
      <c r="G469">
        <v>0.83618943731414597</v>
      </c>
      <c r="H469">
        <v>1.7522527883034999E-2</v>
      </c>
      <c r="I469">
        <v>0</v>
      </c>
      <c r="J469">
        <v>1</v>
      </c>
      <c r="K469">
        <v>1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10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0.83618943731414597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0.86586763783419696</v>
      </c>
      <c r="U469" s="5">
        <f>IF((ContinuousStatsTable[[#This Row],[RepsRequested]]&gt;1),ContinuousStatsTable[[#This Row],[HalfWidth]],ContinuousStatsTable[[#This Row],[BatchMeansHalfWidth]])</f>
        <v>6.774830857795836E-3</v>
      </c>
    </row>
    <row r="470" spans="1:21" x14ac:dyDescent="0.25">
      <c r="A470" t="s">
        <v>67</v>
      </c>
      <c r="B470" t="s">
        <v>69</v>
      </c>
      <c r="C470">
        <v>10</v>
      </c>
      <c r="D470" t="s">
        <v>105</v>
      </c>
      <c r="E470" t="s">
        <v>98</v>
      </c>
      <c r="F470" t="s">
        <v>96</v>
      </c>
      <c r="G470">
        <v>1</v>
      </c>
      <c r="H470">
        <v>2E+20</v>
      </c>
      <c r="I470">
        <v>1</v>
      </c>
      <c r="J470">
        <v>1</v>
      </c>
      <c r="K470">
        <v>1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10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1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0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1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1</v>
      </c>
      <c r="U470" s="5">
        <f>IF((ContinuousStatsTable[[#This Row],[RepsRequested]]&gt;1),ContinuousStatsTable[[#This Row],[HalfWidth]],ContinuousStatsTable[[#This Row],[BatchMeansHalfWidth]])</f>
        <v>0</v>
      </c>
    </row>
    <row r="471" spans="1:21" x14ac:dyDescent="0.25">
      <c r="A471" t="s">
        <v>67</v>
      </c>
      <c r="B471" t="s">
        <v>69</v>
      </c>
      <c r="C471">
        <v>10</v>
      </c>
      <c r="D471" t="s">
        <v>106</v>
      </c>
      <c r="E471" t="s">
        <v>95</v>
      </c>
      <c r="F471" t="s">
        <v>96</v>
      </c>
      <c r="G471">
        <v>0.76103833180625302</v>
      </c>
      <c r="H471">
        <v>2.0264822476788898E-2</v>
      </c>
      <c r="I471">
        <v>0</v>
      </c>
      <c r="J471">
        <v>1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10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0.75864843854708297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0.79252596119945096</v>
      </c>
      <c r="U471" s="5">
        <f>IF((ContinuousStatsTable[[#This Row],[RepsRequested]]&gt;1),ContinuousStatsTable[[#This Row],[HalfWidth]],ContinuousStatsTable[[#This Row],[BatchMeansHalfWidth]])</f>
        <v>7.9650525926457348E-3</v>
      </c>
    </row>
    <row r="472" spans="1:21" x14ac:dyDescent="0.25">
      <c r="A472" t="s">
        <v>67</v>
      </c>
      <c r="B472" t="s">
        <v>69</v>
      </c>
      <c r="C472">
        <v>10</v>
      </c>
      <c r="D472" t="s">
        <v>106</v>
      </c>
      <c r="E472" t="s">
        <v>97</v>
      </c>
      <c r="F472" t="s">
        <v>96</v>
      </c>
      <c r="G472">
        <v>0.76103833180625302</v>
      </c>
      <c r="H472">
        <v>2.0264822476788898E-2</v>
      </c>
      <c r="I472">
        <v>0</v>
      </c>
      <c r="J472">
        <v>1</v>
      </c>
      <c r="K472">
        <v>0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10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0.75864843854708297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0.79252596119945096</v>
      </c>
      <c r="U472" s="5">
        <f>IF((ContinuousStatsTable[[#This Row],[RepsRequested]]&gt;1),ContinuousStatsTable[[#This Row],[HalfWidth]],ContinuousStatsTable[[#This Row],[BatchMeansHalfWidth]])</f>
        <v>7.9650525926457348E-3</v>
      </c>
    </row>
    <row r="473" spans="1:21" x14ac:dyDescent="0.25">
      <c r="A473" t="s">
        <v>67</v>
      </c>
      <c r="B473" t="s">
        <v>69</v>
      </c>
      <c r="C473">
        <v>10</v>
      </c>
      <c r="D473" t="s">
        <v>106</v>
      </c>
      <c r="E473" t="s">
        <v>98</v>
      </c>
      <c r="F473" t="s">
        <v>96</v>
      </c>
      <c r="G473">
        <v>1</v>
      </c>
      <c r="H473">
        <v>2E+20</v>
      </c>
      <c r="I473">
        <v>1</v>
      </c>
      <c r="J473">
        <v>1</v>
      </c>
      <c r="K473">
        <v>1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10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1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1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1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67</v>
      </c>
      <c r="B474" t="s">
        <v>69</v>
      </c>
      <c r="C474">
        <v>10</v>
      </c>
      <c r="D474" t="s">
        <v>107</v>
      </c>
      <c r="E474" t="s">
        <v>95</v>
      </c>
      <c r="F474" t="s">
        <v>96</v>
      </c>
      <c r="G474">
        <v>0.84465777371794004</v>
      </c>
      <c r="H474">
        <v>1.6472116663398699E-2</v>
      </c>
      <c r="I474">
        <v>0</v>
      </c>
      <c r="J474">
        <v>1</v>
      </c>
      <c r="K474">
        <v>1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10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0.84465777371794004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0.87000527345659695</v>
      </c>
      <c r="U474" s="5">
        <f>IF((ContinuousStatsTable[[#This Row],[RepsRequested]]&gt;1),ContinuousStatsTable[[#This Row],[HalfWidth]],ContinuousStatsTable[[#This Row],[BatchMeansHalfWidth]])</f>
        <v>5.8838019158664288E-3</v>
      </c>
    </row>
    <row r="475" spans="1:21" x14ac:dyDescent="0.25">
      <c r="A475" t="s">
        <v>67</v>
      </c>
      <c r="B475" t="s">
        <v>69</v>
      </c>
      <c r="C475">
        <v>10</v>
      </c>
      <c r="D475" t="s">
        <v>107</v>
      </c>
      <c r="E475" t="s">
        <v>97</v>
      </c>
      <c r="F475" t="s">
        <v>96</v>
      </c>
      <c r="G475">
        <v>0.84465777371794004</v>
      </c>
      <c r="H475">
        <v>1.6472116663398699E-2</v>
      </c>
      <c r="I475">
        <v>0</v>
      </c>
      <c r="J475">
        <v>1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10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0.84465777371794004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0.87000527345659695</v>
      </c>
      <c r="U475" s="5">
        <f>IF((ContinuousStatsTable[[#This Row],[RepsRequested]]&gt;1),ContinuousStatsTable[[#This Row],[HalfWidth]],ContinuousStatsTable[[#This Row],[BatchMeansHalfWidth]])</f>
        <v>5.8838019158664288E-3</v>
      </c>
    </row>
    <row r="476" spans="1:21" x14ac:dyDescent="0.25">
      <c r="A476" t="s">
        <v>67</v>
      </c>
      <c r="B476" t="s">
        <v>69</v>
      </c>
      <c r="C476">
        <v>10</v>
      </c>
      <c r="D476" t="s">
        <v>107</v>
      </c>
      <c r="E476" t="s">
        <v>98</v>
      </c>
      <c r="F476" t="s">
        <v>96</v>
      </c>
      <c r="G476">
        <v>1</v>
      </c>
      <c r="H476">
        <v>2E+20</v>
      </c>
      <c r="I476">
        <v>1</v>
      </c>
      <c r="J476">
        <v>1</v>
      </c>
      <c r="K476">
        <v>1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10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1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0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1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1</v>
      </c>
      <c r="U476" s="5">
        <f>IF((ContinuousStatsTable[[#This Row],[RepsRequested]]&gt;1),ContinuousStatsTable[[#This Row],[HalfWidth]],ContinuousStatsTable[[#This Row],[BatchMeansHalfWidth]])</f>
        <v>0</v>
      </c>
    </row>
    <row r="477" spans="1:21" x14ac:dyDescent="0.25">
      <c r="A477" t="s">
        <v>67</v>
      </c>
      <c r="B477" t="s">
        <v>69</v>
      </c>
      <c r="C477">
        <v>10</v>
      </c>
      <c r="D477" t="s">
        <v>108</v>
      </c>
      <c r="E477" t="s">
        <v>95</v>
      </c>
      <c r="F477" t="s">
        <v>96</v>
      </c>
      <c r="G477">
        <v>0.83618943731414597</v>
      </c>
      <c r="H477">
        <v>1.7522527883034999E-2</v>
      </c>
      <c r="I477">
        <v>0</v>
      </c>
      <c r="J477">
        <v>1</v>
      </c>
      <c r="K477">
        <v>1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10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0.83618943731414597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0.86586763783419696</v>
      </c>
      <c r="U477" s="5">
        <f>IF((ContinuousStatsTable[[#This Row],[RepsRequested]]&gt;1),ContinuousStatsTable[[#This Row],[HalfWidth]],ContinuousStatsTable[[#This Row],[BatchMeansHalfWidth]])</f>
        <v>6.774830857795836E-3</v>
      </c>
    </row>
    <row r="478" spans="1:21" x14ac:dyDescent="0.25">
      <c r="A478" t="s">
        <v>67</v>
      </c>
      <c r="B478" t="s">
        <v>69</v>
      </c>
      <c r="C478">
        <v>10</v>
      </c>
      <c r="D478" t="s">
        <v>108</v>
      </c>
      <c r="E478" t="s">
        <v>97</v>
      </c>
      <c r="F478" t="s">
        <v>96</v>
      </c>
      <c r="G478">
        <v>0.83618943731414597</v>
      </c>
      <c r="H478">
        <v>1.7522527883034999E-2</v>
      </c>
      <c r="I478">
        <v>0</v>
      </c>
      <c r="J478">
        <v>1</v>
      </c>
      <c r="K478">
        <v>1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10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0.85369868202434152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9.4705605009894993E-3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6.774830857795836E-3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0.83618943731414597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0.86586763783419696</v>
      </c>
      <c r="U478" s="5">
        <f>IF((ContinuousStatsTable[[#This Row],[RepsRequested]]&gt;1),ContinuousStatsTable[[#This Row],[HalfWidth]],ContinuousStatsTable[[#This Row],[BatchMeansHalfWidth]])</f>
        <v>6.774830857795836E-3</v>
      </c>
    </row>
    <row r="479" spans="1:21" x14ac:dyDescent="0.25">
      <c r="A479" t="s">
        <v>67</v>
      </c>
      <c r="B479" t="s">
        <v>69</v>
      </c>
      <c r="C479">
        <v>10</v>
      </c>
      <c r="D479" t="s">
        <v>108</v>
      </c>
      <c r="E479" t="s">
        <v>98</v>
      </c>
      <c r="F479" t="s">
        <v>96</v>
      </c>
      <c r="G479">
        <v>1</v>
      </c>
      <c r="H479">
        <v>2E+20</v>
      </c>
      <c r="I479">
        <v>1</v>
      </c>
      <c r="J479">
        <v>1</v>
      </c>
      <c r="K479">
        <v>1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10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1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1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1</v>
      </c>
      <c r="U479" s="5">
        <f>IF((ContinuousStatsTable[[#This Row],[RepsRequested]]&gt;1),ContinuousStatsTable[[#This Row],[HalfWidth]],ContinuousStatsTable[[#This Row],[BatchMeansHalfWidth]])</f>
        <v>0</v>
      </c>
    </row>
    <row r="480" spans="1:21" x14ac:dyDescent="0.25">
      <c r="A480" t="s">
        <v>67</v>
      </c>
      <c r="B480" t="s">
        <v>69</v>
      </c>
      <c r="C480">
        <v>10</v>
      </c>
      <c r="D480" t="s">
        <v>109</v>
      </c>
      <c r="E480" t="s">
        <v>95</v>
      </c>
      <c r="F480" t="s">
        <v>96</v>
      </c>
      <c r="G480">
        <v>0.76103833180625302</v>
      </c>
      <c r="H480">
        <v>2.0264822476788898E-2</v>
      </c>
      <c r="I480">
        <v>0</v>
      </c>
      <c r="J480">
        <v>1</v>
      </c>
      <c r="K480">
        <v>0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10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0.75864843854708297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0.79252596119945096</v>
      </c>
      <c r="U480" s="5">
        <f>IF((ContinuousStatsTable[[#This Row],[RepsRequested]]&gt;1),ContinuousStatsTable[[#This Row],[HalfWidth]],ContinuousStatsTable[[#This Row],[BatchMeansHalfWidth]])</f>
        <v>7.9650525926457348E-3</v>
      </c>
    </row>
    <row r="481" spans="1:21" x14ac:dyDescent="0.25">
      <c r="A481" t="s">
        <v>67</v>
      </c>
      <c r="B481" t="s">
        <v>69</v>
      </c>
      <c r="C481">
        <v>10</v>
      </c>
      <c r="D481" t="s">
        <v>109</v>
      </c>
      <c r="E481" t="s">
        <v>97</v>
      </c>
      <c r="F481" t="s">
        <v>96</v>
      </c>
      <c r="G481">
        <v>0.76103833180625302</v>
      </c>
      <c r="H481">
        <v>2.0264822476788898E-2</v>
      </c>
      <c r="I481">
        <v>0</v>
      </c>
      <c r="J481">
        <v>1</v>
      </c>
      <c r="K481">
        <v>0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10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0.77500127942574837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1.1134375758682289E-2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7.9650525926457348E-3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0.75864843854708297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0.79252596119945096</v>
      </c>
      <c r="U481" s="5">
        <f>IF((ContinuousStatsTable[[#This Row],[RepsRequested]]&gt;1),ContinuousStatsTable[[#This Row],[HalfWidth]],ContinuousStatsTable[[#This Row],[BatchMeansHalfWidth]])</f>
        <v>7.9650525926457348E-3</v>
      </c>
    </row>
    <row r="482" spans="1:21" x14ac:dyDescent="0.25">
      <c r="A482" t="s">
        <v>67</v>
      </c>
      <c r="B482" t="s">
        <v>69</v>
      </c>
      <c r="C482">
        <v>10</v>
      </c>
      <c r="D482" t="s">
        <v>109</v>
      </c>
      <c r="E482" t="s">
        <v>98</v>
      </c>
      <c r="F482" t="s">
        <v>96</v>
      </c>
      <c r="G482">
        <v>1</v>
      </c>
      <c r="H482">
        <v>2E+20</v>
      </c>
      <c r="I482">
        <v>1</v>
      </c>
      <c r="J482">
        <v>1</v>
      </c>
      <c r="K482">
        <v>1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10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1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1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1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67</v>
      </c>
      <c r="B483" t="s">
        <v>69</v>
      </c>
      <c r="C483">
        <v>10</v>
      </c>
      <c r="D483" t="s">
        <v>110</v>
      </c>
      <c r="E483" t="s">
        <v>95</v>
      </c>
      <c r="F483" t="s">
        <v>96</v>
      </c>
      <c r="G483">
        <v>0.84465777371794004</v>
      </c>
      <c r="H483">
        <v>1.6472116663398699E-2</v>
      </c>
      <c r="I483">
        <v>0</v>
      </c>
      <c r="J483">
        <v>1</v>
      </c>
      <c r="K483">
        <v>1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10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0.84465777371794004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0.87000527345659695</v>
      </c>
      <c r="U483" s="5">
        <f>IF((ContinuousStatsTable[[#This Row],[RepsRequested]]&gt;1),ContinuousStatsTable[[#This Row],[HalfWidth]],ContinuousStatsTable[[#This Row],[BatchMeansHalfWidth]])</f>
        <v>5.8838019158664288E-3</v>
      </c>
    </row>
    <row r="484" spans="1:21" x14ac:dyDescent="0.25">
      <c r="A484" t="s">
        <v>67</v>
      </c>
      <c r="B484" t="s">
        <v>69</v>
      </c>
      <c r="C484">
        <v>10</v>
      </c>
      <c r="D484" t="s">
        <v>110</v>
      </c>
      <c r="E484" t="s">
        <v>97</v>
      </c>
      <c r="F484" t="s">
        <v>96</v>
      </c>
      <c r="G484">
        <v>0.84465777371794004</v>
      </c>
      <c r="H484">
        <v>1.6472116663398699E-2</v>
      </c>
      <c r="I484">
        <v>0</v>
      </c>
      <c r="J484">
        <v>1</v>
      </c>
      <c r="K484">
        <v>1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10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0.85958220767724303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8.2249879280646958E-3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5.8838019158664288E-3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0.84465777371794004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0.87000527345659695</v>
      </c>
      <c r="U484" s="5">
        <f>IF((ContinuousStatsTable[[#This Row],[RepsRequested]]&gt;1),ContinuousStatsTable[[#This Row],[HalfWidth]],ContinuousStatsTable[[#This Row],[BatchMeansHalfWidth]])</f>
        <v>5.8838019158664288E-3</v>
      </c>
    </row>
    <row r="485" spans="1:21" x14ac:dyDescent="0.25">
      <c r="A485" t="s">
        <v>67</v>
      </c>
      <c r="B485" t="s">
        <v>69</v>
      </c>
      <c r="C485">
        <v>10</v>
      </c>
      <c r="D485" t="s">
        <v>110</v>
      </c>
      <c r="E485" t="s">
        <v>98</v>
      </c>
      <c r="F485" t="s">
        <v>96</v>
      </c>
      <c r="G485">
        <v>1</v>
      </c>
      <c r="H485">
        <v>2E+20</v>
      </c>
      <c r="I485">
        <v>1</v>
      </c>
      <c r="J485">
        <v>1</v>
      </c>
      <c r="K485">
        <v>1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10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1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1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1</v>
      </c>
      <c r="U485" s="5">
        <f>IF((ContinuousStatsTable[[#This Row],[RepsRequested]]&gt;1),ContinuousStatsTable[[#This Row],[HalfWidth]],ContinuousStatsTable[[#This Row],[BatchMeansHalfWidth]])</f>
        <v>0</v>
      </c>
    </row>
    <row r="486" spans="1:21" x14ac:dyDescent="0.25">
      <c r="A486" t="s">
        <v>67</v>
      </c>
      <c r="B486" t="s">
        <v>69</v>
      </c>
      <c r="C486">
        <v>10</v>
      </c>
      <c r="D486" t="s">
        <v>90</v>
      </c>
      <c r="E486" t="s">
        <v>93</v>
      </c>
      <c r="F486" t="s">
        <v>72</v>
      </c>
      <c r="G486">
        <v>2.3924416646278499</v>
      </c>
      <c r="H486">
        <v>0.47787885041214601</v>
      </c>
      <c r="I486">
        <v>0</v>
      </c>
      <c r="J486">
        <v>25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10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2.9620150611544198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0.41583676199851366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0.29747169945211638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2.3924416646278499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3.7422761400348601</v>
      </c>
      <c r="U486" s="5">
        <f>IF((ContinuousStatsTable[[#This Row],[RepsRequested]]&gt;1),ContinuousStatsTable[[#This Row],[HalfWidth]],ContinuousStatsTable[[#This Row],[BatchMeansHalfWidth]])</f>
        <v>0.29747169945211638</v>
      </c>
    </row>
    <row r="487" spans="1:21" x14ac:dyDescent="0.25">
      <c r="A487" t="s">
        <v>67</v>
      </c>
      <c r="B487" t="s">
        <v>69</v>
      </c>
      <c r="C487">
        <v>10</v>
      </c>
      <c r="D487" t="s">
        <v>91</v>
      </c>
      <c r="E487" t="s">
        <v>93</v>
      </c>
      <c r="F487" t="s">
        <v>72</v>
      </c>
      <c r="G487">
        <v>1.5834094957481399</v>
      </c>
      <c r="H487">
        <v>0.663749836858881</v>
      </c>
      <c r="I487">
        <v>0</v>
      </c>
      <c r="J487">
        <v>26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10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1.5119585770811181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0.17059044154543959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0.1220330504521152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1.2409432816355801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1.7520834896992801</v>
      </c>
      <c r="U487" s="5">
        <f>IF((ContinuousStatsTable[[#This Row],[RepsRequested]]&gt;1),ContinuousStatsTable[[#This Row],[HalfWidth]],ContinuousStatsTable[[#This Row],[BatchMeansHalfWidth]])</f>
        <v>0.1220330504521152</v>
      </c>
    </row>
    <row r="488" spans="1:21" x14ac:dyDescent="0.25">
      <c r="A488" t="s">
        <v>67</v>
      </c>
      <c r="B488" t="s">
        <v>69</v>
      </c>
      <c r="C488">
        <v>10</v>
      </c>
      <c r="D488" t="s">
        <v>92</v>
      </c>
      <c r="E488" t="s">
        <v>93</v>
      </c>
      <c r="F488" t="s">
        <v>72</v>
      </c>
      <c r="G488">
        <v>2.45427652881967</v>
      </c>
      <c r="H488">
        <v>0.76119475794580205</v>
      </c>
      <c r="I488">
        <v>0</v>
      </c>
      <c r="J488">
        <v>29</v>
      </c>
      <c r="K488">
        <v>1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10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2.5461678573548379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0.18978609869233531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0.1357647963567922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2.1762907983550299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2.7399798743587298</v>
      </c>
      <c r="U488" s="5">
        <f>IF((ContinuousStatsTable[[#This Row],[RepsRequested]]&gt;1),ContinuousStatsTable[[#This Row],[HalfWidth]],ContinuousStatsTable[[#This Row],[BatchMeansHalfWidth]])</f>
        <v>0.1357647963567922</v>
      </c>
    </row>
    <row r="489" spans="1:21" x14ac:dyDescent="0.25">
      <c r="A489" t="s">
        <v>67</v>
      </c>
      <c r="B489" t="s">
        <v>69</v>
      </c>
      <c r="C489">
        <v>10</v>
      </c>
      <c r="D489" t="s">
        <v>111</v>
      </c>
      <c r="E489" t="s">
        <v>97</v>
      </c>
      <c r="F489" t="s">
        <v>112</v>
      </c>
      <c r="G489">
        <v>0.79745015852854995</v>
      </c>
      <c r="H489">
        <v>8.9835207290321906E-3</v>
      </c>
      <c r="I489">
        <v>0</v>
      </c>
      <c r="J489">
        <v>2</v>
      </c>
      <c r="K489">
        <v>1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10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0.80316230491487484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4.6712966449025829E-3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3.3416443147686586E-3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0.79714222975806304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0.81086270984605202</v>
      </c>
      <c r="U489" s="5">
        <f>IF((ContinuousStatsTable[[#This Row],[RepsRequested]]&gt;1),ContinuousStatsTable[[#This Row],[HalfWidth]],ContinuousStatsTable[[#This Row],[BatchMeansHalfWidth]])</f>
        <v>3.3416443147686586E-3</v>
      </c>
    </row>
    <row r="490" spans="1:21" x14ac:dyDescent="0.25">
      <c r="A490" t="s">
        <v>67</v>
      </c>
      <c r="B490" t="s">
        <v>69</v>
      </c>
      <c r="C490">
        <v>10</v>
      </c>
      <c r="D490" t="s">
        <v>111</v>
      </c>
      <c r="E490" t="s">
        <v>98</v>
      </c>
      <c r="F490" t="s">
        <v>112</v>
      </c>
      <c r="G490">
        <v>2</v>
      </c>
      <c r="H490">
        <v>2E+20</v>
      </c>
      <c r="I490">
        <v>2</v>
      </c>
      <c r="J490">
        <v>2</v>
      </c>
      <c r="K490">
        <v>2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10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2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2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2</v>
      </c>
      <c r="U490" s="5">
        <f>IF((ContinuousStatsTable[[#This Row],[RepsRequested]]&gt;1),ContinuousStatsTable[[#This Row],[HalfWidth]],ContinuousStatsTable[[#This Row],[BatchMeansHalfWidth]])</f>
        <v>0</v>
      </c>
    </row>
    <row r="491" spans="1:21" x14ac:dyDescent="0.25">
      <c r="A491" t="s">
        <v>67</v>
      </c>
      <c r="B491" t="s">
        <v>69</v>
      </c>
      <c r="C491">
        <v>10</v>
      </c>
      <c r="D491" t="s">
        <v>111</v>
      </c>
      <c r="E491" t="s">
        <v>113</v>
      </c>
      <c r="F491" t="s">
        <v>112</v>
      </c>
      <c r="G491">
        <v>0.39872507926427703</v>
      </c>
      <c r="H491">
        <v>4.4917603645160996E-3</v>
      </c>
      <c r="I491">
        <v>0</v>
      </c>
      <c r="J491">
        <v>1</v>
      </c>
      <c r="K491">
        <v>0.5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10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0.40158115245743764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2.3356483224507181E-3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1.6708221573839188E-3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0.39857111487903202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0.40543135492302601</v>
      </c>
      <c r="U491" s="5">
        <f>IF((ContinuousStatsTable[[#This Row],[RepsRequested]]&gt;1),ContinuousStatsTable[[#This Row],[HalfWidth]],ContinuousStatsTable[[#This Row],[BatchMeansHalfWidth]])</f>
        <v>1.6708221573839188E-3</v>
      </c>
    </row>
  </sheetData>
  <phoneticPr fontId="2" type="noConversion"/>
  <conditionalFormatting sqref="H2:H491">
    <cfRule type="expression" dxfId="18" priority="9">
      <formula>H2=200000000000000000000</formula>
    </cfRule>
  </conditionalFormatting>
  <conditionalFormatting sqref="H2:H491">
    <cfRule type="expression" dxfId="17" priority="7">
      <formula>H2=300000000000000000000</formula>
    </cfRule>
  </conditionalFormatting>
  <conditionalFormatting sqref="M2:U491">
    <cfRule type="expression" dxfId="16" priority="5">
      <formula>MOD(ROW(),2)=0</formula>
    </cfRule>
  </conditionalFormatting>
  <conditionalFormatting sqref="U2:U49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491 U2:U49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71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7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114</v>
      </c>
      <c r="E2" t="s">
        <v>115</v>
      </c>
      <c r="F2" t="s">
        <v>96</v>
      </c>
      <c r="G2">
        <v>12468</v>
      </c>
      <c r="H2">
        <v>0</v>
      </c>
      <c r="I2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12454.5</v>
      </c>
      <c r="L2" cm="1">
        <f t="array" ref="L2">IFERROR(_xlfn.STDEV.S(IF((OutputTable[GroupByKey]=OutputTable[[#This Row],[GroupByKey]]),(OutputTable[GroupByKey]=OutputTable[[#This Row],[GroupByKey]])*OutputTable[RecordedValue])),0)</f>
        <v>108.84979456929526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2" cm="1">
        <f t="array" ref="O2">MIN(IF((OutputTable[GroupByKey]=OutputTable[[#This Row],[GroupByKey]]),(OutputTable[GroupByKey]=OutputTable[[#This Row],[GroupByKey]])*OutputTable[RecordedValue]))</f>
        <v>12234</v>
      </c>
      <c r="P2" cm="1">
        <f t="array" ref="P2">MAX(IF((OutputTable[GroupByKey]=OutputTable[[#This Row],[GroupByKey]]),(OutputTable[GroupByKey]=OutputTable[[#This Row],[GroupByKey]])*OutputTable[RecordedValue]))</f>
        <v>12593</v>
      </c>
    </row>
    <row r="3" spans="1:16" x14ac:dyDescent="0.25">
      <c r="A3" t="s">
        <v>67</v>
      </c>
      <c r="B3" t="s">
        <v>69</v>
      </c>
      <c r="C3">
        <v>1</v>
      </c>
      <c r="D3" t="s">
        <v>116</v>
      </c>
      <c r="E3" t="s">
        <v>117</v>
      </c>
      <c r="F3" t="s">
        <v>96</v>
      </c>
      <c r="G3">
        <v>0.75941584946369001</v>
      </c>
      <c r="H3">
        <v>0</v>
      </c>
      <c r="I3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0.75203828164859643</v>
      </c>
      <c r="L3" cm="1">
        <f t="array" ref="L3">IFERROR(_xlfn.STDEV.S(IF((OutputTable[GroupByKey]=OutputTable[[#This Row],[GroupByKey]]),(OutputTable[GroupByKey]=OutputTable[[#This Row],[GroupByKey]])*OutputTable[RecordedValue])),0)</f>
        <v>9.2748854731057942E-3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3" cm="1">
        <f t="array" ref="O3">MIN(IF((OutputTable[GroupByKey]=OutputTable[[#This Row],[GroupByKey]]),(OutputTable[GroupByKey]=OutputTable[[#This Row],[GroupByKey]])*OutputTable[RecordedValue]))</f>
        <v>0.73578099184835299</v>
      </c>
      <c r="P3" cm="1">
        <f t="array" ref="P3">MAX(IF((OutputTable[GroupByKey]=OutputTable[[#This Row],[GroupByKey]]),(OutputTable[GroupByKey]=OutputTable[[#This Row],[GroupByKey]])*OutputTable[RecordedValue]))</f>
        <v>0.76817992377286104</v>
      </c>
    </row>
    <row r="4" spans="1:16" x14ac:dyDescent="0.25">
      <c r="A4" t="s">
        <v>67</v>
      </c>
      <c r="B4" t="s">
        <v>69</v>
      </c>
      <c r="C4">
        <v>1</v>
      </c>
      <c r="D4" t="s">
        <v>118</v>
      </c>
      <c r="E4" t="s">
        <v>115</v>
      </c>
      <c r="F4" t="s">
        <v>96</v>
      </c>
      <c r="G4">
        <v>6280</v>
      </c>
      <c r="H4">
        <v>0</v>
      </c>
      <c r="I4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6223.9</v>
      </c>
      <c r="L4" cm="1">
        <f t="array" ref="L4">IFERROR(_xlfn.STDEV.S(IF((OutputTable[GroupByKey]=OutputTable[[#This Row],[GroupByKey]]),(OutputTable[GroupByKey]=OutputTable[[#This Row],[GroupByKey]])*OutputTable[RecordedValue])),0)</f>
        <v>93.753162909608307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4" cm="1">
        <f t="array" ref="O4">MIN(IF((OutputTable[GroupByKey]=OutputTable[[#This Row],[GroupByKey]]),(OutputTable[GroupByKey]=OutputTable[[#This Row],[GroupByKey]])*OutputTable[RecordedValue]))</f>
        <v>6030</v>
      </c>
      <c r="P4" cm="1">
        <f t="array" ref="P4">MAX(IF((OutputTable[GroupByKey]=OutputTable[[#This Row],[GroupByKey]]),(OutputTable[GroupByKey]=OutputTable[[#This Row],[GroupByKey]])*OutputTable[RecordedValue]))</f>
        <v>6330</v>
      </c>
    </row>
    <row r="5" spans="1:16" x14ac:dyDescent="0.25">
      <c r="A5" t="s">
        <v>67</v>
      </c>
      <c r="B5" t="s">
        <v>69</v>
      </c>
      <c r="C5">
        <v>1</v>
      </c>
      <c r="D5" t="s">
        <v>119</v>
      </c>
      <c r="E5" t="s">
        <v>117</v>
      </c>
      <c r="F5" t="s">
        <v>96</v>
      </c>
      <c r="G5">
        <v>0.75525335881657396</v>
      </c>
      <c r="H5">
        <v>0</v>
      </c>
      <c r="I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0.75111586075292547</v>
      </c>
      <c r="L5" cm="1">
        <f t="array" ref="L5">IFERROR(_xlfn.STDEV.S(IF((OutputTable[GroupByKey]=OutputTable[[#This Row],[GroupByKey]]),(OutputTable[GroupByKey]=OutputTable[[#This Row],[GroupByKey]])*OutputTable[RecordedValue])),0)</f>
        <v>9.1926752531366566E-3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5" cm="1">
        <f t="array" ref="O5">MIN(IF((OutputTable[GroupByKey]=OutputTable[[#This Row],[GroupByKey]]),(OutputTable[GroupByKey]=OutputTable[[#This Row],[GroupByKey]])*OutputTable[RecordedValue]))</f>
        <v>0.73777590022083495</v>
      </c>
      <c r="P5" cm="1">
        <f t="array" ref="P5">MAX(IF((OutputTable[GroupByKey]=OutputTable[[#This Row],[GroupByKey]]),(OutputTable[GroupByKey]=OutputTable[[#This Row],[GroupByKey]])*OutputTable[RecordedValue]))</f>
        <v>0.76666045600624</v>
      </c>
    </row>
    <row r="6" spans="1:16" x14ac:dyDescent="0.25">
      <c r="A6" t="s">
        <v>67</v>
      </c>
      <c r="B6" t="s">
        <v>69</v>
      </c>
      <c r="C6">
        <v>1</v>
      </c>
      <c r="D6" t="s">
        <v>120</v>
      </c>
      <c r="E6" t="s">
        <v>115</v>
      </c>
      <c r="F6" t="s">
        <v>96</v>
      </c>
      <c r="G6">
        <v>6188</v>
      </c>
      <c r="H6">
        <v>0</v>
      </c>
      <c r="I6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6230.6</v>
      </c>
      <c r="L6" cm="1">
        <f t="array" ref="L6">IFERROR(_xlfn.STDEV.S(IF((OutputTable[GroupByKey]=OutputTable[[#This Row],[GroupByKey]]),(OutputTable[GroupByKey]=OutputTable[[#This Row],[GroupByKey]])*OutputTable[RecordedValue])),0)</f>
        <v>52.995177977707456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6" cm="1">
        <f t="array" ref="O6">MIN(IF((OutputTable[GroupByKey]=OutputTable[[#This Row],[GroupByKey]]),(OutputTable[GroupByKey]=OutputTable[[#This Row],[GroupByKey]])*OutputTable[RecordedValue]))</f>
        <v>6182</v>
      </c>
      <c r="P6" cm="1">
        <f t="array" ref="P6">MAX(IF((OutputTable[GroupByKey]=OutputTable[[#This Row],[GroupByKey]]),(OutputTable[GroupByKey]=OutputTable[[#This Row],[GroupByKey]])*OutputTable[RecordedValue]))</f>
        <v>6338</v>
      </c>
    </row>
    <row r="7" spans="1:16" x14ac:dyDescent="0.25">
      <c r="A7" t="s">
        <v>67</v>
      </c>
      <c r="B7" t="s">
        <v>69</v>
      </c>
      <c r="C7">
        <v>1</v>
      </c>
      <c r="D7" t="s">
        <v>121</v>
      </c>
      <c r="E7" t="s">
        <v>117</v>
      </c>
      <c r="F7" t="s">
        <v>96</v>
      </c>
      <c r="G7">
        <v>0.76357834011080805</v>
      </c>
      <c r="H7">
        <v>0</v>
      </c>
      <c r="I7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0.75296070254426462</v>
      </c>
      <c r="L7" cm="1">
        <f t="array" ref="L7">IFERROR(_xlfn.STDEV.S(IF((OutputTable[GroupByKey]=OutputTable[[#This Row],[GroupByKey]]),(OutputTable[GroupByKey]=OutputTable[[#This Row],[GroupByKey]])*OutputTable[RecordedValue])),0)</f>
        <v>1.0201996050203582E-2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7" cm="1">
        <f t="array" ref="O7">MIN(IF((OutputTable[GroupByKey]=OutputTable[[#This Row],[GroupByKey]]),(OutputTable[GroupByKey]=OutputTable[[#This Row],[GroupByKey]])*OutputTable[RecordedValue]))</f>
        <v>0.73378608347586405</v>
      </c>
      <c r="P7" cm="1">
        <f t="array" ref="P7">MAX(IF((OutputTable[GroupByKey]=OutputTable[[#This Row],[GroupByKey]]),(OutputTable[GroupByKey]=OutputTable[[#This Row],[GroupByKey]])*OutputTable[RecordedValue]))</f>
        <v>0.76969939153947697</v>
      </c>
    </row>
    <row r="8" spans="1:16" x14ac:dyDescent="0.25">
      <c r="A8" t="s">
        <v>67</v>
      </c>
      <c r="B8" t="s">
        <v>69</v>
      </c>
      <c r="C8">
        <v>1</v>
      </c>
      <c r="D8" t="s">
        <v>122</v>
      </c>
      <c r="E8" t="s">
        <v>123</v>
      </c>
      <c r="F8" t="s">
        <v>75</v>
      </c>
      <c r="G8">
        <v>12468</v>
      </c>
      <c r="H8">
        <v>0</v>
      </c>
      <c r="I8" t="str">
        <f>OutputTable[[#This Row],[ProjectName]]&amp;OutputTable[[#This Row],[Name]]&amp;OutputTable[[#This Row],[Type]]&amp;OutputTable[[#This Row],[Source]]</f>
        <v>Unnamed ProjectEntity 1.NumberInNumber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12455.3</v>
      </c>
      <c r="L8" cm="1">
        <f t="array" ref="L8">IFERROR(_xlfn.STDEV.S(IF((OutputTable[GroupByKey]=OutputTable[[#This Row],[GroupByKey]]),(OutputTable[GroupByKey]=OutputTable[[#This Row],[GroupByKey]])*OutputTable[RecordedValue])),0)</f>
        <v>109.29577606964813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8" cm="1">
        <f t="array" ref="O8">MIN(IF((OutputTable[GroupByKey]=OutputTable[[#This Row],[GroupByKey]]),(OutputTable[GroupByKey]=OutputTable[[#This Row],[GroupByKey]])*OutputTable[RecordedValue]))</f>
        <v>12234</v>
      </c>
      <c r="P8" cm="1">
        <f t="array" ref="P8">MAX(IF((OutputTable[GroupByKey]=OutputTable[[#This Row],[GroupByKey]]),(OutputTable[GroupByKey]=OutputTable[[#This Row],[GroupByKey]])*OutputTable[RecordedValue]))</f>
        <v>12594</v>
      </c>
    </row>
    <row r="9" spans="1:16" x14ac:dyDescent="0.25">
      <c r="A9" t="s">
        <v>67</v>
      </c>
      <c r="B9" t="s">
        <v>69</v>
      </c>
      <c r="C9">
        <v>1</v>
      </c>
      <c r="D9" t="s">
        <v>124</v>
      </c>
      <c r="E9" t="s">
        <v>125</v>
      </c>
      <c r="F9" t="s">
        <v>75</v>
      </c>
      <c r="G9">
        <v>12456</v>
      </c>
      <c r="H9">
        <v>0</v>
      </c>
      <c r="I9" t="str">
        <f>OutputTable[[#This Row],[ProjectName]]&amp;OutputTable[[#This Row],[Name]]&amp;OutputTable[[#This Row],[Type]]&amp;OutputTable[[#This Row],[Source]]</f>
        <v>Unnamed ProjectEntity 1.NumberOutNumber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12441.9</v>
      </c>
      <c r="L9" cm="1">
        <f t="array" ref="L9">IFERROR(_xlfn.STDEV.S(IF((OutputTable[GroupByKey]=OutputTable[[#This Row],[GroupByKey]]),(OutputTable[GroupByKey]=OutputTable[[#This Row],[GroupByKey]])*OutputTable[RecordedValue])),0)</f>
        <v>109.66965548105516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9" cm="1">
        <f t="array" ref="O9">MIN(IF((OutputTable[GroupByKey]=OutputTable[[#This Row],[GroupByKey]]),(OutputTable[GroupByKey]=OutputTable[[#This Row],[GroupByKey]])*OutputTable[RecordedValue]))</f>
        <v>12224</v>
      </c>
      <c r="P9" cm="1">
        <f t="array" ref="P9">MAX(IF((OutputTable[GroupByKey]=OutputTable[[#This Row],[GroupByKey]]),(OutputTable[GroupByKey]=OutputTable[[#This Row],[GroupByKey]])*OutputTable[RecordedValue]))</f>
        <v>12584</v>
      </c>
    </row>
    <row r="10" spans="1:16" x14ac:dyDescent="0.25">
      <c r="A10" t="s">
        <v>67</v>
      </c>
      <c r="B10" t="s">
        <v>69</v>
      </c>
      <c r="C10">
        <v>1</v>
      </c>
      <c r="D10" t="s">
        <v>126</v>
      </c>
      <c r="E10" t="s">
        <v>115</v>
      </c>
      <c r="F10" t="s">
        <v>96</v>
      </c>
      <c r="G10">
        <v>4153</v>
      </c>
      <c r="H10">
        <v>0</v>
      </c>
      <c r="I10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4151.1000000000004</v>
      </c>
      <c r="L10" cm="1">
        <f t="array" ref="L10">IFERROR(_xlfn.STDEV.S(IF((OutputTable[GroupByKey]=OutputTable[[#This Row],[GroupByKey]]),(OutputTable[GroupByKey]=OutputTable[[#This Row],[GroupByKey]])*OutputTable[RecordedValue])),0)</f>
        <v>38.420046850570081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10" cm="1">
        <f t="array" ref="O10">MIN(IF((OutputTable[GroupByKey]=OutputTable[[#This Row],[GroupByKey]]),(OutputTable[GroupByKey]=OutputTable[[#This Row],[GroupByKey]])*OutputTable[RecordedValue]))</f>
        <v>4077</v>
      </c>
      <c r="P10" cm="1">
        <f t="array" ref="P10">MAX(IF((OutputTable[GroupByKey]=OutputTable[[#This Row],[GroupByKey]]),(OutputTable[GroupByKey]=OutputTable[[#This Row],[GroupByKey]])*OutputTable[RecordedValue]))</f>
        <v>4202</v>
      </c>
    </row>
    <row r="11" spans="1:16" x14ac:dyDescent="0.25">
      <c r="A11" t="s">
        <v>67</v>
      </c>
      <c r="B11" t="s">
        <v>69</v>
      </c>
      <c r="C11">
        <v>1</v>
      </c>
      <c r="D11" t="s">
        <v>127</v>
      </c>
      <c r="E11" t="s">
        <v>117</v>
      </c>
      <c r="F11" t="s">
        <v>96</v>
      </c>
      <c r="G11">
        <v>0.86735749968503995</v>
      </c>
      <c r="H11">
        <v>0</v>
      </c>
      <c r="I11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0.86617223927529052</v>
      </c>
      <c r="L11" cm="1">
        <f t="array" ref="L11">IFERROR(_xlfn.STDEV.S(IF((OutputTable[GroupByKey]=OutputTable[[#This Row],[GroupByKey]]),(OutputTable[GroupByKey]=OutputTable[[#This Row],[GroupByKey]])*OutputTable[RecordedValue])),0)</f>
        <v>7.3264677567561349E-3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11" cm="1">
        <f t="array" ref="O11">MIN(IF((OutputTable[GroupByKey]=OutputTable[[#This Row],[GroupByKey]]),(OutputTable[GroupByKey]=OutputTable[[#This Row],[GroupByKey]])*OutputTable[RecordedValue]))</f>
        <v>0.85300206766602205</v>
      </c>
      <c r="P11" cm="1">
        <f t="array" ref="P11">MAX(IF((OutputTable[GroupByKey]=OutputTable[[#This Row],[GroupByKey]]),(OutputTable[GroupByKey]=OutputTable[[#This Row],[GroupByKey]])*OutputTable[RecordedValue]))</f>
        <v>0.87632698102425799</v>
      </c>
    </row>
    <row r="12" spans="1:16" x14ac:dyDescent="0.25">
      <c r="A12" t="s">
        <v>67</v>
      </c>
      <c r="B12" t="s">
        <v>69</v>
      </c>
      <c r="C12">
        <v>1</v>
      </c>
      <c r="D12" t="s">
        <v>128</v>
      </c>
      <c r="E12" t="s">
        <v>115</v>
      </c>
      <c r="F12" t="s">
        <v>96</v>
      </c>
      <c r="G12">
        <v>4142</v>
      </c>
      <c r="H12">
        <v>0</v>
      </c>
      <c r="I12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4147.7</v>
      </c>
      <c r="L12" cm="1">
        <f t="array" ref="L12">IFERROR(_xlfn.STDEV.S(IF((OutputTable[GroupByKey]=OutputTable[[#This Row],[GroupByKey]]),(OutputTable[GroupByKey]=OutputTable[[#This Row],[GroupByKey]])*OutputTable[RecordedValue])),0)</f>
        <v>35.339779286237771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12" cm="1">
        <f t="array" ref="O12">MIN(IF((OutputTable[GroupByKey]=OutputTable[[#This Row],[GroupByKey]]),(OutputTable[GroupByKey]=OutputTable[[#This Row],[GroupByKey]])*OutputTable[RecordedValue]))</f>
        <v>4072</v>
      </c>
      <c r="P12" cm="1">
        <f t="array" ref="P12">MAX(IF((OutputTable[GroupByKey]=OutputTable[[#This Row],[GroupByKey]]),(OutputTable[GroupByKey]=OutputTable[[#This Row],[GroupByKey]])*OutputTable[RecordedValue]))</f>
        <v>4199</v>
      </c>
    </row>
    <row r="13" spans="1:16" x14ac:dyDescent="0.25">
      <c r="A13" t="s">
        <v>67</v>
      </c>
      <c r="B13" t="s">
        <v>69</v>
      </c>
      <c r="C13">
        <v>1</v>
      </c>
      <c r="D13" t="s">
        <v>129</v>
      </c>
      <c r="E13" t="s">
        <v>117</v>
      </c>
      <c r="F13" t="s">
        <v>96</v>
      </c>
      <c r="G13">
        <v>0.86783609808824702</v>
      </c>
      <c r="H13">
        <v>0</v>
      </c>
      <c r="I13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0.86586513532824916</v>
      </c>
      <c r="L13" cm="1">
        <f t="array" ref="L13">IFERROR(_xlfn.STDEV.S(IF((OutputTable[GroupByKey]=OutputTable[[#This Row],[GroupByKey]]),(OutputTable[GroupByKey]=OutputTable[[#This Row],[GroupByKey]])*OutputTable[RecordedValue])),0)</f>
        <v>7.1981559947843117E-3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13" cm="1">
        <f t="array" ref="O13">MIN(IF((OutputTable[GroupByKey]=OutputTable[[#This Row],[GroupByKey]]),(OutputTable[GroupByKey]=OutputTable[[#This Row],[GroupByKey]])*OutputTable[RecordedValue]))</f>
        <v>0.85267322894137698</v>
      </c>
      <c r="P13" cm="1">
        <f t="array" ref="P13">MAX(IF((OutputTable[GroupByKey]=OutputTable[[#This Row],[GroupByKey]]),(OutputTable[GroupByKey]=OutputTable[[#This Row],[GroupByKey]])*OutputTable[RecordedValue]))</f>
        <v>0.87300868153341904</v>
      </c>
    </row>
    <row r="14" spans="1:16" x14ac:dyDescent="0.25">
      <c r="A14" t="s">
        <v>67</v>
      </c>
      <c r="B14" t="s">
        <v>69</v>
      </c>
      <c r="C14">
        <v>1</v>
      </c>
      <c r="D14" t="s">
        <v>130</v>
      </c>
      <c r="E14" t="s">
        <v>115</v>
      </c>
      <c r="F14" t="s">
        <v>96</v>
      </c>
      <c r="G14">
        <v>4164</v>
      </c>
      <c r="H14">
        <v>0</v>
      </c>
      <c r="I14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4145.8</v>
      </c>
      <c r="L14" cm="1">
        <f t="array" ref="L14">IFERROR(_xlfn.STDEV.S(IF((OutputTable[GroupByKey]=OutputTable[[#This Row],[GroupByKey]]),(OutputTable[GroupByKey]=OutputTable[[#This Row],[GroupByKey]])*OutputTable[RecordedValue])),0)</f>
        <v>38.883872692358665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14" cm="1">
        <f t="array" ref="O14">MIN(IF((OutputTable[GroupByKey]=OutputTable[[#This Row],[GroupByKey]]),(OutputTable[GroupByKey]=OutputTable[[#This Row],[GroupByKey]])*OutputTable[RecordedValue]))</f>
        <v>4076</v>
      </c>
      <c r="P14" cm="1">
        <f t="array" ref="P14">MAX(IF((OutputTable[GroupByKey]=OutputTable[[#This Row],[GroupByKey]]),(OutputTable[GroupByKey]=OutputTable[[#This Row],[GroupByKey]])*OutputTable[RecordedValue]))</f>
        <v>4184</v>
      </c>
    </row>
    <row r="15" spans="1:16" x14ac:dyDescent="0.25">
      <c r="A15" t="s">
        <v>67</v>
      </c>
      <c r="B15" t="s">
        <v>69</v>
      </c>
      <c r="C15">
        <v>1</v>
      </c>
      <c r="D15" t="s">
        <v>131</v>
      </c>
      <c r="E15" t="s">
        <v>117</v>
      </c>
      <c r="F15" t="s">
        <v>96</v>
      </c>
      <c r="G15">
        <v>0.86805729565568301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0.86584756987747569</v>
      </c>
      <c r="L15" cm="1">
        <f t="array" ref="L15">IFERROR(_xlfn.STDEV.S(IF((OutputTable[GroupByKey]=OutputTable[[#This Row],[GroupByKey]]),(OutputTable[GroupByKey]=OutputTable[[#This Row],[GroupByKey]])*OutputTable[RecordedValue])),0)</f>
        <v>7.1198499498994544E-3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15" cm="1">
        <f t="array" ref="O15">MIN(IF((OutputTable[GroupByKey]=OutputTable[[#This Row],[GroupByKey]]),(OutputTable[GroupByKey]=OutputTable[[#This Row],[GroupByKey]])*OutputTable[RecordedValue]))</f>
        <v>0.85312589705184705</v>
      </c>
      <c r="P15" cm="1">
        <f t="array" ref="P15">MAX(IF((OutputTable[GroupByKey]=OutputTable[[#This Row],[GroupByKey]]),(OutputTable[GroupByKey]=OutputTable[[#This Row],[GroupByKey]])*OutputTable[RecordedValue]))</f>
        <v>0.87436351179675398</v>
      </c>
    </row>
    <row r="16" spans="1:16" x14ac:dyDescent="0.25">
      <c r="A16" t="s">
        <v>67</v>
      </c>
      <c r="B16" t="s">
        <v>69</v>
      </c>
      <c r="C16">
        <v>1</v>
      </c>
      <c r="D16" t="s">
        <v>132</v>
      </c>
      <c r="E16" t="s">
        <v>125</v>
      </c>
      <c r="F16" t="s">
        <v>133</v>
      </c>
      <c r="G16">
        <v>12456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12441.9</v>
      </c>
      <c r="L16" cm="1">
        <f t="array" ref="L16">IFERROR(_xlfn.STDEV.S(IF((OutputTable[GroupByKey]=OutputTable[[#This Row],[GroupByKey]]),(OutputTable[GroupByKey]=OutputTable[[#This Row],[GroupByKey]])*OutputTable[RecordedValue])),0)</f>
        <v>109.66965548105516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16" cm="1">
        <f t="array" ref="O16">MIN(IF((OutputTable[GroupByKey]=OutputTable[[#This Row],[GroupByKey]]),(OutputTable[GroupByKey]=OutputTable[[#This Row],[GroupByKey]])*OutputTable[RecordedValue]))</f>
        <v>12224</v>
      </c>
      <c r="P16" cm="1">
        <f t="array" ref="P16">MAX(IF((OutputTable[GroupByKey]=OutputTable[[#This Row],[GroupByKey]]),(OutputTable[GroupByKey]=OutputTable[[#This Row],[GroupByKey]])*OutputTable[RecordedValue]))</f>
        <v>12584</v>
      </c>
    </row>
    <row r="17" spans="1:16" x14ac:dyDescent="0.25">
      <c r="A17" t="s">
        <v>67</v>
      </c>
      <c r="B17" t="s">
        <v>69</v>
      </c>
      <c r="C17">
        <v>1</v>
      </c>
      <c r="D17" t="s">
        <v>134</v>
      </c>
      <c r="E17" t="s">
        <v>115</v>
      </c>
      <c r="F17" t="s">
        <v>96</v>
      </c>
      <c r="G17">
        <v>14017</v>
      </c>
      <c r="H17">
        <v>0</v>
      </c>
      <c r="I17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14003.5</v>
      </c>
      <c r="L17" cm="1">
        <f t="array" ref="L17">IFERROR(_xlfn.STDEV.S(IF((OutputTable[GroupByKey]=OutputTable[[#This Row],[GroupByKey]]),(OutputTable[GroupByKey]=OutputTable[[#This Row],[GroupByKey]])*OutputTable[RecordedValue])),0)</f>
        <v>154.71640723164001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17" cm="1">
        <f t="array" ref="O17">MIN(IF((OutputTable[GroupByKey]=OutputTable[[#This Row],[GroupByKey]]),(OutputTable[GroupByKey]=OutputTable[[#This Row],[GroupByKey]])*OutputTable[RecordedValue]))</f>
        <v>13729</v>
      </c>
      <c r="P17" cm="1">
        <f t="array" ref="P17">MAX(IF((OutputTable[GroupByKey]=OutputTable[[#This Row],[GroupByKey]]),(OutputTable[GroupByKey]=OutputTable[[#This Row],[GroupByKey]])*OutputTable[RecordedValue]))</f>
        <v>14205</v>
      </c>
    </row>
    <row r="18" spans="1:16" x14ac:dyDescent="0.25">
      <c r="A18" t="s">
        <v>67</v>
      </c>
      <c r="B18" t="s">
        <v>69</v>
      </c>
      <c r="C18">
        <v>1</v>
      </c>
      <c r="D18" t="s">
        <v>135</v>
      </c>
      <c r="E18" t="s">
        <v>117</v>
      </c>
      <c r="F18" t="s">
        <v>96</v>
      </c>
      <c r="G18">
        <v>0.85147859918309698</v>
      </c>
      <c r="H18">
        <v>0</v>
      </c>
      <c r="I18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0.85369868202434152</v>
      </c>
      <c r="L18" cm="1">
        <f t="array" ref="L18">IFERROR(_xlfn.STDEV.S(IF((OutputTable[GroupByKey]=OutputTable[[#This Row],[GroupByKey]]),(OutputTable[GroupByKey]=OutputTable[[#This Row],[GroupByKey]])*OutputTable[RecordedValue])),0)</f>
        <v>9.4705605009894993E-3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18" cm="1">
        <f t="array" ref="O18">MIN(IF((OutputTable[GroupByKey]=OutputTable[[#This Row],[GroupByKey]]),(OutputTable[GroupByKey]=OutputTable[[#This Row],[GroupByKey]])*OutputTable[RecordedValue]))</f>
        <v>0.83618943731414597</v>
      </c>
      <c r="P18" cm="1">
        <f t="array" ref="P18">MAX(IF((OutputTable[GroupByKey]=OutputTable[[#This Row],[GroupByKey]]),(OutputTable[GroupByKey]=OutputTable[[#This Row],[GroupByKey]])*OutputTable[RecordedValue]))</f>
        <v>0.86586763783419696</v>
      </c>
    </row>
    <row r="19" spans="1:16" x14ac:dyDescent="0.25">
      <c r="A19" t="s">
        <v>67</v>
      </c>
      <c r="B19" t="s">
        <v>69</v>
      </c>
      <c r="C19">
        <v>1</v>
      </c>
      <c r="D19" t="s">
        <v>136</v>
      </c>
      <c r="E19" t="s">
        <v>115</v>
      </c>
      <c r="F19" t="s">
        <v>96</v>
      </c>
      <c r="G19">
        <v>9254</v>
      </c>
      <c r="H19">
        <v>0</v>
      </c>
      <c r="I19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9367.5</v>
      </c>
      <c r="L19" cm="1">
        <f t="array" ref="L19">IFERROR(_xlfn.STDEV.S(IF((OutputTable[GroupByKey]=OutputTable[[#This Row],[GroupByKey]]),(OutputTable[GroupByKey]=OutputTable[[#This Row],[GroupByKey]])*OutputTable[RecordedValue])),0)</f>
        <v>139.5916664179253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9" cm="1">
        <f t="array" ref="O19">MIN(IF((OutputTable[GroupByKey]=OutputTable[[#This Row],[GroupByKey]]),(OutputTable[GroupByKey]=OutputTable[[#This Row],[GroupByKey]])*OutputTable[RecordedValue]))</f>
        <v>9192</v>
      </c>
      <c r="P19" cm="1">
        <f t="array" ref="P19">MAX(IF((OutputTable[GroupByKey]=OutputTable[[#This Row],[GroupByKey]]),(OutputTable[GroupByKey]=OutputTable[[#This Row],[GroupByKey]])*OutputTable[RecordedValue]))</f>
        <v>9577</v>
      </c>
    </row>
    <row r="20" spans="1:16" x14ac:dyDescent="0.25">
      <c r="A20" t="s">
        <v>67</v>
      </c>
      <c r="B20" t="s">
        <v>69</v>
      </c>
      <c r="C20">
        <v>1</v>
      </c>
      <c r="D20" t="s">
        <v>137</v>
      </c>
      <c r="E20" t="s">
        <v>117</v>
      </c>
      <c r="F20" t="s">
        <v>96</v>
      </c>
      <c r="G20">
        <v>0.76726685462145205</v>
      </c>
      <c r="H20">
        <v>0</v>
      </c>
      <c r="I20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0.77500127942574837</v>
      </c>
      <c r="L20" cm="1">
        <f t="array" ref="L20">IFERROR(_xlfn.STDEV.S(IF((OutputTable[GroupByKey]=OutputTable[[#This Row],[GroupByKey]]),(OutputTable[GroupByKey]=OutputTable[[#This Row],[GroupByKey]])*OutputTable[RecordedValue])),0)</f>
        <v>1.1134375758682289E-2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20" cm="1">
        <f t="array" ref="O20">MIN(IF((OutputTable[GroupByKey]=OutputTable[[#This Row],[GroupByKey]]),(OutputTable[GroupByKey]=OutputTable[[#This Row],[GroupByKey]])*OutputTable[RecordedValue]))</f>
        <v>0.75864843854708297</v>
      </c>
      <c r="P20" cm="1">
        <f t="array" ref="P20">MAX(IF((OutputTable[GroupByKey]=OutputTable[[#This Row],[GroupByKey]]),(OutputTable[GroupByKey]=OutputTable[[#This Row],[GroupByKey]])*OutputTable[RecordedValue]))</f>
        <v>0.79252596119945096</v>
      </c>
    </row>
    <row r="21" spans="1:16" x14ac:dyDescent="0.25">
      <c r="A21" t="s">
        <v>67</v>
      </c>
      <c r="B21" t="s">
        <v>69</v>
      </c>
      <c r="C21">
        <v>1</v>
      </c>
      <c r="D21" t="s">
        <v>138</v>
      </c>
      <c r="E21" t="s">
        <v>115</v>
      </c>
      <c r="F21" t="s">
        <v>96</v>
      </c>
      <c r="G21">
        <v>12462</v>
      </c>
      <c r="H21">
        <v>0</v>
      </c>
      <c r="I21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12449.2</v>
      </c>
      <c r="L21" cm="1">
        <f t="array" ref="L21">IFERROR(_xlfn.STDEV.S(IF((OutputTable[GroupByKey]=OutputTable[[#This Row],[GroupByKey]]),(OutputTable[GroupByKey]=OutputTable[[#This Row],[GroupByKey]])*OutputTable[RecordedValue])),0)</f>
        <v>108.68691017985765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21" cm="1">
        <f t="array" ref="O21">MIN(IF((OutputTable[GroupByKey]=OutputTable[[#This Row],[GroupByKey]]),(OutputTable[GroupByKey]=OutputTable[[#This Row],[GroupByKey]])*OutputTable[RecordedValue]))</f>
        <v>12231</v>
      </c>
      <c r="P21" cm="1">
        <f t="array" ref="P21">MAX(IF((OutputTable[GroupByKey]=OutputTable[[#This Row],[GroupByKey]]),(OutputTable[GroupByKey]=OutputTable[[#This Row],[GroupByKey]])*OutputTable[RecordedValue]))</f>
        <v>12589</v>
      </c>
    </row>
    <row r="22" spans="1:16" x14ac:dyDescent="0.25">
      <c r="A22" t="s">
        <v>67</v>
      </c>
      <c r="B22" t="s">
        <v>69</v>
      </c>
      <c r="C22">
        <v>1</v>
      </c>
      <c r="D22" t="s">
        <v>139</v>
      </c>
      <c r="E22" t="s">
        <v>117</v>
      </c>
      <c r="F22" t="s">
        <v>96</v>
      </c>
      <c r="G22">
        <v>0.86517826380299301</v>
      </c>
      <c r="H22">
        <v>0</v>
      </c>
      <c r="I22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0.85958220767724303</v>
      </c>
      <c r="L22" cm="1">
        <f t="array" ref="L22">IFERROR(_xlfn.STDEV.S(IF((OutputTable[GroupByKey]=OutputTable[[#This Row],[GroupByKey]]),(OutputTable[GroupByKey]=OutputTable[[#This Row],[GroupByKey]])*OutputTable[RecordedValue])),0)</f>
        <v>8.2249879280646958E-3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22" cm="1">
        <f t="array" ref="O22">MIN(IF((OutputTable[GroupByKey]=OutputTable[[#This Row],[GroupByKey]]),(OutputTable[GroupByKey]=OutputTable[[#This Row],[GroupByKey]])*OutputTable[RecordedValue]))</f>
        <v>0.84465777371794004</v>
      </c>
      <c r="P22" cm="1">
        <f t="array" ref="P22">MAX(IF((OutputTable[GroupByKey]=OutputTable[[#This Row],[GroupByKey]]),(OutputTable[GroupByKey]=OutputTable[[#This Row],[GroupByKey]])*OutputTable[RecordedValue]))</f>
        <v>0.87000527345659695</v>
      </c>
    </row>
    <row r="23" spans="1:16" x14ac:dyDescent="0.25">
      <c r="A23" t="s">
        <v>67</v>
      </c>
      <c r="B23" t="s">
        <v>69</v>
      </c>
      <c r="C23">
        <v>1</v>
      </c>
      <c r="D23" t="s">
        <v>140</v>
      </c>
      <c r="E23" t="s">
        <v>115</v>
      </c>
      <c r="F23" t="s">
        <v>96</v>
      </c>
      <c r="G23">
        <v>14017</v>
      </c>
      <c r="H23">
        <v>0</v>
      </c>
      <c r="I23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14003.5</v>
      </c>
      <c r="L23" cm="1">
        <f t="array" ref="L23">IFERROR(_xlfn.STDEV.S(IF((OutputTable[GroupByKey]=OutputTable[[#This Row],[GroupByKey]]),(OutputTable[GroupByKey]=OutputTable[[#This Row],[GroupByKey]])*OutputTable[RecordedValue])),0)</f>
        <v>154.71640723164001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23" cm="1">
        <f t="array" ref="O23">MIN(IF((OutputTable[GroupByKey]=OutputTable[[#This Row],[GroupByKey]]),(OutputTable[GroupByKey]=OutputTable[[#This Row],[GroupByKey]])*OutputTable[RecordedValue]))</f>
        <v>13729</v>
      </c>
      <c r="P23" cm="1">
        <f t="array" ref="P23">MAX(IF((OutputTable[GroupByKey]=OutputTable[[#This Row],[GroupByKey]]),(OutputTable[GroupByKey]=OutputTable[[#This Row],[GroupByKey]])*OutputTable[RecordedValue]))</f>
        <v>14205</v>
      </c>
    </row>
    <row r="24" spans="1:16" x14ac:dyDescent="0.25">
      <c r="A24" t="s">
        <v>67</v>
      </c>
      <c r="B24" t="s">
        <v>69</v>
      </c>
      <c r="C24">
        <v>1</v>
      </c>
      <c r="D24" t="s">
        <v>141</v>
      </c>
      <c r="E24" t="s">
        <v>117</v>
      </c>
      <c r="F24" t="s">
        <v>96</v>
      </c>
      <c r="G24">
        <v>0.85147859918309698</v>
      </c>
      <c r="H24">
        <v>0</v>
      </c>
      <c r="I24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0.85369868202434152</v>
      </c>
      <c r="L24" cm="1">
        <f t="array" ref="L24">IFERROR(_xlfn.STDEV.S(IF((OutputTable[GroupByKey]=OutputTable[[#This Row],[GroupByKey]]),(OutputTable[GroupByKey]=OutputTable[[#This Row],[GroupByKey]])*OutputTable[RecordedValue])),0)</f>
        <v>9.4705605009894993E-3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24" cm="1">
        <f t="array" ref="O24">MIN(IF((OutputTable[GroupByKey]=OutputTable[[#This Row],[GroupByKey]]),(OutputTable[GroupByKey]=OutputTable[[#This Row],[GroupByKey]])*OutputTable[RecordedValue]))</f>
        <v>0.83618943731414597</v>
      </c>
      <c r="P24" cm="1">
        <f t="array" ref="P24">MAX(IF((OutputTable[GroupByKey]=OutputTable[[#This Row],[GroupByKey]]),(OutputTable[GroupByKey]=OutputTable[[#This Row],[GroupByKey]])*OutputTable[RecordedValue]))</f>
        <v>0.86586763783419696</v>
      </c>
    </row>
    <row r="25" spans="1:16" x14ac:dyDescent="0.25">
      <c r="A25" t="s">
        <v>67</v>
      </c>
      <c r="B25" t="s">
        <v>69</v>
      </c>
      <c r="C25">
        <v>1</v>
      </c>
      <c r="D25" t="s">
        <v>142</v>
      </c>
      <c r="E25" t="s">
        <v>115</v>
      </c>
      <c r="F25" t="s">
        <v>96</v>
      </c>
      <c r="G25">
        <v>9254</v>
      </c>
      <c r="H25">
        <v>0</v>
      </c>
      <c r="I2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9367.5</v>
      </c>
      <c r="L25" cm="1">
        <f t="array" ref="L25">IFERROR(_xlfn.STDEV.S(IF((OutputTable[GroupByKey]=OutputTable[[#This Row],[GroupByKey]]),(OutputTable[GroupByKey]=OutputTable[[#This Row],[GroupByKey]])*OutputTable[RecordedValue])),0)</f>
        <v>139.5916664179253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25" cm="1">
        <f t="array" ref="O25">MIN(IF((OutputTable[GroupByKey]=OutputTable[[#This Row],[GroupByKey]]),(OutputTable[GroupByKey]=OutputTable[[#This Row],[GroupByKey]])*OutputTable[RecordedValue]))</f>
        <v>9192</v>
      </c>
      <c r="P25" cm="1">
        <f t="array" ref="P25">MAX(IF((OutputTable[GroupByKey]=OutputTable[[#This Row],[GroupByKey]]),(OutputTable[GroupByKey]=OutputTable[[#This Row],[GroupByKey]])*OutputTable[RecordedValue]))</f>
        <v>9577</v>
      </c>
    </row>
    <row r="26" spans="1:16" x14ac:dyDescent="0.25">
      <c r="A26" t="s">
        <v>67</v>
      </c>
      <c r="B26" t="s">
        <v>69</v>
      </c>
      <c r="C26">
        <v>1</v>
      </c>
      <c r="D26" t="s">
        <v>143</v>
      </c>
      <c r="E26" t="s">
        <v>117</v>
      </c>
      <c r="F26" t="s">
        <v>96</v>
      </c>
      <c r="G26">
        <v>0.76726685462145205</v>
      </c>
      <c r="H26">
        <v>0</v>
      </c>
      <c r="I26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0.77500127942574837</v>
      </c>
      <c r="L26" cm="1">
        <f t="array" ref="L26">IFERROR(_xlfn.STDEV.S(IF((OutputTable[GroupByKey]=OutputTable[[#This Row],[GroupByKey]]),(OutputTable[GroupByKey]=OutputTable[[#This Row],[GroupByKey]])*OutputTable[RecordedValue])),0)</f>
        <v>1.1134375758682289E-2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26" cm="1">
        <f t="array" ref="O26">MIN(IF((OutputTable[GroupByKey]=OutputTable[[#This Row],[GroupByKey]]),(OutputTable[GroupByKey]=OutputTable[[#This Row],[GroupByKey]])*OutputTable[RecordedValue]))</f>
        <v>0.75864843854708297</v>
      </c>
      <c r="P26" cm="1">
        <f t="array" ref="P26">MAX(IF((OutputTable[GroupByKey]=OutputTable[[#This Row],[GroupByKey]]),(OutputTable[GroupByKey]=OutputTable[[#This Row],[GroupByKey]])*OutputTable[RecordedValue]))</f>
        <v>0.79252596119945096</v>
      </c>
    </row>
    <row r="27" spans="1:16" x14ac:dyDescent="0.25">
      <c r="A27" t="s">
        <v>67</v>
      </c>
      <c r="B27" t="s">
        <v>69</v>
      </c>
      <c r="C27">
        <v>1</v>
      </c>
      <c r="D27" t="s">
        <v>144</v>
      </c>
      <c r="E27" t="s">
        <v>115</v>
      </c>
      <c r="F27" t="s">
        <v>96</v>
      </c>
      <c r="G27">
        <v>12462</v>
      </c>
      <c r="H27">
        <v>0</v>
      </c>
      <c r="I27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12449.2</v>
      </c>
      <c r="L27" cm="1">
        <f t="array" ref="L27">IFERROR(_xlfn.STDEV.S(IF((OutputTable[GroupByKey]=OutputTable[[#This Row],[GroupByKey]]),(OutputTable[GroupByKey]=OutputTable[[#This Row],[GroupByKey]])*OutputTable[RecordedValue])),0)</f>
        <v>108.68691017985765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27" cm="1">
        <f t="array" ref="O27">MIN(IF((OutputTable[GroupByKey]=OutputTable[[#This Row],[GroupByKey]]),(OutputTable[GroupByKey]=OutputTable[[#This Row],[GroupByKey]])*OutputTable[RecordedValue]))</f>
        <v>12231</v>
      </c>
      <c r="P27" cm="1">
        <f t="array" ref="P27">MAX(IF((OutputTable[GroupByKey]=OutputTable[[#This Row],[GroupByKey]]),(OutputTable[GroupByKey]=OutputTable[[#This Row],[GroupByKey]])*OutputTable[RecordedValue]))</f>
        <v>12589</v>
      </c>
    </row>
    <row r="28" spans="1:16" x14ac:dyDescent="0.25">
      <c r="A28" t="s">
        <v>67</v>
      </c>
      <c r="B28" t="s">
        <v>69</v>
      </c>
      <c r="C28">
        <v>1</v>
      </c>
      <c r="D28" t="s">
        <v>145</v>
      </c>
      <c r="E28" t="s">
        <v>117</v>
      </c>
      <c r="F28" t="s">
        <v>96</v>
      </c>
      <c r="G28">
        <v>0.86517826380299301</v>
      </c>
      <c r="H28">
        <v>0</v>
      </c>
      <c r="I28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0.85958220767724303</v>
      </c>
      <c r="L28" cm="1">
        <f t="array" ref="L28">IFERROR(_xlfn.STDEV.S(IF((OutputTable[GroupByKey]=OutputTable[[#This Row],[GroupByKey]]),(OutputTable[GroupByKey]=OutputTable[[#This Row],[GroupByKey]])*OutputTable[RecordedValue])),0)</f>
        <v>8.2249879280646958E-3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28" cm="1">
        <f t="array" ref="O28">MIN(IF((OutputTable[GroupByKey]=OutputTable[[#This Row],[GroupByKey]]),(OutputTable[GroupByKey]=OutputTable[[#This Row],[GroupByKey]])*OutputTable[RecordedValue]))</f>
        <v>0.84465777371794004</v>
      </c>
      <c r="P28" cm="1">
        <f t="array" ref="P28">MAX(IF((OutputTable[GroupByKey]=OutputTable[[#This Row],[GroupByKey]]),(OutputTable[GroupByKey]=OutputTable[[#This Row],[GroupByKey]])*OutputTable[RecordedValue]))</f>
        <v>0.87000527345659695</v>
      </c>
    </row>
    <row r="29" spans="1:16" x14ac:dyDescent="0.25">
      <c r="A29" t="s">
        <v>67</v>
      </c>
      <c r="B29" t="s">
        <v>69</v>
      </c>
      <c r="C29">
        <v>2</v>
      </c>
      <c r="D29" t="s">
        <v>114</v>
      </c>
      <c r="E29" t="s">
        <v>115</v>
      </c>
      <c r="F29" t="s">
        <v>96</v>
      </c>
      <c r="G29">
        <v>12489</v>
      </c>
      <c r="H29">
        <v>0</v>
      </c>
      <c r="I29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12454.5</v>
      </c>
      <c r="L29" cm="1">
        <f t="array" ref="L29">IFERROR(_xlfn.STDEV.S(IF((OutputTable[GroupByKey]=OutputTable[[#This Row],[GroupByKey]]),(OutputTable[GroupByKey]=OutputTable[[#This Row],[GroupByKey]])*OutputTable[RecordedValue])),0)</f>
        <v>108.84979456929526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29" cm="1">
        <f t="array" ref="O29">MIN(IF((OutputTable[GroupByKey]=OutputTable[[#This Row],[GroupByKey]]),(OutputTable[GroupByKey]=OutputTable[[#This Row],[GroupByKey]])*OutputTable[RecordedValue]))</f>
        <v>12234</v>
      </c>
      <c r="P29" cm="1">
        <f t="array" ref="P29">MAX(IF((OutputTable[GroupByKey]=OutputTable[[#This Row],[GroupByKey]]),(OutputTable[GroupByKey]=OutputTable[[#This Row],[GroupByKey]])*OutputTable[RecordedValue]))</f>
        <v>12593</v>
      </c>
    </row>
    <row r="30" spans="1:16" x14ac:dyDescent="0.25">
      <c r="A30" t="s">
        <v>67</v>
      </c>
      <c r="B30" t="s">
        <v>69</v>
      </c>
      <c r="C30">
        <v>2</v>
      </c>
      <c r="D30" t="s">
        <v>116</v>
      </c>
      <c r="E30" t="s">
        <v>117</v>
      </c>
      <c r="F30" t="s">
        <v>96</v>
      </c>
      <c r="G30">
        <v>0.75485761493006198</v>
      </c>
      <c r="H30">
        <v>0</v>
      </c>
      <c r="I30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0.75203828164859643</v>
      </c>
      <c r="L30" cm="1">
        <f t="array" ref="L30">IFERROR(_xlfn.STDEV.S(IF((OutputTable[GroupByKey]=OutputTable[[#This Row],[GroupByKey]]),(OutputTable[GroupByKey]=OutputTable[[#This Row],[GroupByKey]])*OutputTable[RecordedValue])),0)</f>
        <v>9.2748854731057942E-3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30" cm="1">
        <f t="array" ref="O30">MIN(IF((OutputTable[GroupByKey]=OutputTable[[#This Row],[GroupByKey]]),(OutputTable[GroupByKey]=OutputTable[[#This Row],[GroupByKey]])*OutputTable[RecordedValue]))</f>
        <v>0.73578099184835299</v>
      </c>
      <c r="P30" cm="1">
        <f t="array" ref="P30">MAX(IF((OutputTable[GroupByKey]=OutputTable[[#This Row],[GroupByKey]]),(OutputTable[GroupByKey]=OutputTable[[#This Row],[GroupByKey]])*OutputTable[RecordedValue]))</f>
        <v>0.76817992377286104</v>
      </c>
    </row>
    <row r="31" spans="1:16" x14ac:dyDescent="0.25">
      <c r="A31" t="s">
        <v>67</v>
      </c>
      <c r="B31" t="s">
        <v>69</v>
      </c>
      <c r="C31">
        <v>2</v>
      </c>
      <c r="D31" t="s">
        <v>118</v>
      </c>
      <c r="E31" t="s">
        <v>115</v>
      </c>
      <c r="F31" t="s">
        <v>96</v>
      </c>
      <c r="G31">
        <v>6262</v>
      </c>
      <c r="H31">
        <v>0</v>
      </c>
      <c r="I31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6223.9</v>
      </c>
      <c r="L31" cm="1">
        <f t="array" ref="L31">IFERROR(_xlfn.STDEV.S(IF((OutputTable[GroupByKey]=OutputTable[[#This Row],[GroupByKey]]),(OutputTable[GroupByKey]=OutputTable[[#This Row],[GroupByKey]])*OutputTable[RecordedValue])),0)</f>
        <v>93.753162909608307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31" cm="1">
        <f t="array" ref="O31">MIN(IF((OutputTable[GroupByKey]=OutputTable[[#This Row],[GroupByKey]]),(OutputTable[GroupByKey]=OutputTable[[#This Row],[GroupByKey]])*OutputTable[RecordedValue]))</f>
        <v>6030</v>
      </c>
      <c r="P31" cm="1">
        <f t="array" ref="P31">MAX(IF((OutputTable[GroupByKey]=OutputTable[[#This Row],[GroupByKey]]),(OutputTable[GroupByKey]=OutputTable[[#This Row],[GroupByKey]])*OutputTable[RecordedValue]))</f>
        <v>6330</v>
      </c>
    </row>
    <row r="32" spans="1:16" x14ac:dyDescent="0.25">
      <c r="A32" t="s">
        <v>67</v>
      </c>
      <c r="B32" t="s">
        <v>69</v>
      </c>
      <c r="C32">
        <v>2</v>
      </c>
      <c r="D32" t="s">
        <v>119</v>
      </c>
      <c r="E32" t="s">
        <v>117</v>
      </c>
      <c r="F32" t="s">
        <v>96</v>
      </c>
      <c r="G32">
        <v>0.75299191416641997</v>
      </c>
      <c r="H32">
        <v>0</v>
      </c>
      <c r="I32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0.75111586075292547</v>
      </c>
      <c r="L32" cm="1">
        <f t="array" ref="L32">IFERROR(_xlfn.STDEV.S(IF((OutputTable[GroupByKey]=OutputTable[[#This Row],[GroupByKey]]),(OutputTable[GroupByKey]=OutputTable[[#This Row],[GroupByKey]])*OutputTable[RecordedValue])),0)</f>
        <v>9.1926752531366566E-3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32" cm="1">
        <f t="array" ref="O32">MIN(IF((OutputTable[GroupByKey]=OutputTable[[#This Row],[GroupByKey]]),(OutputTable[GroupByKey]=OutputTable[[#This Row],[GroupByKey]])*OutputTable[RecordedValue]))</f>
        <v>0.73777590022083495</v>
      </c>
      <c r="P32" cm="1">
        <f t="array" ref="P32">MAX(IF((OutputTable[GroupByKey]=OutputTable[[#This Row],[GroupByKey]]),(OutputTable[GroupByKey]=OutputTable[[#This Row],[GroupByKey]])*OutputTable[RecordedValue]))</f>
        <v>0.76666045600624</v>
      </c>
    </row>
    <row r="33" spans="1:16" x14ac:dyDescent="0.25">
      <c r="A33" t="s">
        <v>67</v>
      </c>
      <c r="B33" t="s">
        <v>69</v>
      </c>
      <c r="C33">
        <v>2</v>
      </c>
      <c r="D33" t="s">
        <v>120</v>
      </c>
      <c r="E33" t="s">
        <v>115</v>
      </c>
      <c r="F33" t="s">
        <v>96</v>
      </c>
      <c r="G33">
        <v>6227</v>
      </c>
      <c r="H33">
        <v>0</v>
      </c>
      <c r="I33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6230.6</v>
      </c>
      <c r="L33" cm="1">
        <f t="array" ref="L33">IFERROR(_xlfn.STDEV.S(IF((OutputTable[GroupByKey]=OutputTable[[#This Row],[GroupByKey]]),(OutputTable[GroupByKey]=OutputTable[[#This Row],[GroupByKey]])*OutputTable[RecordedValue])),0)</f>
        <v>52.995177977707456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33" cm="1">
        <f t="array" ref="O33">MIN(IF((OutputTable[GroupByKey]=OutputTable[[#This Row],[GroupByKey]]),(OutputTable[GroupByKey]=OutputTable[[#This Row],[GroupByKey]])*OutputTable[RecordedValue]))</f>
        <v>6182</v>
      </c>
      <c r="P33" cm="1">
        <f t="array" ref="P33">MAX(IF((OutputTable[GroupByKey]=OutputTable[[#This Row],[GroupByKey]]),(OutputTable[GroupByKey]=OutputTable[[#This Row],[GroupByKey]])*OutputTable[RecordedValue]))</f>
        <v>6338</v>
      </c>
    </row>
    <row r="34" spans="1:16" x14ac:dyDescent="0.25">
      <c r="A34" t="s">
        <v>67</v>
      </c>
      <c r="B34" t="s">
        <v>69</v>
      </c>
      <c r="C34">
        <v>2</v>
      </c>
      <c r="D34" t="s">
        <v>121</v>
      </c>
      <c r="E34" t="s">
        <v>117</v>
      </c>
      <c r="F34" t="s">
        <v>96</v>
      </c>
      <c r="G34">
        <v>0.75672331569370899</v>
      </c>
      <c r="H34">
        <v>0</v>
      </c>
      <c r="I34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0.75296070254426462</v>
      </c>
      <c r="L34" cm="1">
        <f t="array" ref="L34">IFERROR(_xlfn.STDEV.S(IF((OutputTable[GroupByKey]=OutputTable[[#This Row],[GroupByKey]]),(OutputTable[GroupByKey]=OutputTable[[#This Row],[GroupByKey]])*OutputTable[RecordedValue])),0)</f>
        <v>1.0201996050203582E-2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34" cm="1">
        <f t="array" ref="O34">MIN(IF((OutputTable[GroupByKey]=OutputTable[[#This Row],[GroupByKey]]),(OutputTable[GroupByKey]=OutputTable[[#This Row],[GroupByKey]])*OutputTable[RecordedValue]))</f>
        <v>0.73378608347586405</v>
      </c>
      <c r="P34" cm="1">
        <f t="array" ref="P34">MAX(IF((OutputTable[GroupByKey]=OutputTable[[#This Row],[GroupByKey]]),(OutputTable[GroupByKey]=OutputTable[[#This Row],[GroupByKey]])*OutputTable[RecordedValue]))</f>
        <v>0.76969939153947697</v>
      </c>
    </row>
    <row r="35" spans="1:16" x14ac:dyDescent="0.25">
      <c r="A35" t="s">
        <v>67</v>
      </c>
      <c r="B35" t="s">
        <v>69</v>
      </c>
      <c r="C35">
        <v>2</v>
      </c>
      <c r="D35" t="s">
        <v>122</v>
      </c>
      <c r="E35" t="s">
        <v>123</v>
      </c>
      <c r="F35" t="s">
        <v>75</v>
      </c>
      <c r="G35">
        <v>12490</v>
      </c>
      <c r="H35">
        <v>0</v>
      </c>
      <c r="I35" t="str">
        <f>OutputTable[[#This Row],[ProjectName]]&amp;OutputTable[[#This Row],[Name]]&amp;OutputTable[[#This Row],[Type]]&amp;OutputTable[[#This Row],[Source]]</f>
        <v>Unnamed ProjectEntity 1.NumberInNumber InEntity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12455.3</v>
      </c>
      <c r="L35" cm="1">
        <f t="array" ref="L35">IFERROR(_xlfn.STDEV.S(IF((OutputTable[GroupByKey]=OutputTable[[#This Row],[GroupByKey]]),(OutputTable[GroupByKey]=OutputTable[[#This Row],[GroupByKey]])*OutputTable[RecordedValue])),0)</f>
        <v>109.29577606964813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35" cm="1">
        <f t="array" ref="O35">MIN(IF((OutputTable[GroupByKey]=OutputTable[[#This Row],[GroupByKey]]),(OutputTable[GroupByKey]=OutputTable[[#This Row],[GroupByKey]])*OutputTable[RecordedValue]))</f>
        <v>12234</v>
      </c>
      <c r="P35" cm="1">
        <f t="array" ref="P35">MAX(IF((OutputTable[GroupByKey]=OutputTable[[#This Row],[GroupByKey]]),(OutputTable[GroupByKey]=OutputTable[[#This Row],[GroupByKey]])*OutputTable[RecordedValue]))</f>
        <v>12594</v>
      </c>
    </row>
    <row r="36" spans="1:16" x14ac:dyDescent="0.25">
      <c r="A36" t="s">
        <v>67</v>
      </c>
      <c r="B36" t="s">
        <v>69</v>
      </c>
      <c r="C36">
        <v>2</v>
      </c>
      <c r="D36" t="s">
        <v>124</v>
      </c>
      <c r="E36" t="s">
        <v>125</v>
      </c>
      <c r="F36" t="s">
        <v>75</v>
      </c>
      <c r="G36">
        <v>12469</v>
      </c>
      <c r="H36">
        <v>0</v>
      </c>
      <c r="I36" t="str">
        <f>OutputTable[[#This Row],[ProjectName]]&amp;OutputTable[[#This Row],[Name]]&amp;OutputTable[[#This Row],[Type]]&amp;OutputTable[[#This Row],[Source]]</f>
        <v>Unnamed ProjectEntity 1.NumberOutNumber OutEntity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12441.9</v>
      </c>
      <c r="L36" cm="1">
        <f t="array" ref="L36">IFERROR(_xlfn.STDEV.S(IF((OutputTable[GroupByKey]=OutputTable[[#This Row],[GroupByKey]]),(OutputTable[GroupByKey]=OutputTable[[#This Row],[GroupByKey]])*OutputTable[RecordedValue])),0)</f>
        <v>109.66965548105516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36" cm="1">
        <f t="array" ref="O36">MIN(IF((OutputTable[GroupByKey]=OutputTable[[#This Row],[GroupByKey]]),(OutputTable[GroupByKey]=OutputTable[[#This Row],[GroupByKey]])*OutputTable[RecordedValue]))</f>
        <v>12224</v>
      </c>
      <c r="P36" cm="1">
        <f t="array" ref="P36">MAX(IF((OutputTable[GroupByKey]=OutputTable[[#This Row],[GroupByKey]]),(OutputTable[GroupByKey]=OutputTable[[#This Row],[GroupByKey]])*OutputTable[RecordedValue]))</f>
        <v>12584</v>
      </c>
    </row>
    <row r="37" spans="1:16" x14ac:dyDescent="0.25">
      <c r="A37" t="s">
        <v>67</v>
      </c>
      <c r="B37" t="s">
        <v>69</v>
      </c>
      <c r="C37">
        <v>2</v>
      </c>
      <c r="D37" t="s">
        <v>126</v>
      </c>
      <c r="E37" t="s">
        <v>115</v>
      </c>
      <c r="F37" t="s">
        <v>96</v>
      </c>
      <c r="G37">
        <v>4170</v>
      </c>
      <c r="H37">
        <v>0</v>
      </c>
      <c r="I37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4151.1000000000004</v>
      </c>
      <c r="L37" cm="1">
        <f t="array" ref="L37">IFERROR(_xlfn.STDEV.S(IF((OutputTable[GroupByKey]=OutputTable[[#This Row],[GroupByKey]]),(OutputTable[GroupByKey]=OutputTable[[#This Row],[GroupByKey]])*OutputTable[RecordedValue])),0)</f>
        <v>38.420046850570081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37" cm="1">
        <f t="array" ref="O37">MIN(IF((OutputTable[GroupByKey]=OutputTable[[#This Row],[GroupByKey]]),(OutputTable[GroupByKey]=OutputTable[[#This Row],[GroupByKey]])*OutputTable[RecordedValue]))</f>
        <v>4077</v>
      </c>
      <c r="P37" cm="1">
        <f t="array" ref="P37">MAX(IF((OutputTable[GroupByKey]=OutputTable[[#This Row],[GroupByKey]]),(OutputTable[GroupByKey]=OutputTable[[#This Row],[GroupByKey]])*OutputTable[RecordedValue]))</f>
        <v>4202</v>
      </c>
    </row>
    <row r="38" spans="1:16" x14ac:dyDescent="0.25">
      <c r="A38" t="s">
        <v>67</v>
      </c>
      <c r="B38" t="s">
        <v>69</v>
      </c>
      <c r="C38">
        <v>2</v>
      </c>
      <c r="D38" t="s">
        <v>127</v>
      </c>
      <c r="E38" t="s">
        <v>117</v>
      </c>
      <c r="F38" t="s">
        <v>96</v>
      </c>
      <c r="G38">
        <v>0.86888898753756405</v>
      </c>
      <c r="H38">
        <v>0</v>
      </c>
      <c r="I38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0.86617223927529052</v>
      </c>
      <c r="L38" cm="1">
        <f t="array" ref="L38">IFERROR(_xlfn.STDEV.S(IF((OutputTable[GroupByKey]=OutputTable[[#This Row],[GroupByKey]]),(OutputTable[GroupByKey]=OutputTable[[#This Row],[GroupByKey]])*OutputTable[RecordedValue])),0)</f>
        <v>7.3264677567561349E-3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38" cm="1">
        <f t="array" ref="O38">MIN(IF((OutputTable[GroupByKey]=OutputTable[[#This Row],[GroupByKey]]),(OutputTable[GroupByKey]=OutputTable[[#This Row],[GroupByKey]])*OutputTable[RecordedValue]))</f>
        <v>0.85300206766602205</v>
      </c>
      <c r="P38" cm="1">
        <f t="array" ref="P38">MAX(IF((OutputTable[GroupByKey]=OutputTable[[#This Row],[GroupByKey]]),(OutputTable[GroupByKey]=OutputTable[[#This Row],[GroupByKey]])*OutputTable[RecordedValue]))</f>
        <v>0.87632698102425799</v>
      </c>
    </row>
    <row r="39" spans="1:16" x14ac:dyDescent="0.25">
      <c r="A39" t="s">
        <v>67</v>
      </c>
      <c r="B39" t="s">
        <v>69</v>
      </c>
      <c r="C39">
        <v>2</v>
      </c>
      <c r="D39" t="s">
        <v>128</v>
      </c>
      <c r="E39" t="s">
        <v>115</v>
      </c>
      <c r="F39" t="s">
        <v>96</v>
      </c>
      <c r="G39">
        <v>4161</v>
      </c>
      <c r="H39">
        <v>0</v>
      </c>
      <c r="I39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4147.7</v>
      </c>
      <c r="L39" cm="1">
        <f t="array" ref="L39">IFERROR(_xlfn.STDEV.S(IF((OutputTable[GroupByKey]=OutputTable[[#This Row],[GroupByKey]]),(OutputTable[GroupByKey]=OutputTable[[#This Row],[GroupByKey]])*OutputTable[RecordedValue])),0)</f>
        <v>35.339779286237771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39" cm="1">
        <f t="array" ref="O39">MIN(IF((OutputTable[GroupByKey]=OutputTable[[#This Row],[GroupByKey]]),(OutputTable[GroupByKey]=OutputTable[[#This Row],[GroupByKey]])*OutputTable[RecordedValue]))</f>
        <v>4072</v>
      </c>
      <c r="P39" cm="1">
        <f t="array" ref="P39">MAX(IF((OutputTable[GroupByKey]=OutputTable[[#This Row],[GroupByKey]]),(OutputTable[GroupByKey]=OutputTable[[#This Row],[GroupByKey]])*OutputTable[RecordedValue]))</f>
        <v>4199</v>
      </c>
    </row>
    <row r="40" spans="1:16" x14ac:dyDescent="0.25">
      <c r="A40" t="s">
        <v>67</v>
      </c>
      <c r="B40" t="s">
        <v>69</v>
      </c>
      <c r="C40">
        <v>2</v>
      </c>
      <c r="D40" t="s">
        <v>129</v>
      </c>
      <c r="E40" t="s">
        <v>117</v>
      </c>
      <c r="F40" t="s">
        <v>96</v>
      </c>
      <c r="G40">
        <v>0.868995374026023</v>
      </c>
      <c r="H40">
        <v>0</v>
      </c>
      <c r="I40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0.86586513532824916</v>
      </c>
      <c r="L40" cm="1">
        <f t="array" ref="L40">IFERROR(_xlfn.STDEV.S(IF((OutputTable[GroupByKey]=OutputTable[[#This Row],[GroupByKey]]),(OutputTable[GroupByKey]=OutputTable[[#This Row],[GroupByKey]])*OutputTable[RecordedValue])),0)</f>
        <v>7.1981559947843117E-3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40" cm="1">
        <f t="array" ref="O40">MIN(IF((OutputTable[GroupByKey]=OutputTable[[#This Row],[GroupByKey]]),(OutputTable[GroupByKey]=OutputTable[[#This Row],[GroupByKey]])*OutputTable[RecordedValue]))</f>
        <v>0.85267322894137698</v>
      </c>
      <c r="P40" cm="1">
        <f t="array" ref="P40">MAX(IF((OutputTable[GroupByKey]=OutputTable[[#This Row],[GroupByKey]]),(OutputTable[GroupByKey]=OutputTable[[#This Row],[GroupByKey]])*OutputTable[RecordedValue]))</f>
        <v>0.87300868153341904</v>
      </c>
    </row>
    <row r="41" spans="1:16" x14ac:dyDescent="0.25">
      <c r="A41" t="s">
        <v>67</v>
      </c>
      <c r="B41" t="s">
        <v>69</v>
      </c>
      <c r="C41">
        <v>2</v>
      </c>
      <c r="D41" t="s">
        <v>130</v>
      </c>
      <c r="E41" t="s">
        <v>115</v>
      </c>
      <c r="F41" t="s">
        <v>96</v>
      </c>
      <c r="G41">
        <v>4141</v>
      </c>
      <c r="H41">
        <v>0</v>
      </c>
      <c r="I41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4145.8</v>
      </c>
      <c r="L41" cm="1">
        <f t="array" ref="L41">IFERROR(_xlfn.STDEV.S(IF((OutputTable[GroupByKey]=OutputTable[[#This Row],[GroupByKey]]),(OutputTable[GroupByKey]=OutputTable[[#This Row],[GroupByKey]])*OutputTable[RecordedValue])),0)</f>
        <v>38.883872692358665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41" cm="1">
        <f t="array" ref="O41">MIN(IF((OutputTable[GroupByKey]=OutputTable[[#This Row],[GroupByKey]]),(OutputTable[GroupByKey]=OutputTable[[#This Row],[GroupByKey]])*OutputTable[RecordedValue]))</f>
        <v>4076</v>
      </c>
      <c r="P41" cm="1">
        <f t="array" ref="P41">MAX(IF((OutputTable[GroupByKey]=OutputTable[[#This Row],[GroupByKey]]),(OutputTable[GroupByKey]=OutputTable[[#This Row],[GroupByKey]])*OutputTable[RecordedValue]))</f>
        <v>4184</v>
      </c>
    </row>
    <row r="42" spans="1:16" x14ac:dyDescent="0.25">
      <c r="A42" t="s">
        <v>67</v>
      </c>
      <c r="B42" t="s">
        <v>69</v>
      </c>
      <c r="C42">
        <v>2</v>
      </c>
      <c r="D42" t="s">
        <v>131</v>
      </c>
      <c r="E42" t="s">
        <v>117</v>
      </c>
      <c r="F42" t="s">
        <v>96</v>
      </c>
      <c r="G42">
        <v>0.86801249405049896</v>
      </c>
      <c r="H42">
        <v>0</v>
      </c>
      <c r="I42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0.86584756987747569</v>
      </c>
      <c r="L42" cm="1">
        <f t="array" ref="L42">IFERROR(_xlfn.STDEV.S(IF((OutputTable[GroupByKey]=OutputTable[[#This Row],[GroupByKey]]),(OutputTable[GroupByKey]=OutputTable[[#This Row],[GroupByKey]])*OutputTable[RecordedValue])),0)</f>
        <v>7.1198499498994544E-3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42" cm="1">
        <f t="array" ref="O42">MIN(IF((OutputTable[GroupByKey]=OutputTable[[#This Row],[GroupByKey]]),(OutputTable[GroupByKey]=OutputTable[[#This Row],[GroupByKey]])*OutputTable[RecordedValue]))</f>
        <v>0.85312589705184705</v>
      </c>
      <c r="P42" cm="1">
        <f t="array" ref="P42">MAX(IF((OutputTable[GroupByKey]=OutputTable[[#This Row],[GroupByKey]]),(OutputTable[GroupByKey]=OutputTable[[#This Row],[GroupByKey]])*OutputTable[RecordedValue]))</f>
        <v>0.87436351179675398</v>
      </c>
    </row>
    <row r="43" spans="1:16" x14ac:dyDescent="0.25">
      <c r="A43" t="s">
        <v>67</v>
      </c>
      <c r="B43" t="s">
        <v>69</v>
      </c>
      <c r="C43">
        <v>2</v>
      </c>
      <c r="D43" t="s">
        <v>132</v>
      </c>
      <c r="E43" t="s">
        <v>125</v>
      </c>
      <c r="F43" t="s">
        <v>133</v>
      </c>
      <c r="G43">
        <v>12469</v>
      </c>
      <c r="H43">
        <v>0</v>
      </c>
      <c r="I43" t="str">
        <f>OutputTable[[#This Row],[ProjectName]]&amp;OutputTable[[#This Row],[Name]]&amp;OutputTable[[#This Row],[Type]]&amp;OutputTable[[#This Row],[Source]]</f>
        <v>Unnamed ProjectSystem.NumberOutNumber OutSystem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12441.9</v>
      </c>
      <c r="L43" cm="1">
        <f t="array" ref="L43">IFERROR(_xlfn.STDEV.S(IF((OutputTable[GroupByKey]=OutputTable[[#This Row],[GroupByKey]]),(OutputTable[GroupByKey]=OutputTable[[#This Row],[GroupByKey]])*OutputTable[RecordedValue])),0)</f>
        <v>109.66965548105516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43" cm="1">
        <f t="array" ref="O43">MIN(IF((OutputTable[GroupByKey]=OutputTable[[#This Row],[GroupByKey]]),(OutputTable[GroupByKey]=OutputTable[[#This Row],[GroupByKey]])*OutputTable[RecordedValue]))</f>
        <v>12224</v>
      </c>
      <c r="P43" cm="1">
        <f t="array" ref="P43">MAX(IF((OutputTable[GroupByKey]=OutputTable[[#This Row],[GroupByKey]]),(OutputTable[GroupByKey]=OutputTable[[#This Row],[GroupByKey]])*OutputTable[RecordedValue]))</f>
        <v>12584</v>
      </c>
    </row>
    <row r="44" spans="1:16" x14ac:dyDescent="0.25">
      <c r="A44" t="s">
        <v>67</v>
      </c>
      <c r="B44" t="s">
        <v>69</v>
      </c>
      <c r="C44">
        <v>2</v>
      </c>
      <c r="D44" t="s">
        <v>134</v>
      </c>
      <c r="E44" t="s">
        <v>115</v>
      </c>
      <c r="F44" t="s">
        <v>96</v>
      </c>
      <c r="G44">
        <v>13979</v>
      </c>
      <c r="H44">
        <v>0</v>
      </c>
      <c r="I44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14003.5</v>
      </c>
      <c r="L44" cm="1">
        <f t="array" ref="L44">IFERROR(_xlfn.STDEV.S(IF((OutputTable[GroupByKey]=OutputTable[[#This Row],[GroupByKey]]),(OutputTable[GroupByKey]=OutputTable[[#This Row],[GroupByKey]])*OutputTable[RecordedValue])),0)</f>
        <v>154.71640723164001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44" cm="1">
        <f t="array" ref="O44">MIN(IF((OutputTable[GroupByKey]=OutputTable[[#This Row],[GroupByKey]]),(OutputTable[GroupByKey]=OutputTable[[#This Row],[GroupByKey]])*OutputTable[RecordedValue]))</f>
        <v>13729</v>
      </c>
      <c r="P44" cm="1">
        <f t="array" ref="P44">MAX(IF((OutputTable[GroupByKey]=OutputTable[[#This Row],[GroupByKey]]),(OutputTable[GroupByKey]=OutputTable[[#This Row],[GroupByKey]])*OutputTable[RecordedValue]))</f>
        <v>14205</v>
      </c>
    </row>
    <row r="45" spans="1:16" x14ac:dyDescent="0.25">
      <c r="A45" t="s">
        <v>67</v>
      </c>
      <c r="B45" t="s">
        <v>69</v>
      </c>
      <c r="C45">
        <v>2</v>
      </c>
      <c r="D45" t="s">
        <v>135</v>
      </c>
      <c r="E45" t="s">
        <v>117</v>
      </c>
      <c r="F45" t="s">
        <v>96</v>
      </c>
      <c r="G45">
        <v>0.85145823741080795</v>
      </c>
      <c r="H45">
        <v>0</v>
      </c>
      <c r="I4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0.85369868202434152</v>
      </c>
      <c r="L45" cm="1">
        <f t="array" ref="L45">IFERROR(_xlfn.STDEV.S(IF((OutputTable[GroupByKey]=OutputTable[[#This Row],[GroupByKey]]),(OutputTable[GroupByKey]=OutputTable[[#This Row],[GroupByKey]])*OutputTable[RecordedValue])),0)</f>
        <v>9.4705605009894993E-3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45" cm="1">
        <f t="array" ref="O45">MIN(IF((OutputTable[GroupByKey]=OutputTable[[#This Row],[GroupByKey]]),(OutputTable[GroupByKey]=OutputTable[[#This Row],[GroupByKey]])*OutputTable[RecordedValue]))</f>
        <v>0.83618943731414597</v>
      </c>
      <c r="P45" cm="1">
        <f t="array" ref="P45">MAX(IF((OutputTable[GroupByKey]=OutputTable[[#This Row],[GroupByKey]]),(OutputTable[GroupByKey]=OutputTable[[#This Row],[GroupByKey]])*OutputTable[RecordedValue]))</f>
        <v>0.86586763783419696</v>
      </c>
    </row>
    <row r="46" spans="1:16" x14ac:dyDescent="0.25">
      <c r="A46" t="s">
        <v>67</v>
      </c>
      <c r="B46" t="s">
        <v>69</v>
      </c>
      <c r="C46">
        <v>2</v>
      </c>
      <c r="D46" t="s">
        <v>136</v>
      </c>
      <c r="E46" t="s">
        <v>115</v>
      </c>
      <c r="F46" t="s">
        <v>96</v>
      </c>
      <c r="G46">
        <v>9437</v>
      </c>
      <c r="H46">
        <v>0</v>
      </c>
      <c r="I46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9367.5</v>
      </c>
      <c r="L46" cm="1">
        <f t="array" ref="L46">IFERROR(_xlfn.STDEV.S(IF((OutputTable[GroupByKey]=OutputTable[[#This Row],[GroupByKey]]),(OutputTable[GroupByKey]=OutputTable[[#This Row],[GroupByKey]])*OutputTable[RecordedValue])),0)</f>
        <v>139.5916664179253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46" cm="1">
        <f t="array" ref="O46">MIN(IF((OutputTable[GroupByKey]=OutputTable[[#This Row],[GroupByKey]]),(OutputTable[GroupByKey]=OutputTable[[#This Row],[GroupByKey]])*OutputTable[RecordedValue]))</f>
        <v>9192</v>
      </c>
      <c r="P46" cm="1">
        <f t="array" ref="P46">MAX(IF((OutputTable[GroupByKey]=OutputTable[[#This Row],[GroupByKey]]),(OutputTable[GroupByKey]=OutputTable[[#This Row],[GroupByKey]])*OutputTable[RecordedValue]))</f>
        <v>9577</v>
      </c>
    </row>
    <row r="47" spans="1:16" x14ac:dyDescent="0.25">
      <c r="A47" t="s">
        <v>67</v>
      </c>
      <c r="B47" t="s">
        <v>69</v>
      </c>
      <c r="C47">
        <v>2</v>
      </c>
      <c r="D47" t="s">
        <v>137</v>
      </c>
      <c r="E47" t="s">
        <v>117</v>
      </c>
      <c r="F47" t="s">
        <v>96</v>
      </c>
      <c r="G47">
        <v>0.77941254464726095</v>
      </c>
      <c r="H47">
        <v>0</v>
      </c>
      <c r="I47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0.77500127942574837</v>
      </c>
      <c r="L47" cm="1">
        <f t="array" ref="L47">IFERROR(_xlfn.STDEV.S(IF((OutputTable[GroupByKey]=OutputTable[[#This Row],[GroupByKey]]),(OutputTable[GroupByKey]=OutputTable[[#This Row],[GroupByKey]])*OutputTable[RecordedValue])),0)</f>
        <v>1.1134375758682289E-2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47" cm="1">
        <f t="array" ref="O47">MIN(IF((OutputTable[GroupByKey]=OutputTable[[#This Row],[GroupByKey]]),(OutputTable[GroupByKey]=OutputTable[[#This Row],[GroupByKey]])*OutputTable[RecordedValue]))</f>
        <v>0.75864843854708297</v>
      </c>
      <c r="P47" cm="1">
        <f t="array" ref="P47">MAX(IF((OutputTable[GroupByKey]=OutputTable[[#This Row],[GroupByKey]]),(OutputTable[GroupByKey]=OutputTable[[#This Row],[GroupByKey]])*OutputTable[RecordedValue]))</f>
        <v>0.79252596119945096</v>
      </c>
    </row>
    <row r="48" spans="1:16" x14ac:dyDescent="0.25">
      <c r="A48" t="s">
        <v>67</v>
      </c>
      <c r="B48" t="s">
        <v>69</v>
      </c>
      <c r="C48">
        <v>2</v>
      </c>
      <c r="D48" t="s">
        <v>138</v>
      </c>
      <c r="E48" t="s">
        <v>115</v>
      </c>
      <c r="F48" t="s">
        <v>96</v>
      </c>
      <c r="G48">
        <v>12479</v>
      </c>
      <c r="H48">
        <v>0</v>
      </c>
      <c r="I48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12449.2</v>
      </c>
      <c r="L48" cm="1">
        <f t="array" ref="L48">IFERROR(_xlfn.STDEV.S(IF((OutputTable[GroupByKey]=OutputTable[[#This Row],[GroupByKey]]),(OutputTable[GroupByKey]=OutputTable[[#This Row],[GroupByKey]])*OutputTable[RecordedValue])),0)</f>
        <v>108.68691017985765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48" cm="1">
        <f t="array" ref="O48">MIN(IF((OutputTable[GroupByKey]=OutputTable[[#This Row],[GroupByKey]]),(OutputTable[GroupByKey]=OutputTable[[#This Row],[GroupByKey]])*OutputTable[RecordedValue]))</f>
        <v>12231</v>
      </c>
      <c r="P48" cm="1">
        <f t="array" ref="P48">MAX(IF((OutputTable[GroupByKey]=OutputTable[[#This Row],[GroupByKey]]),(OutputTable[GroupByKey]=OutputTable[[#This Row],[GroupByKey]])*OutputTable[RecordedValue]))</f>
        <v>12589</v>
      </c>
    </row>
    <row r="49" spans="1:16" x14ac:dyDescent="0.25">
      <c r="A49" t="s">
        <v>67</v>
      </c>
      <c r="B49" t="s">
        <v>69</v>
      </c>
      <c r="C49">
        <v>2</v>
      </c>
      <c r="D49" t="s">
        <v>139</v>
      </c>
      <c r="E49" t="s">
        <v>117</v>
      </c>
      <c r="F49" t="s">
        <v>96</v>
      </c>
      <c r="G49">
        <v>0.86416230461230104</v>
      </c>
      <c r="H49">
        <v>0</v>
      </c>
      <c r="I49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0.85958220767724303</v>
      </c>
      <c r="L49" cm="1">
        <f t="array" ref="L49">IFERROR(_xlfn.STDEV.S(IF((OutputTable[GroupByKey]=OutputTable[[#This Row],[GroupByKey]]),(OutputTable[GroupByKey]=OutputTable[[#This Row],[GroupByKey]])*OutputTable[RecordedValue])),0)</f>
        <v>8.2249879280646958E-3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49" cm="1">
        <f t="array" ref="O49">MIN(IF((OutputTable[GroupByKey]=OutputTable[[#This Row],[GroupByKey]]),(OutputTable[GroupByKey]=OutputTable[[#This Row],[GroupByKey]])*OutputTable[RecordedValue]))</f>
        <v>0.84465777371794004</v>
      </c>
      <c r="P49" cm="1">
        <f t="array" ref="P49">MAX(IF((OutputTable[GroupByKey]=OutputTable[[#This Row],[GroupByKey]]),(OutputTable[GroupByKey]=OutputTable[[#This Row],[GroupByKey]])*OutputTable[RecordedValue]))</f>
        <v>0.87000527345659695</v>
      </c>
    </row>
    <row r="50" spans="1:16" x14ac:dyDescent="0.25">
      <c r="A50" t="s">
        <v>67</v>
      </c>
      <c r="B50" t="s">
        <v>69</v>
      </c>
      <c r="C50">
        <v>2</v>
      </c>
      <c r="D50" t="s">
        <v>140</v>
      </c>
      <c r="E50" t="s">
        <v>115</v>
      </c>
      <c r="F50" t="s">
        <v>96</v>
      </c>
      <c r="G50">
        <v>13979</v>
      </c>
      <c r="H50">
        <v>0</v>
      </c>
      <c r="I50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14003.5</v>
      </c>
      <c r="L50" cm="1">
        <f t="array" ref="L50">IFERROR(_xlfn.STDEV.S(IF((OutputTable[GroupByKey]=OutputTable[[#This Row],[GroupByKey]]),(OutputTable[GroupByKey]=OutputTable[[#This Row],[GroupByKey]])*OutputTable[RecordedValue])),0)</f>
        <v>154.71640723164001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50" cm="1">
        <f t="array" ref="O50">MIN(IF((OutputTable[GroupByKey]=OutputTable[[#This Row],[GroupByKey]]),(OutputTable[GroupByKey]=OutputTable[[#This Row],[GroupByKey]])*OutputTable[RecordedValue]))</f>
        <v>13729</v>
      </c>
      <c r="P50" cm="1">
        <f t="array" ref="P50">MAX(IF((OutputTable[GroupByKey]=OutputTable[[#This Row],[GroupByKey]]),(OutputTable[GroupByKey]=OutputTable[[#This Row],[GroupByKey]])*OutputTable[RecordedValue]))</f>
        <v>14205</v>
      </c>
    </row>
    <row r="51" spans="1:16" x14ac:dyDescent="0.25">
      <c r="A51" t="s">
        <v>67</v>
      </c>
      <c r="B51" t="s">
        <v>69</v>
      </c>
      <c r="C51">
        <v>2</v>
      </c>
      <c r="D51" t="s">
        <v>141</v>
      </c>
      <c r="E51" t="s">
        <v>117</v>
      </c>
      <c r="F51" t="s">
        <v>96</v>
      </c>
      <c r="G51">
        <v>0.85145823741080795</v>
      </c>
      <c r="H51">
        <v>0</v>
      </c>
      <c r="I51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0.85369868202434152</v>
      </c>
      <c r="L51" cm="1">
        <f t="array" ref="L51">IFERROR(_xlfn.STDEV.S(IF((OutputTable[GroupByKey]=OutputTable[[#This Row],[GroupByKey]]),(OutputTable[GroupByKey]=OutputTable[[#This Row],[GroupByKey]])*OutputTable[RecordedValue])),0)</f>
        <v>9.4705605009894993E-3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51" cm="1">
        <f t="array" ref="O51">MIN(IF((OutputTable[GroupByKey]=OutputTable[[#This Row],[GroupByKey]]),(OutputTable[GroupByKey]=OutputTable[[#This Row],[GroupByKey]])*OutputTable[RecordedValue]))</f>
        <v>0.83618943731414597</v>
      </c>
      <c r="P51" cm="1">
        <f t="array" ref="P51">MAX(IF((OutputTable[GroupByKey]=OutputTable[[#This Row],[GroupByKey]]),(OutputTable[GroupByKey]=OutputTable[[#This Row],[GroupByKey]])*OutputTable[RecordedValue]))</f>
        <v>0.86586763783419696</v>
      </c>
    </row>
    <row r="52" spans="1:16" x14ac:dyDescent="0.25">
      <c r="A52" t="s">
        <v>67</v>
      </c>
      <c r="B52" t="s">
        <v>69</v>
      </c>
      <c r="C52">
        <v>2</v>
      </c>
      <c r="D52" t="s">
        <v>142</v>
      </c>
      <c r="E52" t="s">
        <v>115</v>
      </c>
      <c r="F52" t="s">
        <v>96</v>
      </c>
      <c r="G52">
        <v>9437</v>
      </c>
      <c r="H52">
        <v>0</v>
      </c>
      <c r="I52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9367.5</v>
      </c>
      <c r="L52" cm="1">
        <f t="array" ref="L52">IFERROR(_xlfn.STDEV.S(IF((OutputTable[GroupByKey]=OutputTable[[#This Row],[GroupByKey]]),(OutputTable[GroupByKey]=OutputTable[[#This Row],[GroupByKey]])*OutputTable[RecordedValue])),0)</f>
        <v>139.5916664179253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52" cm="1">
        <f t="array" ref="O52">MIN(IF((OutputTable[GroupByKey]=OutputTable[[#This Row],[GroupByKey]]),(OutputTable[GroupByKey]=OutputTable[[#This Row],[GroupByKey]])*OutputTable[RecordedValue]))</f>
        <v>9192</v>
      </c>
      <c r="P52" cm="1">
        <f t="array" ref="P52">MAX(IF((OutputTable[GroupByKey]=OutputTable[[#This Row],[GroupByKey]]),(OutputTable[GroupByKey]=OutputTable[[#This Row],[GroupByKey]])*OutputTable[RecordedValue]))</f>
        <v>9577</v>
      </c>
    </row>
    <row r="53" spans="1:16" x14ac:dyDescent="0.25">
      <c r="A53" t="s">
        <v>67</v>
      </c>
      <c r="B53" t="s">
        <v>69</v>
      </c>
      <c r="C53">
        <v>2</v>
      </c>
      <c r="D53" t="s">
        <v>143</v>
      </c>
      <c r="E53" t="s">
        <v>117</v>
      </c>
      <c r="F53" t="s">
        <v>96</v>
      </c>
      <c r="G53">
        <v>0.77941254464726095</v>
      </c>
      <c r="H53">
        <v>0</v>
      </c>
      <c r="I53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0.77500127942574837</v>
      </c>
      <c r="L53" cm="1">
        <f t="array" ref="L53">IFERROR(_xlfn.STDEV.S(IF((OutputTable[GroupByKey]=OutputTable[[#This Row],[GroupByKey]]),(OutputTable[GroupByKey]=OutputTable[[#This Row],[GroupByKey]])*OutputTable[RecordedValue])),0)</f>
        <v>1.1134375758682289E-2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53" cm="1">
        <f t="array" ref="O53">MIN(IF((OutputTable[GroupByKey]=OutputTable[[#This Row],[GroupByKey]]),(OutputTable[GroupByKey]=OutputTable[[#This Row],[GroupByKey]])*OutputTable[RecordedValue]))</f>
        <v>0.75864843854708297</v>
      </c>
      <c r="P53" cm="1">
        <f t="array" ref="P53">MAX(IF((OutputTable[GroupByKey]=OutputTable[[#This Row],[GroupByKey]]),(OutputTable[GroupByKey]=OutputTable[[#This Row],[GroupByKey]])*OutputTable[RecordedValue]))</f>
        <v>0.79252596119945096</v>
      </c>
    </row>
    <row r="54" spans="1:16" x14ac:dyDescent="0.25">
      <c r="A54" t="s">
        <v>67</v>
      </c>
      <c r="B54" t="s">
        <v>69</v>
      </c>
      <c r="C54">
        <v>2</v>
      </c>
      <c r="D54" t="s">
        <v>144</v>
      </c>
      <c r="E54" t="s">
        <v>115</v>
      </c>
      <c r="F54" t="s">
        <v>96</v>
      </c>
      <c r="G54">
        <v>12479</v>
      </c>
      <c r="H54">
        <v>0</v>
      </c>
      <c r="I54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12449.2</v>
      </c>
      <c r="L54" cm="1">
        <f t="array" ref="L54">IFERROR(_xlfn.STDEV.S(IF((OutputTable[GroupByKey]=OutputTable[[#This Row],[GroupByKey]]),(OutputTable[GroupByKey]=OutputTable[[#This Row],[GroupByKey]])*OutputTable[RecordedValue])),0)</f>
        <v>108.68691017985765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54" cm="1">
        <f t="array" ref="O54">MIN(IF((OutputTable[GroupByKey]=OutputTable[[#This Row],[GroupByKey]]),(OutputTable[GroupByKey]=OutputTable[[#This Row],[GroupByKey]])*OutputTable[RecordedValue]))</f>
        <v>12231</v>
      </c>
      <c r="P54" cm="1">
        <f t="array" ref="P54">MAX(IF((OutputTable[GroupByKey]=OutputTable[[#This Row],[GroupByKey]]),(OutputTable[GroupByKey]=OutputTable[[#This Row],[GroupByKey]])*OutputTable[RecordedValue]))</f>
        <v>12589</v>
      </c>
    </row>
    <row r="55" spans="1:16" x14ac:dyDescent="0.25">
      <c r="A55" t="s">
        <v>67</v>
      </c>
      <c r="B55" t="s">
        <v>69</v>
      </c>
      <c r="C55">
        <v>2</v>
      </c>
      <c r="D55" t="s">
        <v>145</v>
      </c>
      <c r="E55" t="s">
        <v>117</v>
      </c>
      <c r="F55" t="s">
        <v>96</v>
      </c>
      <c r="G55">
        <v>0.86416230461230104</v>
      </c>
      <c r="H55">
        <v>0</v>
      </c>
      <c r="I5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0.85958220767724303</v>
      </c>
      <c r="L55" cm="1">
        <f t="array" ref="L55">IFERROR(_xlfn.STDEV.S(IF((OutputTable[GroupByKey]=OutputTable[[#This Row],[GroupByKey]]),(OutputTable[GroupByKey]=OutputTable[[#This Row],[GroupByKey]])*OutputTable[RecordedValue])),0)</f>
        <v>8.2249879280646958E-3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55" cm="1">
        <f t="array" ref="O55">MIN(IF((OutputTable[GroupByKey]=OutputTable[[#This Row],[GroupByKey]]),(OutputTable[GroupByKey]=OutputTable[[#This Row],[GroupByKey]])*OutputTable[RecordedValue]))</f>
        <v>0.84465777371794004</v>
      </c>
      <c r="P55" cm="1">
        <f t="array" ref="P55">MAX(IF((OutputTable[GroupByKey]=OutputTable[[#This Row],[GroupByKey]]),(OutputTable[GroupByKey]=OutputTable[[#This Row],[GroupByKey]])*OutputTable[RecordedValue]))</f>
        <v>0.87000527345659695</v>
      </c>
    </row>
    <row r="56" spans="1:16" x14ac:dyDescent="0.25">
      <c r="A56" t="s">
        <v>67</v>
      </c>
      <c r="B56" t="s">
        <v>69</v>
      </c>
      <c r="C56">
        <v>3</v>
      </c>
      <c r="D56" t="s">
        <v>114</v>
      </c>
      <c r="E56" t="s">
        <v>115</v>
      </c>
      <c r="F56" t="s">
        <v>96</v>
      </c>
      <c r="G56">
        <v>12593</v>
      </c>
      <c r="H56">
        <v>0</v>
      </c>
      <c r="I56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12454.5</v>
      </c>
      <c r="L56" cm="1">
        <f t="array" ref="L56">IFERROR(_xlfn.STDEV.S(IF((OutputTable[GroupByKey]=OutputTable[[#This Row],[GroupByKey]]),(OutputTable[GroupByKey]=OutputTable[[#This Row],[GroupByKey]])*OutputTable[RecordedValue])),0)</f>
        <v>108.84979456929526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56" cm="1">
        <f t="array" ref="O56">MIN(IF((OutputTable[GroupByKey]=OutputTable[[#This Row],[GroupByKey]]),(OutputTable[GroupByKey]=OutputTable[[#This Row],[GroupByKey]])*OutputTable[RecordedValue]))</f>
        <v>12234</v>
      </c>
      <c r="P56" cm="1">
        <f t="array" ref="P56">MAX(IF((OutputTable[GroupByKey]=OutputTable[[#This Row],[GroupByKey]]),(OutputTable[GroupByKey]=OutputTable[[#This Row],[GroupByKey]])*OutputTable[RecordedValue]))</f>
        <v>12593</v>
      </c>
    </row>
    <row r="57" spans="1:16" x14ac:dyDescent="0.25">
      <c r="A57" t="s">
        <v>67</v>
      </c>
      <c r="B57" t="s">
        <v>69</v>
      </c>
      <c r="C57">
        <v>3</v>
      </c>
      <c r="D57" t="s">
        <v>116</v>
      </c>
      <c r="E57" t="s">
        <v>117</v>
      </c>
      <c r="F57" t="s">
        <v>96</v>
      </c>
      <c r="G57">
        <v>0.76817992377286104</v>
      </c>
      <c r="H57">
        <v>0</v>
      </c>
      <c r="I57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0.75203828164859643</v>
      </c>
      <c r="L57" cm="1">
        <f t="array" ref="L57">IFERROR(_xlfn.STDEV.S(IF((OutputTable[GroupByKey]=OutputTable[[#This Row],[GroupByKey]]),(OutputTable[GroupByKey]=OutputTable[[#This Row],[GroupByKey]])*OutputTable[RecordedValue])),0)</f>
        <v>9.2748854731057942E-3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57" cm="1">
        <f t="array" ref="O57">MIN(IF((OutputTable[GroupByKey]=OutputTable[[#This Row],[GroupByKey]]),(OutputTable[GroupByKey]=OutputTable[[#This Row],[GroupByKey]])*OutputTable[RecordedValue]))</f>
        <v>0.73578099184835299</v>
      </c>
      <c r="P57" cm="1">
        <f t="array" ref="P57">MAX(IF((OutputTable[GroupByKey]=OutputTable[[#This Row],[GroupByKey]]),(OutputTable[GroupByKey]=OutputTable[[#This Row],[GroupByKey]])*OutputTable[RecordedValue]))</f>
        <v>0.76817992377286104</v>
      </c>
    </row>
    <row r="58" spans="1:16" x14ac:dyDescent="0.25">
      <c r="A58" t="s">
        <v>67</v>
      </c>
      <c r="B58" t="s">
        <v>69</v>
      </c>
      <c r="C58">
        <v>3</v>
      </c>
      <c r="D58" t="s">
        <v>118</v>
      </c>
      <c r="E58" t="s">
        <v>115</v>
      </c>
      <c r="F58" t="s">
        <v>96</v>
      </c>
      <c r="G58">
        <v>6330</v>
      </c>
      <c r="H58">
        <v>0</v>
      </c>
      <c r="I58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6223.9</v>
      </c>
      <c r="L58" cm="1">
        <f t="array" ref="L58">IFERROR(_xlfn.STDEV.S(IF((OutputTable[GroupByKey]=OutputTable[[#This Row],[GroupByKey]]),(OutputTable[GroupByKey]=OutputTable[[#This Row],[GroupByKey]])*OutputTable[RecordedValue])),0)</f>
        <v>93.753162909608307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58" cm="1">
        <f t="array" ref="O58">MIN(IF((OutputTable[GroupByKey]=OutputTable[[#This Row],[GroupByKey]]),(OutputTable[GroupByKey]=OutputTable[[#This Row],[GroupByKey]])*OutputTable[RecordedValue]))</f>
        <v>6030</v>
      </c>
      <c r="P58" cm="1">
        <f t="array" ref="P58">MAX(IF((OutputTable[GroupByKey]=OutputTable[[#This Row],[GroupByKey]]),(OutputTable[GroupByKey]=OutputTable[[#This Row],[GroupByKey]])*OutputTable[RecordedValue]))</f>
        <v>6330</v>
      </c>
    </row>
    <row r="59" spans="1:16" x14ac:dyDescent="0.25">
      <c r="A59" t="s">
        <v>67</v>
      </c>
      <c r="B59" t="s">
        <v>69</v>
      </c>
      <c r="C59">
        <v>3</v>
      </c>
      <c r="D59" t="s">
        <v>119</v>
      </c>
      <c r="E59" t="s">
        <v>117</v>
      </c>
      <c r="F59" t="s">
        <v>96</v>
      </c>
      <c r="G59">
        <v>0.76666045600624</v>
      </c>
      <c r="H59">
        <v>0</v>
      </c>
      <c r="I59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0.75111586075292547</v>
      </c>
      <c r="L59" cm="1">
        <f t="array" ref="L59">IFERROR(_xlfn.STDEV.S(IF((OutputTable[GroupByKey]=OutputTable[[#This Row],[GroupByKey]]),(OutputTable[GroupByKey]=OutputTable[[#This Row],[GroupByKey]])*OutputTable[RecordedValue])),0)</f>
        <v>9.1926752531366566E-3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59" cm="1">
        <f t="array" ref="O59">MIN(IF((OutputTable[GroupByKey]=OutputTable[[#This Row],[GroupByKey]]),(OutputTable[GroupByKey]=OutputTable[[#This Row],[GroupByKey]])*OutputTable[RecordedValue]))</f>
        <v>0.73777590022083495</v>
      </c>
      <c r="P59" cm="1">
        <f t="array" ref="P59">MAX(IF((OutputTable[GroupByKey]=OutputTable[[#This Row],[GroupByKey]]),(OutputTable[GroupByKey]=OutputTable[[#This Row],[GroupByKey]])*OutputTable[RecordedValue]))</f>
        <v>0.76666045600624</v>
      </c>
    </row>
    <row r="60" spans="1:16" x14ac:dyDescent="0.25">
      <c r="A60" t="s">
        <v>67</v>
      </c>
      <c r="B60" t="s">
        <v>69</v>
      </c>
      <c r="C60">
        <v>3</v>
      </c>
      <c r="D60" t="s">
        <v>120</v>
      </c>
      <c r="E60" t="s">
        <v>115</v>
      </c>
      <c r="F60" t="s">
        <v>96</v>
      </c>
      <c r="G60">
        <v>6263</v>
      </c>
      <c r="H60">
        <v>0</v>
      </c>
      <c r="I60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6230.6</v>
      </c>
      <c r="L60" cm="1">
        <f t="array" ref="L60">IFERROR(_xlfn.STDEV.S(IF((OutputTable[GroupByKey]=OutputTable[[#This Row],[GroupByKey]]),(OutputTable[GroupByKey]=OutputTable[[#This Row],[GroupByKey]])*OutputTable[RecordedValue])),0)</f>
        <v>52.995177977707456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60" cm="1">
        <f t="array" ref="O60">MIN(IF((OutputTable[GroupByKey]=OutputTable[[#This Row],[GroupByKey]]),(OutputTable[GroupByKey]=OutputTable[[#This Row],[GroupByKey]])*OutputTable[RecordedValue]))</f>
        <v>6182</v>
      </c>
      <c r="P60" cm="1">
        <f t="array" ref="P60">MAX(IF((OutputTable[GroupByKey]=OutputTable[[#This Row],[GroupByKey]]),(OutputTable[GroupByKey]=OutputTable[[#This Row],[GroupByKey]])*OutputTable[RecordedValue]))</f>
        <v>6338</v>
      </c>
    </row>
    <row r="61" spans="1:16" x14ac:dyDescent="0.25">
      <c r="A61" t="s">
        <v>67</v>
      </c>
      <c r="B61" t="s">
        <v>69</v>
      </c>
      <c r="C61">
        <v>3</v>
      </c>
      <c r="D61" t="s">
        <v>121</v>
      </c>
      <c r="E61" t="s">
        <v>117</v>
      </c>
      <c r="F61" t="s">
        <v>96</v>
      </c>
      <c r="G61">
        <v>0.76969939153947697</v>
      </c>
      <c r="H61">
        <v>0</v>
      </c>
      <c r="I61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0.75296070254426462</v>
      </c>
      <c r="L61" cm="1">
        <f t="array" ref="L61">IFERROR(_xlfn.STDEV.S(IF((OutputTable[GroupByKey]=OutputTable[[#This Row],[GroupByKey]]),(OutputTable[GroupByKey]=OutputTable[[#This Row],[GroupByKey]])*OutputTable[RecordedValue])),0)</f>
        <v>1.0201996050203582E-2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61" cm="1">
        <f t="array" ref="O61">MIN(IF((OutputTable[GroupByKey]=OutputTable[[#This Row],[GroupByKey]]),(OutputTable[GroupByKey]=OutputTable[[#This Row],[GroupByKey]])*OutputTable[RecordedValue]))</f>
        <v>0.73378608347586405</v>
      </c>
      <c r="P61" cm="1">
        <f t="array" ref="P61">MAX(IF((OutputTable[GroupByKey]=OutputTable[[#This Row],[GroupByKey]]),(OutputTable[GroupByKey]=OutputTable[[#This Row],[GroupByKey]])*OutputTable[RecordedValue]))</f>
        <v>0.76969939153947697</v>
      </c>
    </row>
    <row r="62" spans="1:16" x14ac:dyDescent="0.25">
      <c r="A62" t="s">
        <v>67</v>
      </c>
      <c r="B62" t="s">
        <v>69</v>
      </c>
      <c r="C62">
        <v>3</v>
      </c>
      <c r="D62" t="s">
        <v>122</v>
      </c>
      <c r="E62" t="s">
        <v>123</v>
      </c>
      <c r="F62" t="s">
        <v>75</v>
      </c>
      <c r="G62">
        <v>12594</v>
      </c>
      <c r="H62">
        <v>0</v>
      </c>
      <c r="I62" t="str">
        <f>OutputTable[[#This Row],[ProjectName]]&amp;OutputTable[[#This Row],[Name]]&amp;OutputTable[[#This Row],[Type]]&amp;OutputTable[[#This Row],[Source]]</f>
        <v>Unnamed ProjectEntity 1.NumberInNumber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12455.3</v>
      </c>
      <c r="L62" cm="1">
        <f t="array" ref="L62">IFERROR(_xlfn.STDEV.S(IF((OutputTable[GroupByKey]=OutputTable[[#This Row],[GroupByKey]]),(OutputTable[GroupByKey]=OutputTable[[#This Row],[GroupByKey]])*OutputTable[RecordedValue])),0)</f>
        <v>109.29577606964813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62" cm="1">
        <f t="array" ref="O62">MIN(IF((OutputTable[GroupByKey]=OutputTable[[#This Row],[GroupByKey]]),(OutputTable[GroupByKey]=OutputTable[[#This Row],[GroupByKey]])*OutputTable[RecordedValue]))</f>
        <v>12234</v>
      </c>
      <c r="P62" cm="1">
        <f t="array" ref="P62">MAX(IF((OutputTable[GroupByKey]=OutputTable[[#This Row],[GroupByKey]]),(OutputTable[GroupByKey]=OutputTable[[#This Row],[GroupByKey]])*OutputTable[RecordedValue]))</f>
        <v>12594</v>
      </c>
    </row>
    <row r="63" spans="1:16" x14ac:dyDescent="0.25">
      <c r="A63" t="s">
        <v>67</v>
      </c>
      <c r="B63" t="s">
        <v>69</v>
      </c>
      <c r="C63">
        <v>3</v>
      </c>
      <c r="D63" t="s">
        <v>124</v>
      </c>
      <c r="E63" t="s">
        <v>125</v>
      </c>
      <c r="F63" t="s">
        <v>75</v>
      </c>
      <c r="G63">
        <v>12584</v>
      </c>
      <c r="H63">
        <v>0</v>
      </c>
      <c r="I63" t="str">
        <f>OutputTable[[#This Row],[ProjectName]]&amp;OutputTable[[#This Row],[Name]]&amp;OutputTable[[#This Row],[Type]]&amp;OutputTable[[#This Row],[Source]]</f>
        <v>Unnamed ProjectEntity 1.NumberOutNumber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12441.9</v>
      </c>
      <c r="L63" cm="1">
        <f t="array" ref="L63">IFERROR(_xlfn.STDEV.S(IF((OutputTable[GroupByKey]=OutputTable[[#This Row],[GroupByKey]]),(OutputTable[GroupByKey]=OutputTable[[#This Row],[GroupByKey]])*OutputTable[RecordedValue])),0)</f>
        <v>109.66965548105516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63" cm="1">
        <f t="array" ref="O63">MIN(IF((OutputTable[GroupByKey]=OutputTable[[#This Row],[GroupByKey]]),(OutputTable[GroupByKey]=OutputTable[[#This Row],[GroupByKey]])*OutputTable[RecordedValue]))</f>
        <v>12224</v>
      </c>
      <c r="P63" cm="1">
        <f t="array" ref="P63">MAX(IF((OutputTable[GroupByKey]=OutputTable[[#This Row],[GroupByKey]]),(OutputTable[GroupByKey]=OutputTable[[#This Row],[GroupByKey]])*OutputTable[RecordedValue]))</f>
        <v>12584</v>
      </c>
    </row>
    <row r="64" spans="1:16" x14ac:dyDescent="0.25">
      <c r="A64" t="s">
        <v>67</v>
      </c>
      <c r="B64" t="s">
        <v>69</v>
      </c>
      <c r="C64">
        <v>3</v>
      </c>
      <c r="D64" t="s">
        <v>126</v>
      </c>
      <c r="E64" t="s">
        <v>115</v>
      </c>
      <c r="F64" t="s">
        <v>96</v>
      </c>
      <c r="G64">
        <v>4202</v>
      </c>
      <c r="H64">
        <v>0</v>
      </c>
      <c r="I64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4151.1000000000004</v>
      </c>
      <c r="L64" cm="1">
        <f t="array" ref="L64">IFERROR(_xlfn.STDEV.S(IF((OutputTable[GroupByKey]=OutputTable[[#This Row],[GroupByKey]]),(OutputTable[GroupByKey]=OutputTable[[#This Row],[GroupByKey]])*OutputTable[RecordedValue])),0)</f>
        <v>38.420046850570081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64" cm="1">
        <f t="array" ref="O64">MIN(IF((OutputTable[GroupByKey]=OutputTable[[#This Row],[GroupByKey]]),(OutputTable[GroupByKey]=OutputTable[[#This Row],[GroupByKey]])*OutputTable[RecordedValue]))</f>
        <v>4077</v>
      </c>
      <c r="P64" cm="1">
        <f t="array" ref="P64">MAX(IF((OutputTable[GroupByKey]=OutputTable[[#This Row],[GroupByKey]]),(OutputTable[GroupByKey]=OutputTable[[#This Row],[GroupByKey]])*OutputTable[RecordedValue]))</f>
        <v>4202</v>
      </c>
    </row>
    <row r="65" spans="1:16" x14ac:dyDescent="0.25">
      <c r="A65" t="s">
        <v>67</v>
      </c>
      <c r="B65" t="s">
        <v>69</v>
      </c>
      <c r="C65">
        <v>3</v>
      </c>
      <c r="D65" t="s">
        <v>127</v>
      </c>
      <c r="E65" t="s">
        <v>117</v>
      </c>
      <c r="F65" t="s">
        <v>96</v>
      </c>
      <c r="G65">
        <v>0.87421498861245095</v>
      </c>
      <c r="H65">
        <v>0</v>
      </c>
      <c r="I6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0.86617223927529052</v>
      </c>
      <c r="L65" cm="1">
        <f t="array" ref="L65">IFERROR(_xlfn.STDEV.S(IF((OutputTable[GroupByKey]=OutputTable[[#This Row],[GroupByKey]]),(OutputTable[GroupByKey]=OutputTable[[#This Row],[GroupByKey]])*OutputTable[RecordedValue])),0)</f>
        <v>7.3264677567561349E-3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65" cm="1">
        <f t="array" ref="O65">MIN(IF((OutputTable[GroupByKey]=OutputTable[[#This Row],[GroupByKey]]),(OutputTable[GroupByKey]=OutputTable[[#This Row],[GroupByKey]])*OutputTable[RecordedValue]))</f>
        <v>0.85300206766602205</v>
      </c>
      <c r="P65" cm="1">
        <f t="array" ref="P65">MAX(IF((OutputTable[GroupByKey]=OutputTable[[#This Row],[GroupByKey]]),(OutputTable[GroupByKey]=OutputTable[[#This Row],[GroupByKey]])*OutputTable[RecordedValue]))</f>
        <v>0.87632698102425799</v>
      </c>
    </row>
    <row r="66" spans="1:16" x14ac:dyDescent="0.25">
      <c r="A66" t="s">
        <v>67</v>
      </c>
      <c r="B66" t="s">
        <v>69</v>
      </c>
      <c r="C66">
        <v>3</v>
      </c>
      <c r="D66" t="s">
        <v>128</v>
      </c>
      <c r="E66" t="s">
        <v>115</v>
      </c>
      <c r="F66" t="s">
        <v>96</v>
      </c>
      <c r="G66">
        <v>4199</v>
      </c>
      <c r="H66">
        <v>0</v>
      </c>
      <c r="I66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4147.7</v>
      </c>
      <c r="L66" cm="1">
        <f t="array" ref="L66">IFERROR(_xlfn.STDEV.S(IF((OutputTable[GroupByKey]=OutputTable[[#This Row],[GroupByKey]]),(OutputTable[GroupByKey]=OutputTable[[#This Row],[GroupByKey]])*OutputTable[RecordedValue])),0)</f>
        <v>35.339779286237771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66" cm="1">
        <f t="array" ref="O66">MIN(IF((OutputTable[GroupByKey]=OutputTable[[#This Row],[GroupByKey]]),(OutputTable[GroupByKey]=OutputTable[[#This Row],[GroupByKey]])*OutputTable[RecordedValue]))</f>
        <v>4072</v>
      </c>
      <c r="P66" cm="1">
        <f t="array" ref="P66">MAX(IF((OutputTable[GroupByKey]=OutputTable[[#This Row],[GroupByKey]]),(OutputTable[GroupByKey]=OutputTable[[#This Row],[GroupByKey]])*OutputTable[RecordedValue]))</f>
        <v>4199</v>
      </c>
    </row>
    <row r="67" spans="1:16" x14ac:dyDescent="0.25">
      <c r="A67" t="s">
        <v>67</v>
      </c>
      <c r="B67" t="s">
        <v>69</v>
      </c>
      <c r="C67">
        <v>3</v>
      </c>
      <c r="D67" t="s">
        <v>129</v>
      </c>
      <c r="E67" t="s">
        <v>117</v>
      </c>
      <c r="F67" t="s">
        <v>96</v>
      </c>
      <c r="G67">
        <v>0.87245955473986703</v>
      </c>
      <c r="H67">
        <v>0</v>
      </c>
      <c r="I67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0.86586513532824916</v>
      </c>
      <c r="L67" cm="1">
        <f t="array" ref="L67">IFERROR(_xlfn.STDEV.S(IF((OutputTable[GroupByKey]=OutputTable[[#This Row],[GroupByKey]]),(OutputTable[GroupByKey]=OutputTable[[#This Row],[GroupByKey]])*OutputTable[RecordedValue])),0)</f>
        <v>7.1981559947843117E-3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67" cm="1">
        <f t="array" ref="O67">MIN(IF((OutputTable[GroupByKey]=OutputTable[[#This Row],[GroupByKey]]),(OutputTable[GroupByKey]=OutputTable[[#This Row],[GroupByKey]])*OutputTable[RecordedValue]))</f>
        <v>0.85267322894137698</v>
      </c>
      <c r="P67" cm="1">
        <f t="array" ref="P67">MAX(IF((OutputTable[GroupByKey]=OutputTable[[#This Row],[GroupByKey]]),(OutputTable[GroupByKey]=OutputTable[[#This Row],[GroupByKey]])*OutputTable[RecordedValue]))</f>
        <v>0.87300868153341904</v>
      </c>
    </row>
    <row r="68" spans="1:16" x14ac:dyDescent="0.25">
      <c r="A68" t="s">
        <v>67</v>
      </c>
      <c r="B68" t="s">
        <v>69</v>
      </c>
      <c r="C68">
        <v>3</v>
      </c>
      <c r="D68" t="s">
        <v>130</v>
      </c>
      <c r="E68" t="s">
        <v>115</v>
      </c>
      <c r="F68" t="s">
        <v>96</v>
      </c>
      <c r="G68">
        <v>4184</v>
      </c>
      <c r="H68">
        <v>0</v>
      </c>
      <c r="I68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4145.8</v>
      </c>
      <c r="L68" cm="1">
        <f t="array" ref="L68">IFERROR(_xlfn.STDEV.S(IF((OutputTable[GroupByKey]=OutputTable[[#This Row],[GroupByKey]]),(OutputTable[GroupByKey]=OutputTable[[#This Row],[GroupByKey]])*OutputTable[RecordedValue])),0)</f>
        <v>38.883872692358665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68" cm="1">
        <f t="array" ref="O68">MIN(IF((OutputTable[GroupByKey]=OutputTable[[#This Row],[GroupByKey]]),(OutputTable[GroupByKey]=OutputTable[[#This Row],[GroupByKey]])*OutputTable[RecordedValue]))</f>
        <v>4076</v>
      </c>
      <c r="P68" cm="1">
        <f t="array" ref="P68">MAX(IF((OutputTable[GroupByKey]=OutputTable[[#This Row],[GroupByKey]]),(OutputTable[GroupByKey]=OutputTable[[#This Row],[GroupByKey]])*OutputTable[RecordedValue]))</f>
        <v>4184</v>
      </c>
    </row>
    <row r="69" spans="1:16" x14ac:dyDescent="0.25">
      <c r="A69" t="s">
        <v>67</v>
      </c>
      <c r="B69" t="s">
        <v>69</v>
      </c>
      <c r="C69">
        <v>3</v>
      </c>
      <c r="D69" t="s">
        <v>131</v>
      </c>
      <c r="E69" t="s">
        <v>117</v>
      </c>
      <c r="F69" t="s">
        <v>96</v>
      </c>
      <c r="G69">
        <v>0.87436351179675398</v>
      </c>
      <c r="H69">
        <v>0</v>
      </c>
      <c r="I69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0.86584756987747569</v>
      </c>
      <c r="L69" cm="1">
        <f t="array" ref="L69">IFERROR(_xlfn.STDEV.S(IF((OutputTable[GroupByKey]=OutputTable[[#This Row],[GroupByKey]]),(OutputTable[GroupByKey]=OutputTable[[#This Row],[GroupByKey]])*OutputTable[RecordedValue])),0)</f>
        <v>7.1198499498994544E-3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69" cm="1">
        <f t="array" ref="O69">MIN(IF((OutputTable[GroupByKey]=OutputTable[[#This Row],[GroupByKey]]),(OutputTable[GroupByKey]=OutputTable[[#This Row],[GroupByKey]])*OutputTable[RecordedValue]))</f>
        <v>0.85312589705184705</v>
      </c>
      <c r="P69" cm="1">
        <f t="array" ref="P69">MAX(IF((OutputTable[GroupByKey]=OutputTable[[#This Row],[GroupByKey]]),(OutputTable[GroupByKey]=OutputTable[[#This Row],[GroupByKey]])*OutputTable[RecordedValue]))</f>
        <v>0.87436351179675398</v>
      </c>
    </row>
    <row r="70" spans="1:16" x14ac:dyDescent="0.25">
      <c r="A70" t="s">
        <v>67</v>
      </c>
      <c r="B70" t="s">
        <v>69</v>
      </c>
      <c r="C70">
        <v>3</v>
      </c>
      <c r="D70" t="s">
        <v>132</v>
      </c>
      <c r="E70" t="s">
        <v>125</v>
      </c>
      <c r="F70" t="s">
        <v>133</v>
      </c>
      <c r="G70">
        <v>12584</v>
      </c>
      <c r="H70">
        <v>0</v>
      </c>
      <c r="I70" t="str">
        <f>OutputTable[[#This Row],[ProjectName]]&amp;OutputTable[[#This Row],[Name]]&amp;OutputTable[[#This Row],[Type]]&amp;OutputTable[[#This Row],[Source]]</f>
        <v>Unnamed ProjectSystem.NumberOutNumber OutSystem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12441.9</v>
      </c>
      <c r="L70" cm="1">
        <f t="array" ref="L70">IFERROR(_xlfn.STDEV.S(IF((OutputTable[GroupByKey]=OutputTable[[#This Row],[GroupByKey]]),(OutputTable[GroupByKey]=OutputTable[[#This Row],[GroupByKey]])*OutputTable[RecordedValue])),0)</f>
        <v>109.66965548105516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70" cm="1">
        <f t="array" ref="O70">MIN(IF((OutputTable[GroupByKey]=OutputTable[[#This Row],[GroupByKey]]),(OutputTable[GroupByKey]=OutputTable[[#This Row],[GroupByKey]])*OutputTable[RecordedValue]))</f>
        <v>12224</v>
      </c>
      <c r="P70" cm="1">
        <f t="array" ref="P70">MAX(IF((OutputTable[GroupByKey]=OutputTable[[#This Row],[GroupByKey]]),(OutputTable[GroupByKey]=OutputTable[[#This Row],[GroupByKey]])*OutputTable[RecordedValue]))</f>
        <v>12584</v>
      </c>
    </row>
    <row r="71" spans="1:16" x14ac:dyDescent="0.25">
      <c r="A71" t="s">
        <v>67</v>
      </c>
      <c r="B71" t="s">
        <v>69</v>
      </c>
      <c r="C71">
        <v>3</v>
      </c>
      <c r="D71" t="s">
        <v>134</v>
      </c>
      <c r="E71" t="s">
        <v>115</v>
      </c>
      <c r="F71" t="s">
        <v>96</v>
      </c>
      <c r="G71">
        <v>14205</v>
      </c>
      <c r="H71">
        <v>0</v>
      </c>
      <c r="I71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14003.5</v>
      </c>
      <c r="L71" cm="1">
        <f t="array" ref="L71">IFERROR(_xlfn.STDEV.S(IF((OutputTable[GroupByKey]=OutputTable[[#This Row],[GroupByKey]]),(OutputTable[GroupByKey]=OutputTable[[#This Row],[GroupByKey]])*OutputTable[RecordedValue])),0)</f>
        <v>154.71640723164001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71" cm="1">
        <f t="array" ref="O71">MIN(IF((OutputTable[GroupByKey]=OutputTable[[#This Row],[GroupByKey]]),(OutputTable[GroupByKey]=OutputTable[[#This Row],[GroupByKey]])*OutputTable[RecordedValue]))</f>
        <v>13729</v>
      </c>
      <c r="P71" cm="1">
        <f t="array" ref="P71">MAX(IF((OutputTable[GroupByKey]=OutputTable[[#This Row],[GroupByKey]]),(OutputTable[GroupByKey]=OutputTable[[#This Row],[GroupByKey]])*OutputTable[RecordedValue]))</f>
        <v>14205</v>
      </c>
    </row>
    <row r="72" spans="1:16" x14ac:dyDescent="0.25">
      <c r="A72" t="s">
        <v>67</v>
      </c>
      <c r="B72" t="s">
        <v>69</v>
      </c>
      <c r="C72">
        <v>3</v>
      </c>
      <c r="D72" t="s">
        <v>135</v>
      </c>
      <c r="E72" t="s">
        <v>117</v>
      </c>
      <c r="F72" t="s">
        <v>96</v>
      </c>
      <c r="G72">
        <v>0.86586763783419696</v>
      </c>
      <c r="H72">
        <v>0</v>
      </c>
      <c r="I72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0.85369868202434152</v>
      </c>
      <c r="L72" cm="1">
        <f t="array" ref="L72">IFERROR(_xlfn.STDEV.S(IF((OutputTable[GroupByKey]=OutputTable[[#This Row],[GroupByKey]]),(OutputTable[GroupByKey]=OutputTable[[#This Row],[GroupByKey]])*OutputTable[RecordedValue])),0)</f>
        <v>9.4705605009894993E-3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72" cm="1">
        <f t="array" ref="O72">MIN(IF((OutputTable[GroupByKey]=OutputTable[[#This Row],[GroupByKey]]),(OutputTable[GroupByKey]=OutputTable[[#This Row],[GroupByKey]])*OutputTable[RecordedValue]))</f>
        <v>0.83618943731414597</v>
      </c>
      <c r="P72" cm="1">
        <f t="array" ref="P72">MAX(IF((OutputTable[GroupByKey]=OutputTable[[#This Row],[GroupByKey]]),(OutputTable[GroupByKey]=OutputTable[[#This Row],[GroupByKey]])*OutputTable[RecordedValue]))</f>
        <v>0.86586763783419696</v>
      </c>
    </row>
    <row r="73" spans="1:16" x14ac:dyDescent="0.25">
      <c r="A73" t="s">
        <v>67</v>
      </c>
      <c r="B73" t="s">
        <v>69</v>
      </c>
      <c r="C73">
        <v>3</v>
      </c>
      <c r="D73" t="s">
        <v>136</v>
      </c>
      <c r="E73" t="s">
        <v>115</v>
      </c>
      <c r="F73" t="s">
        <v>96</v>
      </c>
      <c r="G73">
        <v>9496</v>
      </c>
      <c r="H73">
        <v>0</v>
      </c>
      <c r="I73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9367.5</v>
      </c>
      <c r="L73" cm="1">
        <f t="array" ref="L73">IFERROR(_xlfn.STDEV.S(IF((OutputTable[GroupByKey]=OutputTable[[#This Row],[GroupByKey]]),(OutputTable[GroupByKey]=OutputTable[[#This Row],[GroupByKey]])*OutputTable[RecordedValue])),0)</f>
        <v>139.5916664179253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73" cm="1">
        <f t="array" ref="O73">MIN(IF((OutputTable[GroupByKey]=OutputTable[[#This Row],[GroupByKey]]),(OutputTable[GroupByKey]=OutputTable[[#This Row],[GroupByKey]])*OutputTable[RecordedValue]))</f>
        <v>9192</v>
      </c>
      <c r="P73" cm="1">
        <f t="array" ref="P73">MAX(IF((OutputTable[GroupByKey]=OutputTable[[#This Row],[GroupByKey]]),(OutputTable[GroupByKey]=OutputTable[[#This Row],[GroupByKey]])*OutputTable[RecordedValue]))</f>
        <v>9577</v>
      </c>
    </row>
    <row r="74" spans="1:16" x14ac:dyDescent="0.25">
      <c r="A74" t="s">
        <v>67</v>
      </c>
      <c r="B74" t="s">
        <v>69</v>
      </c>
      <c r="C74">
        <v>3</v>
      </c>
      <c r="D74" t="s">
        <v>137</v>
      </c>
      <c r="E74" t="s">
        <v>117</v>
      </c>
      <c r="F74" t="s">
        <v>96</v>
      </c>
      <c r="G74">
        <v>0.78350798083529505</v>
      </c>
      <c r="H74">
        <v>0</v>
      </c>
      <c r="I74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0.77500127942574837</v>
      </c>
      <c r="L74" cm="1">
        <f t="array" ref="L74">IFERROR(_xlfn.STDEV.S(IF((OutputTable[GroupByKey]=OutputTable[[#This Row],[GroupByKey]]),(OutputTable[GroupByKey]=OutputTable[[#This Row],[GroupByKey]])*OutputTable[RecordedValue])),0)</f>
        <v>1.1134375758682289E-2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74" cm="1">
        <f t="array" ref="O74">MIN(IF((OutputTable[GroupByKey]=OutputTable[[#This Row],[GroupByKey]]),(OutputTable[GroupByKey]=OutputTable[[#This Row],[GroupByKey]])*OutputTable[RecordedValue]))</f>
        <v>0.75864843854708297</v>
      </c>
      <c r="P74" cm="1">
        <f t="array" ref="P74">MAX(IF((OutputTable[GroupByKey]=OutputTable[[#This Row],[GroupByKey]]),(OutputTable[GroupByKey]=OutputTable[[#This Row],[GroupByKey]])*OutputTable[RecordedValue]))</f>
        <v>0.79252596119945096</v>
      </c>
    </row>
    <row r="75" spans="1:16" x14ac:dyDescent="0.25">
      <c r="A75" t="s">
        <v>67</v>
      </c>
      <c r="B75" t="s">
        <v>69</v>
      </c>
      <c r="C75">
        <v>3</v>
      </c>
      <c r="D75" t="s">
        <v>138</v>
      </c>
      <c r="E75" t="s">
        <v>115</v>
      </c>
      <c r="F75" t="s">
        <v>96</v>
      </c>
      <c r="G75">
        <v>12589</v>
      </c>
      <c r="H75">
        <v>0</v>
      </c>
      <c r="I7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12449.2</v>
      </c>
      <c r="L75" cm="1">
        <f t="array" ref="L75">IFERROR(_xlfn.STDEV.S(IF((OutputTable[GroupByKey]=OutputTable[[#This Row],[GroupByKey]]),(OutputTable[GroupByKey]=OutputTable[[#This Row],[GroupByKey]])*OutputTable[RecordedValue])),0)</f>
        <v>108.68691017985765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75" cm="1">
        <f t="array" ref="O75">MIN(IF((OutputTable[GroupByKey]=OutputTable[[#This Row],[GroupByKey]]),(OutputTable[GroupByKey]=OutputTable[[#This Row],[GroupByKey]])*OutputTable[RecordedValue]))</f>
        <v>12231</v>
      </c>
      <c r="P75" cm="1">
        <f t="array" ref="P75">MAX(IF((OutputTable[GroupByKey]=OutputTable[[#This Row],[GroupByKey]]),(OutputTable[GroupByKey]=OutputTable[[#This Row],[GroupByKey]])*OutputTable[RecordedValue]))</f>
        <v>12589</v>
      </c>
    </row>
    <row r="76" spans="1:16" x14ac:dyDescent="0.25">
      <c r="A76" t="s">
        <v>67</v>
      </c>
      <c r="B76" t="s">
        <v>69</v>
      </c>
      <c r="C76">
        <v>3</v>
      </c>
      <c r="D76" t="s">
        <v>139</v>
      </c>
      <c r="E76" t="s">
        <v>117</v>
      </c>
      <c r="F76" t="s">
        <v>96</v>
      </c>
      <c r="G76">
        <v>0.86808987891478295</v>
      </c>
      <c r="H76">
        <v>0</v>
      </c>
      <c r="I76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0.85958220767724303</v>
      </c>
      <c r="L76" cm="1">
        <f t="array" ref="L76">IFERROR(_xlfn.STDEV.S(IF((OutputTable[GroupByKey]=OutputTable[[#This Row],[GroupByKey]]),(OutputTable[GroupByKey]=OutputTable[[#This Row],[GroupByKey]])*OutputTable[RecordedValue])),0)</f>
        <v>8.2249879280646958E-3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76" cm="1">
        <f t="array" ref="O76">MIN(IF((OutputTable[GroupByKey]=OutputTable[[#This Row],[GroupByKey]]),(OutputTable[GroupByKey]=OutputTable[[#This Row],[GroupByKey]])*OutputTable[RecordedValue]))</f>
        <v>0.84465777371794004</v>
      </c>
      <c r="P76" cm="1">
        <f t="array" ref="P76">MAX(IF((OutputTable[GroupByKey]=OutputTable[[#This Row],[GroupByKey]]),(OutputTable[GroupByKey]=OutputTable[[#This Row],[GroupByKey]])*OutputTable[RecordedValue]))</f>
        <v>0.87000527345659695</v>
      </c>
    </row>
    <row r="77" spans="1:16" x14ac:dyDescent="0.25">
      <c r="A77" t="s">
        <v>67</v>
      </c>
      <c r="B77" t="s">
        <v>69</v>
      </c>
      <c r="C77">
        <v>3</v>
      </c>
      <c r="D77" t="s">
        <v>140</v>
      </c>
      <c r="E77" t="s">
        <v>115</v>
      </c>
      <c r="F77" t="s">
        <v>96</v>
      </c>
      <c r="G77">
        <v>14205</v>
      </c>
      <c r="H77">
        <v>0</v>
      </c>
      <c r="I77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14003.5</v>
      </c>
      <c r="L77" cm="1">
        <f t="array" ref="L77">IFERROR(_xlfn.STDEV.S(IF((OutputTable[GroupByKey]=OutputTable[[#This Row],[GroupByKey]]),(OutputTable[GroupByKey]=OutputTable[[#This Row],[GroupByKey]])*OutputTable[RecordedValue])),0)</f>
        <v>154.71640723164001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77" cm="1">
        <f t="array" ref="O77">MIN(IF((OutputTable[GroupByKey]=OutputTable[[#This Row],[GroupByKey]]),(OutputTable[GroupByKey]=OutputTable[[#This Row],[GroupByKey]])*OutputTable[RecordedValue]))</f>
        <v>13729</v>
      </c>
      <c r="P77" cm="1">
        <f t="array" ref="P77">MAX(IF((OutputTable[GroupByKey]=OutputTable[[#This Row],[GroupByKey]]),(OutputTable[GroupByKey]=OutputTable[[#This Row],[GroupByKey]])*OutputTable[RecordedValue]))</f>
        <v>14205</v>
      </c>
    </row>
    <row r="78" spans="1:16" x14ac:dyDescent="0.25">
      <c r="A78" t="s">
        <v>67</v>
      </c>
      <c r="B78" t="s">
        <v>69</v>
      </c>
      <c r="C78">
        <v>3</v>
      </c>
      <c r="D78" t="s">
        <v>141</v>
      </c>
      <c r="E78" t="s">
        <v>117</v>
      </c>
      <c r="F78" t="s">
        <v>96</v>
      </c>
      <c r="G78">
        <v>0.86586763783419696</v>
      </c>
      <c r="H78">
        <v>0</v>
      </c>
      <c r="I78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0.85369868202434152</v>
      </c>
      <c r="L78" cm="1">
        <f t="array" ref="L78">IFERROR(_xlfn.STDEV.S(IF((OutputTable[GroupByKey]=OutputTable[[#This Row],[GroupByKey]]),(OutputTable[GroupByKey]=OutputTable[[#This Row],[GroupByKey]])*OutputTable[RecordedValue])),0)</f>
        <v>9.4705605009894993E-3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78" cm="1">
        <f t="array" ref="O78">MIN(IF((OutputTable[GroupByKey]=OutputTable[[#This Row],[GroupByKey]]),(OutputTable[GroupByKey]=OutputTable[[#This Row],[GroupByKey]])*OutputTable[RecordedValue]))</f>
        <v>0.83618943731414597</v>
      </c>
      <c r="P78" cm="1">
        <f t="array" ref="P78">MAX(IF((OutputTable[GroupByKey]=OutputTable[[#This Row],[GroupByKey]]),(OutputTable[GroupByKey]=OutputTable[[#This Row],[GroupByKey]])*OutputTable[RecordedValue]))</f>
        <v>0.86586763783419696</v>
      </c>
    </row>
    <row r="79" spans="1:16" x14ac:dyDescent="0.25">
      <c r="A79" t="s">
        <v>67</v>
      </c>
      <c r="B79" t="s">
        <v>69</v>
      </c>
      <c r="C79">
        <v>3</v>
      </c>
      <c r="D79" t="s">
        <v>142</v>
      </c>
      <c r="E79" t="s">
        <v>115</v>
      </c>
      <c r="F79" t="s">
        <v>96</v>
      </c>
      <c r="G79">
        <v>9496</v>
      </c>
      <c r="H79">
        <v>0</v>
      </c>
      <c r="I79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9367.5</v>
      </c>
      <c r="L79" cm="1">
        <f t="array" ref="L79">IFERROR(_xlfn.STDEV.S(IF((OutputTable[GroupByKey]=OutputTable[[#This Row],[GroupByKey]]),(OutputTable[GroupByKey]=OutputTable[[#This Row],[GroupByKey]])*OutputTable[RecordedValue])),0)</f>
        <v>139.5916664179253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79" cm="1">
        <f t="array" ref="O79">MIN(IF((OutputTable[GroupByKey]=OutputTable[[#This Row],[GroupByKey]]),(OutputTable[GroupByKey]=OutputTable[[#This Row],[GroupByKey]])*OutputTable[RecordedValue]))</f>
        <v>9192</v>
      </c>
      <c r="P79" cm="1">
        <f t="array" ref="P79">MAX(IF((OutputTable[GroupByKey]=OutputTable[[#This Row],[GroupByKey]]),(OutputTable[GroupByKey]=OutputTable[[#This Row],[GroupByKey]])*OutputTable[RecordedValue]))</f>
        <v>9577</v>
      </c>
    </row>
    <row r="80" spans="1:16" x14ac:dyDescent="0.25">
      <c r="A80" t="s">
        <v>67</v>
      </c>
      <c r="B80" t="s">
        <v>69</v>
      </c>
      <c r="C80">
        <v>3</v>
      </c>
      <c r="D80" t="s">
        <v>143</v>
      </c>
      <c r="E80" t="s">
        <v>117</v>
      </c>
      <c r="F80" t="s">
        <v>96</v>
      </c>
      <c r="G80">
        <v>0.78350798083529505</v>
      </c>
      <c r="H80">
        <v>0</v>
      </c>
      <c r="I80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0.77500127942574837</v>
      </c>
      <c r="L80" cm="1">
        <f t="array" ref="L80">IFERROR(_xlfn.STDEV.S(IF((OutputTable[GroupByKey]=OutputTable[[#This Row],[GroupByKey]]),(OutputTable[GroupByKey]=OutputTable[[#This Row],[GroupByKey]])*OutputTable[RecordedValue])),0)</f>
        <v>1.1134375758682289E-2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80" cm="1">
        <f t="array" ref="O80">MIN(IF((OutputTable[GroupByKey]=OutputTable[[#This Row],[GroupByKey]]),(OutputTable[GroupByKey]=OutputTable[[#This Row],[GroupByKey]])*OutputTable[RecordedValue]))</f>
        <v>0.75864843854708297</v>
      </c>
      <c r="P80" cm="1">
        <f t="array" ref="P80">MAX(IF((OutputTable[GroupByKey]=OutputTable[[#This Row],[GroupByKey]]),(OutputTable[GroupByKey]=OutputTable[[#This Row],[GroupByKey]])*OutputTable[RecordedValue]))</f>
        <v>0.79252596119945096</v>
      </c>
    </row>
    <row r="81" spans="1:16" x14ac:dyDescent="0.25">
      <c r="A81" t="s">
        <v>67</v>
      </c>
      <c r="B81" t="s">
        <v>69</v>
      </c>
      <c r="C81">
        <v>3</v>
      </c>
      <c r="D81" t="s">
        <v>144</v>
      </c>
      <c r="E81" t="s">
        <v>115</v>
      </c>
      <c r="F81" t="s">
        <v>96</v>
      </c>
      <c r="G81">
        <v>12589</v>
      </c>
      <c r="H81">
        <v>0</v>
      </c>
      <c r="I81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12449.2</v>
      </c>
      <c r="L81" cm="1">
        <f t="array" ref="L81">IFERROR(_xlfn.STDEV.S(IF((OutputTable[GroupByKey]=OutputTable[[#This Row],[GroupByKey]]),(OutputTable[GroupByKey]=OutputTable[[#This Row],[GroupByKey]])*OutputTable[RecordedValue])),0)</f>
        <v>108.68691017985765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81" cm="1">
        <f t="array" ref="O81">MIN(IF((OutputTable[GroupByKey]=OutputTable[[#This Row],[GroupByKey]]),(OutputTable[GroupByKey]=OutputTable[[#This Row],[GroupByKey]])*OutputTable[RecordedValue]))</f>
        <v>12231</v>
      </c>
      <c r="P81" cm="1">
        <f t="array" ref="P81">MAX(IF((OutputTable[GroupByKey]=OutputTable[[#This Row],[GroupByKey]]),(OutputTable[GroupByKey]=OutputTable[[#This Row],[GroupByKey]])*OutputTable[RecordedValue]))</f>
        <v>12589</v>
      </c>
    </row>
    <row r="82" spans="1:16" x14ac:dyDescent="0.25">
      <c r="A82" t="s">
        <v>67</v>
      </c>
      <c r="B82" t="s">
        <v>69</v>
      </c>
      <c r="C82">
        <v>3</v>
      </c>
      <c r="D82" t="s">
        <v>145</v>
      </c>
      <c r="E82" t="s">
        <v>117</v>
      </c>
      <c r="F82" t="s">
        <v>96</v>
      </c>
      <c r="G82">
        <v>0.86808987891478295</v>
      </c>
      <c r="H82">
        <v>0</v>
      </c>
      <c r="I82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0.85958220767724303</v>
      </c>
      <c r="L82" cm="1">
        <f t="array" ref="L82">IFERROR(_xlfn.STDEV.S(IF((OutputTable[GroupByKey]=OutputTable[[#This Row],[GroupByKey]]),(OutputTable[GroupByKey]=OutputTable[[#This Row],[GroupByKey]])*OutputTable[RecordedValue])),0)</f>
        <v>8.2249879280646958E-3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82" cm="1">
        <f t="array" ref="O82">MIN(IF((OutputTable[GroupByKey]=OutputTable[[#This Row],[GroupByKey]]),(OutputTable[GroupByKey]=OutputTable[[#This Row],[GroupByKey]])*OutputTable[RecordedValue]))</f>
        <v>0.84465777371794004</v>
      </c>
      <c r="P82" cm="1">
        <f t="array" ref="P82">MAX(IF((OutputTable[GroupByKey]=OutputTable[[#This Row],[GroupByKey]]),(OutputTable[GroupByKey]=OutputTable[[#This Row],[GroupByKey]])*OutputTable[RecordedValue]))</f>
        <v>0.87000527345659695</v>
      </c>
    </row>
    <row r="83" spans="1:16" x14ac:dyDescent="0.25">
      <c r="A83" t="s">
        <v>67</v>
      </c>
      <c r="B83" t="s">
        <v>69</v>
      </c>
      <c r="C83">
        <v>4</v>
      </c>
      <c r="D83" t="s">
        <v>114</v>
      </c>
      <c r="E83" t="s">
        <v>115</v>
      </c>
      <c r="F83" t="s">
        <v>96</v>
      </c>
      <c r="G83">
        <v>12455</v>
      </c>
      <c r="H83">
        <v>0</v>
      </c>
      <c r="I83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12454.5</v>
      </c>
      <c r="L83" cm="1">
        <f t="array" ref="L83">IFERROR(_xlfn.STDEV.S(IF((OutputTable[GroupByKey]=OutputTable[[#This Row],[GroupByKey]]),(OutputTable[GroupByKey]=OutputTable[[#This Row],[GroupByKey]])*OutputTable[RecordedValue])),0)</f>
        <v>108.84979456929526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83" cm="1">
        <f t="array" ref="O83">MIN(IF((OutputTable[GroupByKey]=OutputTable[[#This Row],[GroupByKey]]),(OutputTable[GroupByKey]=OutputTable[[#This Row],[GroupByKey]])*OutputTable[RecordedValue]))</f>
        <v>12234</v>
      </c>
      <c r="P83" cm="1">
        <f t="array" ref="P83">MAX(IF((OutputTable[GroupByKey]=OutputTable[[#This Row],[GroupByKey]]),(OutputTable[GroupByKey]=OutputTable[[#This Row],[GroupByKey]])*OutputTable[RecordedValue]))</f>
        <v>12593</v>
      </c>
    </row>
    <row r="84" spans="1:16" x14ac:dyDescent="0.25">
      <c r="A84" t="s">
        <v>67</v>
      </c>
      <c r="B84" t="s">
        <v>69</v>
      </c>
      <c r="C84">
        <v>4</v>
      </c>
      <c r="D84" t="s">
        <v>116</v>
      </c>
      <c r="E84" t="s">
        <v>117</v>
      </c>
      <c r="F84" t="s">
        <v>96</v>
      </c>
      <c r="G84">
        <v>0.75707453421480597</v>
      </c>
      <c r="H84">
        <v>0</v>
      </c>
      <c r="I84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0.75203828164859643</v>
      </c>
      <c r="L84" cm="1">
        <f t="array" ref="L84">IFERROR(_xlfn.STDEV.S(IF((OutputTable[GroupByKey]=OutputTable[[#This Row],[GroupByKey]]),(OutputTable[GroupByKey]=OutputTable[[#This Row],[GroupByKey]])*OutputTable[RecordedValue])),0)</f>
        <v>9.2748854731057942E-3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84" cm="1">
        <f t="array" ref="O84">MIN(IF((OutputTable[GroupByKey]=OutputTable[[#This Row],[GroupByKey]]),(OutputTable[GroupByKey]=OutputTable[[#This Row],[GroupByKey]])*OutputTable[RecordedValue]))</f>
        <v>0.73578099184835299</v>
      </c>
      <c r="P84" cm="1">
        <f t="array" ref="P84">MAX(IF((OutputTable[GroupByKey]=OutputTable[[#This Row],[GroupByKey]]),(OutputTable[GroupByKey]=OutputTable[[#This Row],[GroupByKey]])*OutputTable[RecordedValue]))</f>
        <v>0.76817992377286104</v>
      </c>
    </row>
    <row r="85" spans="1:16" x14ac:dyDescent="0.25">
      <c r="A85" t="s">
        <v>67</v>
      </c>
      <c r="B85" t="s">
        <v>69</v>
      </c>
      <c r="C85">
        <v>4</v>
      </c>
      <c r="D85" t="s">
        <v>118</v>
      </c>
      <c r="E85" t="s">
        <v>115</v>
      </c>
      <c r="F85" t="s">
        <v>96</v>
      </c>
      <c r="G85">
        <v>6161</v>
      </c>
      <c r="H85">
        <v>0</v>
      </c>
      <c r="I8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6223.9</v>
      </c>
      <c r="L85" cm="1">
        <f t="array" ref="L85">IFERROR(_xlfn.STDEV.S(IF((OutputTable[GroupByKey]=OutputTable[[#This Row],[GroupByKey]]),(OutputTable[GroupByKey]=OutputTable[[#This Row],[GroupByKey]])*OutputTable[RecordedValue])),0)</f>
        <v>93.753162909608307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85" cm="1">
        <f t="array" ref="O85">MIN(IF((OutputTable[GroupByKey]=OutputTable[[#This Row],[GroupByKey]]),(OutputTable[GroupByKey]=OutputTable[[#This Row],[GroupByKey]])*OutputTable[RecordedValue]))</f>
        <v>6030</v>
      </c>
      <c r="P85" cm="1">
        <f t="array" ref="P85">MAX(IF((OutputTable[GroupByKey]=OutputTable[[#This Row],[GroupByKey]]),(OutputTable[GroupByKey]=OutputTable[[#This Row],[GroupByKey]])*OutputTable[RecordedValue]))</f>
        <v>6330</v>
      </c>
    </row>
    <row r="86" spans="1:16" x14ac:dyDescent="0.25">
      <c r="A86" t="s">
        <v>67</v>
      </c>
      <c r="B86" t="s">
        <v>69</v>
      </c>
      <c r="C86">
        <v>4</v>
      </c>
      <c r="D86" t="s">
        <v>119</v>
      </c>
      <c r="E86" t="s">
        <v>117</v>
      </c>
      <c r="F86" t="s">
        <v>96</v>
      </c>
      <c r="G86">
        <v>0.76045911871154104</v>
      </c>
      <c r="H86">
        <v>0</v>
      </c>
      <c r="I86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0.75111586075292547</v>
      </c>
      <c r="L86" cm="1">
        <f t="array" ref="L86">IFERROR(_xlfn.STDEV.S(IF((OutputTable[GroupByKey]=OutputTable[[#This Row],[GroupByKey]]),(OutputTable[GroupByKey]=OutputTable[[#This Row],[GroupByKey]])*OutputTable[RecordedValue])),0)</f>
        <v>9.1926752531366566E-3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86" cm="1">
        <f t="array" ref="O86">MIN(IF((OutputTable[GroupByKey]=OutputTable[[#This Row],[GroupByKey]]),(OutputTable[GroupByKey]=OutputTable[[#This Row],[GroupByKey]])*OutputTable[RecordedValue]))</f>
        <v>0.73777590022083495</v>
      </c>
      <c r="P86" cm="1">
        <f t="array" ref="P86">MAX(IF((OutputTable[GroupByKey]=OutputTable[[#This Row],[GroupByKey]]),(OutputTable[GroupByKey]=OutputTable[[#This Row],[GroupByKey]])*OutputTable[RecordedValue]))</f>
        <v>0.76666045600624</v>
      </c>
    </row>
    <row r="87" spans="1:16" x14ac:dyDescent="0.25">
      <c r="A87" t="s">
        <v>67</v>
      </c>
      <c r="B87" t="s">
        <v>69</v>
      </c>
      <c r="C87">
        <v>4</v>
      </c>
      <c r="D87" t="s">
        <v>120</v>
      </c>
      <c r="E87" t="s">
        <v>115</v>
      </c>
      <c r="F87" t="s">
        <v>96</v>
      </c>
      <c r="G87">
        <v>6294</v>
      </c>
      <c r="H87">
        <v>0</v>
      </c>
      <c r="I87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6230.6</v>
      </c>
      <c r="L87" cm="1">
        <f t="array" ref="L87">IFERROR(_xlfn.STDEV.S(IF((OutputTable[GroupByKey]=OutputTable[[#This Row],[GroupByKey]]),(OutputTable[GroupByKey]=OutputTable[[#This Row],[GroupByKey]])*OutputTable[RecordedValue])),0)</f>
        <v>52.995177977707456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87" cm="1">
        <f t="array" ref="O87">MIN(IF((OutputTable[GroupByKey]=OutputTable[[#This Row],[GroupByKey]]),(OutputTable[GroupByKey]=OutputTable[[#This Row],[GroupByKey]])*OutputTable[RecordedValue]))</f>
        <v>6182</v>
      </c>
      <c r="P87" cm="1">
        <f t="array" ref="P87">MAX(IF((OutputTable[GroupByKey]=OutputTable[[#This Row],[GroupByKey]]),(OutputTable[GroupByKey]=OutputTable[[#This Row],[GroupByKey]])*OutputTable[RecordedValue]))</f>
        <v>6338</v>
      </c>
    </row>
    <row r="88" spans="1:16" x14ac:dyDescent="0.25">
      <c r="A88" t="s">
        <v>67</v>
      </c>
      <c r="B88" t="s">
        <v>69</v>
      </c>
      <c r="C88">
        <v>4</v>
      </c>
      <c r="D88" t="s">
        <v>121</v>
      </c>
      <c r="E88" t="s">
        <v>117</v>
      </c>
      <c r="F88" t="s">
        <v>96</v>
      </c>
      <c r="G88">
        <v>0.75368994971806902</v>
      </c>
      <c r="H88">
        <v>0</v>
      </c>
      <c r="I88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0.75296070254426462</v>
      </c>
      <c r="L88" cm="1">
        <f t="array" ref="L88">IFERROR(_xlfn.STDEV.S(IF((OutputTable[GroupByKey]=OutputTable[[#This Row],[GroupByKey]]),(OutputTable[GroupByKey]=OutputTable[[#This Row],[GroupByKey]])*OutputTable[RecordedValue])),0)</f>
        <v>1.0201996050203582E-2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88" cm="1">
        <f t="array" ref="O88">MIN(IF((OutputTable[GroupByKey]=OutputTable[[#This Row],[GroupByKey]]),(OutputTable[GroupByKey]=OutputTable[[#This Row],[GroupByKey]])*OutputTable[RecordedValue]))</f>
        <v>0.73378608347586405</v>
      </c>
      <c r="P88" cm="1">
        <f t="array" ref="P88">MAX(IF((OutputTable[GroupByKey]=OutputTable[[#This Row],[GroupByKey]]),(OutputTable[GroupByKey]=OutputTable[[#This Row],[GroupByKey]])*OutputTable[RecordedValue]))</f>
        <v>0.76969939153947697</v>
      </c>
    </row>
    <row r="89" spans="1:16" x14ac:dyDescent="0.25">
      <c r="A89" t="s">
        <v>67</v>
      </c>
      <c r="B89" t="s">
        <v>69</v>
      </c>
      <c r="C89">
        <v>4</v>
      </c>
      <c r="D89" t="s">
        <v>122</v>
      </c>
      <c r="E89" t="s">
        <v>123</v>
      </c>
      <c r="F89" t="s">
        <v>75</v>
      </c>
      <c r="G89">
        <v>12457</v>
      </c>
      <c r="H89">
        <v>0</v>
      </c>
      <c r="I89" t="str">
        <f>OutputTable[[#This Row],[ProjectName]]&amp;OutputTable[[#This Row],[Name]]&amp;OutputTable[[#This Row],[Type]]&amp;OutputTable[[#This Row],[Source]]</f>
        <v>Unnamed ProjectEntity 1.NumberInNumber InEntity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12455.3</v>
      </c>
      <c r="L89" cm="1">
        <f t="array" ref="L89">IFERROR(_xlfn.STDEV.S(IF((OutputTable[GroupByKey]=OutputTable[[#This Row],[GroupByKey]]),(OutputTable[GroupByKey]=OutputTable[[#This Row],[GroupByKey]])*OutputTable[RecordedValue])),0)</f>
        <v>109.29577606964813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89" cm="1">
        <f t="array" ref="O89">MIN(IF((OutputTable[GroupByKey]=OutputTable[[#This Row],[GroupByKey]]),(OutputTable[GroupByKey]=OutputTable[[#This Row],[GroupByKey]])*OutputTable[RecordedValue]))</f>
        <v>12234</v>
      </c>
      <c r="P89" cm="1">
        <f t="array" ref="P89">MAX(IF((OutputTable[GroupByKey]=OutputTable[[#This Row],[GroupByKey]]),(OutputTable[GroupByKey]=OutputTable[[#This Row],[GroupByKey]])*OutputTable[RecordedValue]))</f>
        <v>12594</v>
      </c>
    </row>
    <row r="90" spans="1:16" x14ac:dyDescent="0.25">
      <c r="A90" t="s">
        <v>67</v>
      </c>
      <c r="B90" t="s">
        <v>69</v>
      </c>
      <c r="C90">
        <v>4</v>
      </c>
      <c r="D90" t="s">
        <v>124</v>
      </c>
      <c r="E90" t="s">
        <v>125</v>
      </c>
      <c r="F90" t="s">
        <v>75</v>
      </c>
      <c r="G90">
        <v>12444</v>
      </c>
      <c r="H90">
        <v>0</v>
      </c>
      <c r="I90" t="str">
        <f>OutputTable[[#This Row],[ProjectName]]&amp;OutputTable[[#This Row],[Name]]&amp;OutputTable[[#This Row],[Type]]&amp;OutputTable[[#This Row],[Source]]</f>
        <v>Unnamed ProjectEntity 1.NumberOutNumber OutEntity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12441.9</v>
      </c>
      <c r="L90" cm="1">
        <f t="array" ref="L90">IFERROR(_xlfn.STDEV.S(IF((OutputTable[GroupByKey]=OutputTable[[#This Row],[GroupByKey]]),(OutputTable[GroupByKey]=OutputTable[[#This Row],[GroupByKey]])*OutputTable[RecordedValue])),0)</f>
        <v>109.66965548105516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90" cm="1">
        <f t="array" ref="O90">MIN(IF((OutputTable[GroupByKey]=OutputTable[[#This Row],[GroupByKey]]),(OutputTable[GroupByKey]=OutputTable[[#This Row],[GroupByKey]])*OutputTable[RecordedValue]))</f>
        <v>12224</v>
      </c>
      <c r="P90" cm="1">
        <f t="array" ref="P90">MAX(IF((OutputTable[GroupByKey]=OutputTable[[#This Row],[GroupByKey]]),(OutputTable[GroupByKey]=OutputTable[[#This Row],[GroupByKey]])*OutputTable[RecordedValue]))</f>
        <v>12584</v>
      </c>
    </row>
    <row r="91" spans="1:16" x14ac:dyDescent="0.25">
      <c r="A91" t="s">
        <v>67</v>
      </c>
      <c r="B91" t="s">
        <v>69</v>
      </c>
      <c r="C91">
        <v>4</v>
      </c>
      <c r="D91" t="s">
        <v>126</v>
      </c>
      <c r="E91" t="s">
        <v>115</v>
      </c>
      <c r="F91" t="s">
        <v>96</v>
      </c>
      <c r="G91">
        <v>4143</v>
      </c>
      <c r="H91">
        <v>0</v>
      </c>
      <c r="I91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4151.1000000000004</v>
      </c>
      <c r="L91" cm="1">
        <f t="array" ref="L91">IFERROR(_xlfn.STDEV.S(IF((OutputTable[GroupByKey]=OutputTable[[#This Row],[GroupByKey]]),(OutputTable[GroupByKey]=OutputTable[[#This Row],[GroupByKey]])*OutputTable[RecordedValue])),0)</f>
        <v>38.420046850570081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91" cm="1">
        <f t="array" ref="O91">MIN(IF((OutputTable[GroupByKey]=OutputTable[[#This Row],[GroupByKey]]),(OutputTable[GroupByKey]=OutputTable[[#This Row],[GroupByKey]])*OutputTable[RecordedValue]))</f>
        <v>4077</v>
      </c>
      <c r="P91" cm="1">
        <f t="array" ref="P91">MAX(IF((OutputTable[GroupByKey]=OutputTable[[#This Row],[GroupByKey]]),(OutputTable[GroupByKey]=OutputTable[[#This Row],[GroupByKey]])*OutputTable[RecordedValue]))</f>
        <v>4202</v>
      </c>
    </row>
    <row r="92" spans="1:16" x14ac:dyDescent="0.25">
      <c r="A92" t="s">
        <v>67</v>
      </c>
      <c r="B92" t="s">
        <v>69</v>
      </c>
      <c r="C92">
        <v>4</v>
      </c>
      <c r="D92" t="s">
        <v>127</v>
      </c>
      <c r="E92" t="s">
        <v>117</v>
      </c>
      <c r="F92" t="s">
        <v>96</v>
      </c>
      <c r="G92">
        <v>0.86514517310371897</v>
      </c>
      <c r="H92">
        <v>0</v>
      </c>
      <c r="I92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0.86617223927529052</v>
      </c>
      <c r="L92" cm="1">
        <f t="array" ref="L92">IFERROR(_xlfn.STDEV.S(IF((OutputTable[GroupByKey]=OutputTable[[#This Row],[GroupByKey]]),(OutputTable[GroupByKey]=OutputTable[[#This Row],[GroupByKey]])*OutputTable[RecordedValue])),0)</f>
        <v>7.3264677567561349E-3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92" cm="1">
        <f t="array" ref="O92">MIN(IF((OutputTable[GroupByKey]=OutputTable[[#This Row],[GroupByKey]]),(OutputTable[GroupByKey]=OutputTable[[#This Row],[GroupByKey]])*OutputTable[RecordedValue]))</f>
        <v>0.85300206766602205</v>
      </c>
      <c r="P92" cm="1">
        <f t="array" ref="P92">MAX(IF((OutputTable[GroupByKey]=OutputTable[[#This Row],[GroupByKey]]),(OutputTable[GroupByKey]=OutputTable[[#This Row],[GroupByKey]])*OutputTable[RecordedValue]))</f>
        <v>0.87632698102425799</v>
      </c>
    </row>
    <row r="93" spans="1:16" x14ac:dyDescent="0.25">
      <c r="A93" t="s">
        <v>67</v>
      </c>
      <c r="B93" t="s">
        <v>69</v>
      </c>
      <c r="C93">
        <v>4</v>
      </c>
      <c r="D93" t="s">
        <v>128</v>
      </c>
      <c r="E93" t="s">
        <v>115</v>
      </c>
      <c r="F93" t="s">
        <v>96</v>
      </c>
      <c r="G93">
        <v>4149</v>
      </c>
      <c r="H93">
        <v>0</v>
      </c>
      <c r="I93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4147.7</v>
      </c>
      <c r="L93" cm="1">
        <f t="array" ref="L93">IFERROR(_xlfn.STDEV.S(IF((OutputTable[GroupByKey]=OutputTable[[#This Row],[GroupByKey]]),(OutputTable[GroupByKey]=OutputTable[[#This Row],[GroupByKey]])*OutputTable[RecordedValue])),0)</f>
        <v>35.339779286237771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93" cm="1">
        <f t="array" ref="O93">MIN(IF((OutputTable[GroupByKey]=OutputTable[[#This Row],[GroupByKey]]),(OutputTable[GroupByKey]=OutputTable[[#This Row],[GroupByKey]])*OutputTable[RecordedValue]))</f>
        <v>4072</v>
      </c>
      <c r="P93" cm="1">
        <f t="array" ref="P93">MAX(IF((OutputTable[GroupByKey]=OutputTable[[#This Row],[GroupByKey]]),(OutputTable[GroupByKey]=OutputTable[[#This Row],[GroupByKey]])*OutputTable[RecordedValue]))</f>
        <v>4199</v>
      </c>
    </row>
    <row r="94" spans="1:16" x14ac:dyDescent="0.25">
      <c r="A94" t="s">
        <v>67</v>
      </c>
      <c r="B94" t="s">
        <v>69</v>
      </c>
      <c r="C94">
        <v>4</v>
      </c>
      <c r="D94" t="s">
        <v>129</v>
      </c>
      <c r="E94" t="s">
        <v>117</v>
      </c>
      <c r="F94" t="s">
        <v>96</v>
      </c>
      <c r="G94">
        <v>0.86887035143339397</v>
      </c>
      <c r="H94">
        <v>0</v>
      </c>
      <c r="I94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0.86586513532824916</v>
      </c>
      <c r="L94" cm="1">
        <f t="array" ref="L94">IFERROR(_xlfn.STDEV.S(IF((OutputTable[GroupByKey]=OutputTable[[#This Row],[GroupByKey]]),(OutputTable[GroupByKey]=OutputTable[[#This Row],[GroupByKey]])*OutputTable[RecordedValue])),0)</f>
        <v>7.1981559947843117E-3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94" cm="1">
        <f t="array" ref="O94">MIN(IF((OutputTable[GroupByKey]=OutputTable[[#This Row],[GroupByKey]]),(OutputTable[GroupByKey]=OutputTable[[#This Row],[GroupByKey]])*OutputTable[RecordedValue]))</f>
        <v>0.85267322894137698</v>
      </c>
      <c r="P94" cm="1">
        <f t="array" ref="P94">MAX(IF((OutputTable[GroupByKey]=OutputTable[[#This Row],[GroupByKey]]),(OutputTable[GroupByKey]=OutputTable[[#This Row],[GroupByKey]])*OutputTable[RecordedValue]))</f>
        <v>0.87300868153341904</v>
      </c>
    </row>
    <row r="95" spans="1:16" x14ac:dyDescent="0.25">
      <c r="A95" t="s">
        <v>67</v>
      </c>
      <c r="B95" t="s">
        <v>69</v>
      </c>
      <c r="C95">
        <v>4</v>
      </c>
      <c r="D95" t="s">
        <v>130</v>
      </c>
      <c r="E95" t="s">
        <v>115</v>
      </c>
      <c r="F95" t="s">
        <v>96</v>
      </c>
      <c r="G95">
        <v>4155</v>
      </c>
      <c r="H95">
        <v>0</v>
      </c>
      <c r="I9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4145.8</v>
      </c>
      <c r="L95" cm="1">
        <f t="array" ref="L95">IFERROR(_xlfn.STDEV.S(IF((OutputTable[GroupByKey]=OutputTable[[#This Row],[GroupByKey]]),(OutputTable[GroupByKey]=OutputTable[[#This Row],[GroupByKey]])*OutputTable[RecordedValue])),0)</f>
        <v>38.883872692358665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95" cm="1">
        <f t="array" ref="O95">MIN(IF((OutputTable[GroupByKey]=OutputTable[[#This Row],[GroupByKey]]),(OutputTable[GroupByKey]=OutputTable[[#This Row],[GroupByKey]])*OutputTable[RecordedValue]))</f>
        <v>4076</v>
      </c>
      <c r="P95" cm="1">
        <f t="array" ref="P95">MAX(IF((OutputTable[GroupByKey]=OutputTable[[#This Row],[GroupByKey]]),(OutputTable[GroupByKey]=OutputTable[[#This Row],[GroupByKey]])*OutputTable[RecordedValue]))</f>
        <v>4184</v>
      </c>
    </row>
    <row r="96" spans="1:16" x14ac:dyDescent="0.25">
      <c r="A96" t="s">
        <v>67</v>
      </c>
      <c r="B96" t="s">
        <v>69</v>
      </c>
      <c r="C96">
        <v>4</v>
      </c>
      <c r="D96" t="s">
        <v>131</v>
      </c>
      <c r="E96" t="s">
        <v>117</v>
      </c>
      <c r="F96" t="s">
        <v>96</v>
      </c>
      <c r="G96">
        <v>0.867415741625161</v>
      </c>
      <c r="H96">
        <v>0</v>
      </c>
      <c r="I96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0.86584756987747569</v>
      </c>
      <c r="L96" cm="1">
        <f t="array" ref="L96">IFERROR(_xlfn.STDEV.S(IF((OutputTable[GroupByKey]=OutputTable[[#This Row],[GroupByKey]]),(OutputTable[GroupByKey]=OutputTable[[#This Row],[GroupByKey]])*OutputTable[RecordedValue])),0)</f>
        <v>7.1198499498994544E-3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96" cm="1">
        <f t="array" ref="O96">MIN(IF((OutputTable[GroupByKey]=OutputTable[[#This Row],[GroupByKey]]),(OutputTable[GroupByKey]=OutputTable[[#This Row],[GroupByKey]])*OutputTable[RecordedValue]))</f>
        <v>0.85312589705184705</v>
      </c>
      <c r="P96" cm="1">
        <f t="array" ref="P96">MAX(IF((OutputTable[GroupByKey]=OutputTable[[#This Row],[GroupByKey]]),(OutputTable[GroupByKey]=OutputTable[[#This Row],[GroupByKey]])*OutputTable[RecordedValue]))</f>
        <v>0.87436351179675398</v>
      </c>
    </row>
    <row r="97" spans="1:16" x14ac:dyDescent="0.25">
      <c r="A97" t="s">
        <v>67</v>
      </c>
      <c r="B97" t="s">
        <v>69</v>
      </c>
      <c r="C97">
        <v>4</v>
      </c>
      <c r="D97" t="s">
        <v>132</v>
      </c>
      <c r="E97" t="s">
        <v>125</v>
      </c>
      <c r="F97" t="s">
        <v>133</v>
      </c>
      <c r="G97">
        <v>12444</v>
      </c>
      <c r="H97">
        <v>0</v>
      </c>
      <c r="I97" t="str">
        <f>OutputTable[[#This Row],[ProjectName]]&amp;OutputTable[[#This Row],[Name]]&amp;OutputTable[[#This Row],[Type]]&amp;OutputTable[[#This Row],[Source]]</f>
        <v>Unnamed ProjectSystem.NumberOutNumber OutSystem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12441.9</v>
      </c>
      <c r="L97" cm="1">
        <f t="array" ref="L97">IFERROR(_xlfn.STDEV.S(IF((OutputTable[GroupByKey]=OutputTable[[#This Row],[GroupByKey]]),(OutputTable[GroupByKey]=OutputTable[[#This Row],[GroupByKey]])*OutputTable[RecordedValue])),0)</f>
        <v>109.66965548105516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97" cm="1">
        <f t="array" ref="O97">MIN(IF((OutputTable[GroupByKey]=OutputTable[[#This Row],[GroupByKey]]),(OutputTable[GroupByKey]=OutputTable[[#This Row],[GroupByKey]])*OutputTable[RecordedValue]))</f>
        <v>12224</v>
      </c>
      <c r="P97" cm="1">
        <f t="array" ref="P97">MAX(IF((OutputTable[GroupByKey]=OutputTable[[#This Row],[GroupByKey]]),(OutputTable[GroupByKey]=OutputTable[[#This Row],[GroupByKey]])*OutputTable[RecordedValue]))</f>
        <v>12584</v>
      </c>
    </row>
    <row r="98" spans="1:16" x14ac:dyDescent="0.25">
      <c r="A98" t="s">
        <v>67</v>
      </c>
      <c r="B98" t="s">
        <v>69</v>
      </c>
      <c r="C98">
        <v>4</v>
      </c>
      <c r="D98" t="s">
        <v>134</v>
      </c>
      <c r="E98" t="s">
        <v>115</v>
      </c>
      <c r="F98" t="s">
        <v>96</v>
      </c>
      <c r="G98">
        <v>13997</v>
      </c>
      <c r="H98">
        <v>0</v>
      </c>
      <c r="I98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14003.5</v>
      </c>
      <c r="L98" cm="1">
        <f t="array" ref="L98">IFERROR(_xlfn.STDEV.S(IF((OutputTable[GroupByKey]=OutputTable[[#This Row],[GroupByKey]]),(OutputTable[GroupByKey]=OutputTable[[#This Row],[GroupByKey]])*OutputTable[RecordedValue])),0)</f>
        <v>154.71640723164001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98" cm="1">
        <f t="array" ref="O98">MIN(IF((OutputTable[GroupByKey]=OutputTable[[#This Row],[GroupByKey]]),(OutputTable[GroupByKey]=OutputTable[[#This Row],[GroupByKey]])*OutputTable[RecordedValue]))</f>
        <v>13729</v>
      </c>
      <c r="P98" cm="1">
        <f t="array" ref="P98">MAX(IF((OutputTable[GroupByKey]=OutputTable[[#This Row],[GroupByKey]]),(OutputTable[GroupByKey]=OutputTable[[#This Row],[GroupByKey]])*OutputTable[RecordedValue]))</f>
        <v>14205</v>
      </c>
    </row>
    <row r="99" spans="1:16" x14ac:dyDescent="0.25">
      <c r="A99" t="s">
        <v>67</v>
      </c>
      <c r="B99" t="s">
        <v>69</v>
      </c>
      <c r="C99">
        <v>4</v>
      </c>
      <c r="D99" t="s">
        <v>135</v>
      </c>
      <c r="E99" t="s">
        <v>117</v>
      </c>
      <c r="F99" t="s">
        <v>96</v>
      </c>
      <c r="G99">
        <v>0.85550773740749397</v>
      </c>
      <c r="H99">
        <v>0</v>
      </c>
      <c r="I99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0.85369868202434152</v>
      </c>
      <c r="L99" cm="1">
        <f t="array" ref="L99">IFERROR(_xlfn.STDEV.S(IF((OutputTable[GroupByKey]=OutputTable[[#This Row],[GroupByKey]]),(OutputTable[GroupByKey]=OutputTable[[#This Row],[GroupByKey]])*OutputTable[RecordedValue])),0)</f>
        <v>9.4705605009894993E-3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99" cm="1">
        <f t="array" ref="O99">MIN(IF((OutputTable[GroupByKey]=OutputTable[[#This Row],[GroupByKey]]),(OutputTable[GroupByKey]=OutputTable[[#This Row],[GroupByKey]])*OutputTable[RecordedValue]))</f>
        <v>0.83618943731414597</v>
      </c>
      <c r="P99" cm="1">
        <f t="array" ref="P99">MAX(IF((OutputTable[GroupByKey]=OutputTable[[#This Row],[GroupByKey]]),(OutputTable[GroupByKey]=OutputTable[[#This Row],[GroupByKey]])*OutputTable[RecordedValue]))</f>
        <v>0.86586763783419696</v>
      </c>
    </row>
    <row r="100" spans="1:16" x14ac:dyDescent="0.25">
      <c r="A100" t="s">
        <v>67</v>
      </c>
      <c r="B100" t="s">
        <v>69</v>
      </c>
      <c r="C100">
        <v>4</v>
      </c>
      <c r="D100" t="s">
        <v>136</v>
      </c>
      <c r="E100" t="s">
        <v>115</v>
      </c>
      <c r="F100" t="s">
        <v>96</v>
      </c>
      <c r="G100">
        <v>9520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9367.5</v>
      </c>
      <c r="L100" cm="1">
        <f t="array" ref="L100">IFERROR(_xlfn.STDEV.S(IF((OutputTable[GroupByKey]=OutputTable[[#This Row],[GroupByKey]]),(OutputTable[GroupByKey]=OutputTable[[#This Row],[GroupByKey]])*OutputTable[RecordedValue])),0)</f>
        <v>139.5916664179253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00" cm="1">
        <f t="array" ref="O100">MIN(IF((OutputTable[GroupByKey]=OutputTable[[#This Row],[GroupByKey]]),(OutputTable[GroupByKey]=OutputTable[[#This Row],[GroupByKey]])*OutputTable[RecordedValue]))</f>
        <v>9192</v>
      </c>
      <c r="P100" cm="1">
        <f t="array" ref="P100">MAX(IF((OutputTable[GroupByKey]=OutputTable[[#This Row],[GroupByKey]]),(OutputTable[GroupByKey]=OutputTable[[#This Row],[GroupByKey]])*OutputTable[RecordedValue]))</f>
        <v>9577</v>
      </c>
    </row>
    <row r="101" spans="1:16" x14ac:dyDescent="0.25">
      <c r="A101" t="s">
        <v>67</v>
      </c>
      <c r="B101" t="s">
        <v>69</v>
      </c>
      <c r="C101">
        <v>4</v>
      </c>
      <c r="D101" t="s">
        <v>137</v>
      </c>
      <c r="E101" t="s">
        <v>117</v>
      </c>
      <c r="F101" t="s">
        <v>96</v>
      </c>
      <c r="G101">
        <v>0.78574993118483905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0.77500127942574837</v>
      </c>
      <c r="L101" cm="1">
        <f t="array" ref="L101">IFERROR(_xlfn.STDEV.S(IF((OutputTable[GroupByKey]=OutputTable[[#This Row],[GroupByKey]]),(OutputTable[GroupByKey]=OutputTable[[#This Row],[GroupByKey]])*OutputTable[RecordedValue])),0)</f>
        <v>1.1134375758682289E-2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101" cm="1">
        <f t="array" ref="O101">MIN(IF((OutputTable[GroupByKey]=OutputTable[[#This Row],[GroupByKey]]),(OutputTable[GroupByKey]=OutputTable[[#This Row],[GroupByKey]])*OutputTable[RecordedValue]))</f>
        <v>0.75864843854708297</v>
      </c>
      <c r="P101" cm="1">
        <f t="array" ref="P101">MAX(IF((OutputTable[GroupByKey]=OutputTable[[#This Row],[GroupByKey]]),(OutputTable[GroupByKey]=OutputTable[[#This Row],[GroupByKey]])*OutputTable[RecordedValue]))</f>
        <v>0.79252596119945096</v>
      </c>
    </row>
    <row r="102" spans="1:16" x14ac:dyDescent="0.25">
      <c r="A102" t="s">
        <v>67</v>
      </c>
      <c r="B102" t="s">
        <v>69</v>
      </c>
      <c r="C102">
        <v>4</v>
      </c>
      <c r="D102" t="s">
        <v>138</v>
      </c>
      <c r="E102" t="s">
        <v>115</v>
      </c>
      <c r="F102" t="s">
        <v>96</v>
      </c>
      <c r="G102">
        <v>12450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12449.2</v>
      </c>
      <c r="L102" cm="1">
        <f t="array" ref="L102">IFERROR(_xlfn.STDEV.S(IF((OutputTable[GroupByKey]=OutputTable[[#This Row],[GroupByKey]]),(OutputTable[GroupByKey]=OutputTable[[#This Row],[GroupByKey]])*OutputTable[RecordedValue])),0)</f>
        <v>108.68691017985765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102" cm="1">
        <f t="array" ref="O102">MIN(IF((OutputTable[GroupByKey]=OutputTable[[#This Row],[GroupByKey]]),(OutputTable[GroupByKey]=OutputTable[[#This Row],[GroupByKey]])*OutputTable[RecordedValue]))</f>
        <v>12231</v>
      </c>
      <c r="P102" cm="1">
        <f t="array" ref="P102">MAX(IF((OutputTable[GroupByKey]=OutputTable[[#This Row],[GroupByKey]]),(OutputTable[GroupByKey]=OutputTable[[#This Row],[GroupByKey]])*OutputTable[RecordedValue]))</f>
        <v>12589</v>
      </c>
    </row>
    <row r="103" spans="1:16" x14ac:dyDescent="0.25">
      <c r="A103" t="s">
        <v>67</v>
      </c>
      <c r="B103" t="s">
        <v>69</v>
      </c>
      <c r="C103">
        <v>4</v>
      </c>
      <c r="D103" t="s">
        <v>139</v>
      </c>
      <c r="E103" t="s">
        <v>117</v>
      </c>
      <c r="F103" t="s">
        <v>96</v>
      </c>
      <c r="G103">
        <v>0.85552216781107904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0.85958220767724303</v>
      </c>
      <c r="L103" cm="1">
        <f t="array" ref="L103">IFERROR(_xlfn.STDEV.S(IF((OutputTable[GroupByKey]=OutputTable[[#This Row],[GroupByKey]]),(OutputTable[GroupByKey]=OutputTable[[#This Row],[GroupByKey]])*OutputTable[RecordedValue])),0)</f>
        <v>8.2249879280646958E-3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103" cm="1">
        <f t="array" ref="O103">MIN(IF((OutputTable[GroupByKey]=OutputTable[[#This Row],[GroupByKey]]),(OutputTable[GroupByKey]=OutputTable[[#This Row],[GroupByKey]])*OutputTable[RecordedValue]))</f>
        <v>0.84465777371794004</v>
      </c>
      <c r="P103" cm="1">
        <f t="array" ref="P103">MAX(IF((OutputTable[GroupByKey]=OutputTable[[#This Row],[GroupByKey]]),(OutputTable[GroupByKey]=OutputTable[[#This Row],[GroupByKey]])*OutputTable[RecordedValue]))</f>
        <v>0.87000527345659695</v>
      </c>
    </row>
    <row r="104" spans="1:16" x14ac:dyDescent="0.25">
      <c r="A104" t="s">
        <v>67</v>
      </c>
      <c r="B104" t="s">
        <v>69</v>
      </c>
      <c r="C104">
        <v>4</v>
      </c>
      <c r="D104" t="s">
        <v>140</v>
      </c>
      <c r="E104" t="s">
        <v>115</v>
      </c>
      <c r="F104" t="s">
        <v>96</v>
      </c>
      <c r="G104">
        <v>13997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14003.5</v>
      </c>
      <c r="L104" cm="1">
        <f t="array" ref="L104">IFERROR(_xlfn.STDEV.S(IF((OutputTable[GroupByKey]=OutputTable[[#This Row],[GroupByKey]]),(OutputTable[GroupByKey]=OutputTable[[#This Row],[GroupByKey]])*OutputTable[RecordedValue])),0)</f>
        <v>154.71640723164001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104" cm="1">
        <f t="array" ref="O104">MIN(IF((OutputTable[GroupByKey]=OutputTable[[#This Row],[GroupByKey]]),(OutputTable[GroupByKey]=OutputTable[[#This Row],[GroupByKey]])*OutputTable[RecordedValue]))</f>
        <v>13729</v>
      </c>
      <c r="P104" cm="1">
        <f t="array" ref="P104">MAX(IF((OutputTable[GroupByKey]=OutputTable[[#This Row],[GroupByKey]]),(OutputTable[GroupByKey]=OutputTable[[#This Row],[GroupByKey]])*OutputTable[RecordedValue]))</f>
        <v>14205</v>
      </c>
    </row>
    <row r="105" spans="1:16" x14ac:dyDescent="0.25">
      <c r="A105" t="s">
        <v>67</v>
      </c>
      <c r="B105" t="s">
        <v>69</v>
      </c>
      <c r="C105">
        <v>4</v>
      </c>
      <c r="D105" t="s">
        <v>141</v>
      </c>
      <c r="E105" t="s">
        <v>117</v>
      </c>
      <c r="F105" t="s">
        <v>96</v>
      </c>
      <c r="G105">
        <v>0.85550773740749397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0.85369868202434152</v>
      </c>
      <c r="L105" cm="1">
        <f t="array" ref="L105">IFERROR(_xlfn.STDEV.S(IF((OutputTable[GroupByKey]=OutputTable[[#This Row],[GroupByKey]]),(OutputTable[GroupByKey]=OutputTable[[#This Row],[GroupByKey]])*OutputTable[RecordedValue])),0)</f>
        <v>9.4705605009894993E-3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105" cm="1">
        <f t="array" ref="O105">MIN(IF((OutputTable[GroupByKey]=OutputTable[[#This Row],[GroupByKey]]),(OutputTable[GroupByKey]=OutputTable[[#This Row],[GroupByKey]])*OutputTable[RecordedValue]))</f>
        <v>0.83618943731414597</v>
      </c>
      <c r="P105" cm="1">
        <f t="array" ref="P105">MAX(IF((OutputTable[GroupByKey]=OutputTable[[#This Row],[GroupByKey]]),(OutputTable[GroupByKey]=OutputTable[[#This Row],[GroupByKey]])*OutputTable[RecordedValue]))</f>
        <v>0.86586763783419696</v>
      </c>
    </row>
    <row r="106" spans="1:16" x14ac:dyDescent="0.25">
      <c r="A106" t="s">
        <v>67</v>
      </c>
      <c r="B106" t="s">
        <v>69</v>
      </c>
      <c r="C106">
        <v>4</v>
      </c>
      <c r="D106" t="s">
        <v>142</v>
      </c>
      <c r="E106" t="s">
        <v>115</v>
      </c>
      <c r="F106" t="s">
        <v>96</v>
      </c>
      <c r="G106">
        <v>9520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9367.5</v>
      </c>
      <c r="L106" cm="1">
        <f t="array" ref="L106">IFERROR(_xlfn.STDEV.S(IF((OutputTable[GroupByKey]=OutputTable[[#This Row],[GroupByKey]]),(OutputTable[GroupByKey]=OutputTable[[#This Row],[GroupByKey]])*OutputTable[RecordedValue])),0)</f>
        <v>139.5916664179253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06" cm="1">
        <f t="array" ref="O106">MIN(IF((OutputTable[GroupByKey]=OutputTable[[#This Row],[GroupByKey]]),(OutputTable[GroupByKey]=OutputTable[[#This Row],[GroupByKey]])*OutputTable[RecordedValue]))</f>
        <v>9192</v>
      </c>
      <c r="P106" cm="1">
        <f t="array" ref="P106">MAX(IF((OutputTable[GroupByKey]=OutputTable[[#This Row],[GroupByKey]]),(OutputTable[GroupByKey]=OutputTable[[#This Row],[GroupByKey]])*OutputTable[RecordedValue]))</f>
        <v>9577</v>
      </c>
    </row>
    <row r="107" spans="1:16" x14ac:dyDescent="0.25">
      <c r="A107" t="s">
        <v>67</v>
      </c>
      <c r="B107" t="s">
        <v>69</v>
      </c>
      <c r="C107">
        <v>4</v>
      </c>
      <c r="D107" t="s">
        <v>143</v>
      </c>
      <c r="E107" t="s">
        <v>117</v>
      </c>
      <c r="F107" t="s">
        <v>96</v>
      </c>
      <c r="G107">
        <v>0.78574993118483905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0.77500127942574837</v>
      </c>
      <c r="L107" cm="1">
        <f t="array" ref="L107">IFERROR(_xlfn.STDEV.S(IF((OutputTable[GroupByKey]=OutputTable[[#This Row],[GroupByKey]]),(OutputTable[GroupByKey]=OutputTable[[#This Row],[GroupByKey]])*OutputTable[RecordedValue])),0)</f>
        <v>1.1134375758682289E-2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107" cm="1">
        <f t="array" ref="O107">MIN(IF((OutputTable[GroupByKey]=OutputTable[[#This Row],[GroupByKey]]),(OutputTable[GroupByKey]=OutputTable[[#This Row],[GroupByKey]])*OutputTable[RecordedValue]))</f>
        <v>0.75864843854708297</v>
      </c>
      <c r="P107" cm="1">
        <f t="array" ref="P107">MAX(IF((OutputTable[GroupByKey]=OutputTable[[#This Row],[GroupByKey]]),(OutputTable[GroupByKey]=OutputTable[[#This Row],[GroupByKey]])*OutputTable[RecordedValue]))</f>
        <v>0.79252596119945096</v>
      </c>
    </row>
    <row r="108" spans="1:16" x14ac:dyDescent="0.25">
      <c r="A108" t="s">
        <v>67</v>
      </c>
      <c r="B108" t="s">
        <v>69</v>
      </c>
      <c r="C108">
        <v>4</v>
      </c>
      <c r="D108" t="s">
        <v>144</v>
      </c>
      <c r="E108" t="s">
        <v>115</v>
      </c>
      <c r="F108" t="s">
        <v>96</v>
      </c>
      <c r="G108">
        <v>12450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12449.2</v>
      </c>
      <c r="L108" cm="1">
        <f t="array" ref="L108">IFERROR(_xlfn.STDEV.S(IF((OutputTable[GroupByKey]=OutputTable[[#This Row],[GroupByKey]]),(OutputTable[GroupByKey]=OutputTable[[#This Row],[GroupByKey]])*OutputTable[RecordedValue])),0)</f>
        <v>108.68691017985765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108" cm="1">
        <f t="array" ref="O108">MIN(IF((OutputTable[GroupByKey]=OutputTable[[#This Row],[GroupByKey]]),(OutputTable[GroupByKey]=OutputTable[[#This Row],[GroupByKey]])*OutputTable[RecordedValue]))</f>
        <v>12231</v>
      </c>
      <c r="P108" cm="1">
        <f t="array" ref="P108">MAX(IF((OutputTable[GroupByKey]=OutputTable[[#This Row],[GroupByKey]]),(OutputTable[GroupByKey]=OutputTable[[#This Row],[GroupByKey]])*OutputTable[RecordedValue]))</f>
        <v>12589</v>
      </c>
    </row>
    <row r="109" spans="1:16" x14ac:dyDescent="0.25">
      <c r="A109" t="s">
        <v>67</v>
      </c>
      <c r="B109" t="s">
        <v>69</v>
      </c>
      <c r="C109">
        <v>4</v>
      </c>
      <c r="D109" t="s">
        <v>145</v>
      </c>
      <c r="E109" t="s">
        <v>117</v>
      </c>
      <c r="F109" t="s">
        <v>96</v>
      </c>
      <c r="G109">
        <v>0.85552216781107904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0.85958220767724303</v>
      </c>
      <c r="L109" cm="1">
        <f t="array" ref="L109">IFERROR(_xlfn.STDEV.S(IF((OutputTable[GroupByKey]=OutputTable[[#This Row],[GroupByKey]]),(OutputTable[GroupByKey]=OutputTable[[#This Row],[GroupByKey]])*OutputTable[RecordedValue])),0)</f>
        <v>8.2249879280646958E-3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109" cm="1">
        <f t="array" ref="O109">MIN(IF((OutputTable[GroupByKey]=OutputTable[[#This Row],[GroupByKey]]),(OutputTable[GroupByKey]=OutputTable[[#This Row],[GroupByKey]])*OutputTable[RecordedValue]))</f>
        <v>0.84465777371794004</v>
      </c>
      <c r="P109" cm="1">
        <f t="array" ref="P109">MAX(IF((OutputTable[GroupByKey]=OutputTable[[#This Row],[GroupByKey]]),(OutputTable[GroupByKey]=OutputTable[[#This Row],[GroupByKey]])*OutputTable[RecordedValue]))</f>
        <v>0.87000527345659695</v>
      </c>
    </row>
    <row r="110" spans="1:16" x14ac:dyDescent="0.25">
      <c r="A110" t="s">
        <v>67</v>
      </c>
      <c r="B110" t="s">
        <v>69</v>
      </c>
      <c r="C110">
        <v>5</v>
      </c>
      <c r="D110" t="s">
        <v>114</v>
      </c>
      <c r="E110" t="s">
        <v>115</v>
      </c>
      <c r="F110" t="s">
        <v>96</v>
      </c>
      <c r="G110">
        <v>12444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12454.5</v>
      </c>
      <c r="L110" cm="1">
        <f t="array" ref="L110">IFERROR(_xlfn.STDEV.S(IF((OutputTable[GroupByKey]=OutputTable[[#This Row],[GroupByKey]]),(OutputTable[GroupByKey]=OutputTable[[#This Row],[GroupByKey]])*OutputTable[RecordedValue])),0)</f>
        <v>108.84979456929526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110" cm="1">
        <f t="array" ref="O110">MIN(IF((OutputTable[GroupByKey]=OutputTable[[#This Row],[GroupByKey]]),(OutputTable[GroupByKey]=OutputTable[[#This Row],[GroupByKey]])*OutputTable[RecordedValue]))</f>
        <v>12234</v>
      </c>
      <c r="P110" cm="1">
        <f t="array" ref="P110">MAX(IF((OutputTable[GroupByKey]=OutputTable[[#This Row],[GroupByKey]]),(OutputTable[GroupByKey]=OutputTable[[#This Row],[GroupByKey]])*OutputTable[RecordedValue]))</f>
        <v>12593</v>
      </c>
    </row>
    <row r="111" spans="1:16" x14ac:dyDescent="0.25">
      <c r="A111" t="s">
        <v>67</v>
      </c>
      <c r="B111" t="s">
        <v>69</v>
      </c>
      <c r="C111">
        <v>5</v>
      </c>
      <c r="D111" t="s">
        <v>116</v>
      </c>
      <c r="E111" t="s">
        <v>117</v>
      </c>
      <c r="F111" t="s">
        <v>96</v>
      </c>
      <c r="G111">
        <v>0.74524335409428599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0.75203828164859643</v>
      </c>
      <c r="L111" cm="1">
        <f t="array" ref="L111">IFERROR(_xlfn.STDEV.S(IF((OutputTable[GroupByKey]=OutputTable[[#This Row],[GroupByKey]]),(OutputTable[GroupByKey]=OutputTable[[#This Row],[GroupByKey]])*OutputTable[RecordedValue])),0)</f>
        <v>9.2748854731057942E-3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111" cm="1">
        <f t="array" ref="O111">MIN(IF((OutputTable[GroupByKey]=OutputTable[[#This Row],[GroupByKey]]),(OutputTable[GroupByKey]=OutputTable[[#This Row],[GroupByKey]])*OutputTable[RecordedValue]))</f>
        <v>0.73578099184835299</v>
      </c>
      <c r="P111" cm="1">
        <f t="array" ref="P111">MAX(IF((OutputTable[GroupByKey]=OutputTable[[#This Row],[GroupByKey]]),(OutputTable[GroupByKey]=OutputTable[[#This Row],[GroupByKey]])*OutputTable[RecordedValue]))</f>
        <v>0.76817992377286104</v>
      </c>
    </row>
    <row r="112" spans="1:16" x14ac:dyDescent="0.25">
      <c r="A112" t="s">
        <v>67</v>
      </c>
      <c r="B112" t="s">
        <v>69</v>
      </c>
      <c r="C112">
        <v>5</v>
      </c>
      <c r="D112" t="s">
        <v>118</v>
      </c>
      <c r="E112" t="s">
        <v>115</v>
      </c>
      <c r="F112" t="s">
        <v>96</v>
      </c>
      <c r="G112">
        <v>6252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6223.9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93.753162909608307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112" s="5" cm="1">
        <f t="array" ref="O112">MIN(IF((OutputTable[GroupByKey]=OutputTable[[#This Row],[GroupByKey]]),(OutputTable[GroupByKey]=OutputTable[[#This Row],[GroupByKey]])*OutputTable[RecordedValue]))</f>
        <v>6030</v>
      </c>
      <c r="P112" s="5" cm="1">
        <f t="array" ref="P112">MAX(IF((OutputTable[GroupByKey]=OutputTable[[#This Row],[GroupByKey]]),(OutputTable[GroupByKey]=OutputTable[[#This Row],[GroupByKey]])*OutputTable[RecordedValue]))</f>
        <v>6330</v>
      </c>
    </row>
    <row r="113" spans="1:16" x14ac:dyDescent="0.25">
      <c r="A113" t="s">
        <v>67</v>
      </c>
      <c r="B113" t="s">
        <v>69</v>
      </c>
      <c r="C113">
        <v>5</v>
      </c>
      <c r="D113" t="s">
        <v>119</v>
      </c>
      <c r="E113" t="s">
        <v>117</v>
      </c>
      <c r="F113" t="s">
        <v>96</v>
      </c>
      <c r="G113">
        <v>0.74716404158945904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0.75111586075292547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9.1926752531366566E-3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113" s="5" cm="1">
        <f t="array" ref="O113">MIN(IF((OutputTable[GroupByKey]=OutputTable[[#This Row],[GroupByKey]]),(OutputTable[GroupByKey]=OutputTable[[#This Row],[GroupByKey]])*OutputTable[RecordedValue]))</f>
        <v>0.73777590022083495</v>
      </c>
      <c r="P113" s="5" cm="1">
        <f t="array" ref="P113">MAX(IF((OutputTable[GroupByKey]=OutputTable[[#This Row],[GroupByKey]]),(OutputTable[GroupByKey]=OutputTable[[#This Row],[GroupByKey]])*OutputTable[RecordedValue]))</f>
        <v>0.76666045600624</v>
      </c>
    </row>
    <row r="114" spans="1:16" x14ac:dyDescent="0.25">
      <c r="A114" t="s">
        <v>67</v>
      </c>
      <c r="B114" t="s">
        <v>69</v>
      </c>
      <c r="C114">
        <v>5</v>
      </c>
      <c r="D114" t="s">
        <v>120</v>
      </c>
      <c r="E114" t="s">
        <v>115</v>
      </c>
      <c r="F114" t="s">
        <v>96</v>
      </c>
      <c r="G114">
        <v>6192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6230.6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52.995177977707456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114" s="5" cm="1">
        <f t="array" ref="O114">MIN(IF((OutputTable[GroupByKey]=OutputTable[[#This Row],[GroupByKey]]),(OutputTable[GroupByKey]=OutputTable[[#This Row],[GroupByKey]])*OutputTable[RecordedValue]))</f>
        <v>6182</v>
      </c>
      <c r="P114" s="5" cm="1">
        <f t="array" ref="P114">MAX(IF((OutputTable[GroupByKey]=OutputTable[[#This Row],[GroupByKey]]),(OutputTable[GroupByKey]=OutputTable[[#This Row],[GroupByKey]])*OutputTable[RecordedValue]))</f>
        <v>6338</v>
      </c>
    </row>
    <row r="115" spans="1:16" x14ac:dyDescent="0.25">
      <c r="A115" t="s">
        <v>67</v>
      </c>
      <c r="B115" t="s">
        <v>69</v>
      </c>
      <c r="C115">
        <v>5</v>
      </c>
      <c r="D115" t="s">
        <v>121</v>
      </c>
      <c r="E115" t="s">
        <v>117</v>
      </c>
      <c r="F115" t="s">
        <v>96</v>
      </c>
      <c r="G115">
        <v>0.74332266659911195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0.75296070254426462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1.0201996050203582E-2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115" s="5" cm="1">
        <f t="array" ref="O115">MIN(IF((OutputTable[GroupByKey]=OutputTable[[#This Row],[GroupByKey]]),(OutputTable[GroupByKey]=OutputTable[[#This Row],[GroupByKey]])*OutputTable[RecordedValue]))</f>
        <v>0.73378608347586405</v>
      </c>
      <c r="P115" s="5" cm="1">
        <f t="array" ref="P115">MAX(IF((OutputTable[GroupByKey]=OutputTable[[#This Row],[GroupByKey]]),(OutputTable[GroupByKey]=OutputTable[[#This Row],[GroupByKey]])*OutputTable[RecordedValue]))</f>
        <v>0.76969939153947697</v>
      </c>
    </row>
    <row r="116" spans="1:16" x14ac:dyDescent="0.25">
      <c r="A116" t="s">
        <v>67</v>
      </c>
      <c r="B116" t="s">
        <v>69</v>
      </c>
      <c r="C116">
        <v>5</v>
      </c>
      <c r="D116" t="s">
        <v>122</v>
      </c>
      <c r="E116" t="s">
        <v>123</v>
      </c>
      <c r="F116" t="s">
        <v>75</v>
      </c>
      <c r="G116">
        <v>12444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ProjectEntity 1.NumberInNumber InEntity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12455.3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109.29577606964813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116" s="5" cm="1">
        <f t="array" ref="O116">MIN(IF((OutputTable[GroupByKey]=OutputTable[[#This Row],[GroupByKey]]),(OutputTable[GroupByKey]=OutputTable[[#This Row],[GroupByKey]])*OutputTable[RecordedValue]))</f>
        <v>12234</v>
      </c>
      <c r="P116" s="5" cm="1">
        <f t="array" ref="P116">MAX(IF((OutputTable[GroupByKey]=OutputTable[[#This Row],[GroupByKey]]),(OutputTable[GroupByKey]=OutputTable[[#This Row],[GroupByKey]])*OutputTable[RecordedValue]))</f>
        <v>12594</v>
      </c>
    </row>
    <row r="117" spans="1:16" x14ac:dyDescent="0.25">
      <c r="A117" t="s">
        <v>67</v>
      </c>
      <c r="B117" t="s">
        <v>69</v>
      </c>
      <c r="C117">
        <v>5</v>
      </c>
      <c r="D117" t="s">
        <v>124</v>
      </c>
      <c r="E117" t="s">
        <v>125</v>
      </c>
      <c r="F117" t="s">
        <v>75</v>
      </c>
      <c r="G117">
        <v>12429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ProjectEntity 1.NumberOutNumber OutEntity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12441.9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109.66965548105516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117" s="5" cm="1">
        <f t="array" ref="O117">MIN(IF((OutputTable[GroupByKey]=OutputTable[[#This Row],[GroupByKey]]),(OutputTable[GroupByKey]=OutputTable[[#This Row],[GroupByKey]])*OutputTable[RecordedValue]))</f>
        <v>12224</v>
      </c>
      <c r="P117" s="5" cm="1">
        <f t="array" ref="P117">MAX(IF((OutputTable[GroupByKey]=OutputTable[[#This Row],[GroupByKey]]),(OutputTable[GroupByKey]=OutputTable[[#This Row],[GroupByKey]])*OutputTable[RecordedValue]))</f>
        <v>12584</v>
      </c>
    </row>
    <row r="118" spans="1:16" x14ac:dyDescent="0.25">
      <c r="A118" t="s">
        <v>67</v>
      </c>
      <c r="B118" t="s">
        <v>69</v>
      </c>
      <c r="C118">
        <v>5</v>
      </c>
      <c r="D118" t="s">
        <v>126</v>
      </c>
      <c r="E118" t="s">
        <v>115</v>
      </c>
      <c r="F118" t="s">
        <v>96</v>
      </c>
      <c r="G118">
        <v>4151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4151.1000000000004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38.420046850570081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118" s="5" cm="1">
        <f t="array" ref="O118">MIN(IF((OutputTable[GroupByKey]=OutputTable[[#This Row],[GroupByKey]]),(OutputTable[GroupByKey]=OutputTable[[#This Row],[GroupByKey]])*OutputTable[RecordedValue]))</f>
        <v>4077</v>
      </c>
      <c r="P118" s="5" cm="1">
        <f t="array" ref="P118">MAX(IF((OutputTable[GroupByKey]=OutputTable[[#This Row],[GroupByKey]]),(OutputTable[GroupByKey]=OutputTable[[#This Row],[GroupByKey]])*OutputTable[RecordedValue]))</f>
        <v>4202</v>
      </c>
    </row>
    <row r="119" spans="1:16" x14ac:dyDescent="0.25">
      <c r="A119" t="s">
        <v>67</v>
      </c>
      <c r="B119" t="s">
        <v>69</v>
      </c>
      <c r="C119">
        <v>5</v>
      </c>
      <c r="D119" t="s">
        <v>127</v>
      </c>
      <c r="E119" t="s">
        <v>117</v>
      </c>
      <c r="F119" t="s">
        <v>96</v>
      </c>
      <c r="G119">
        <v>0.86211465144781196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0.86617223927529052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7.3264677567561349E-3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119" s="5" cm="1">
        <f t="array" ref="O119">MIN(IF((OutputTable[GroupByKey]=OutputTable[[#This Row],[GroupByKey]]),(OutputTable[GroupByKey]=OutputTable[[#This Row],[GroupByKey]])*OutputTable[RecordedValue]))</f>
        <v>0.85300206766602205</v>
      </c>
      <c r="P119" s="5" cm="1">
        <f t="array" ref="P119">MAX(IF((OutputTable[GroupByKey]=OutputTable[[#This Row],[GroupByKey]]),(OutputTable[GroupByKey]=OutputTable[[#This Row],[GroupByKey]])*OutputTable[RecordedValue]))</f>
        <v>0.87632698102425799</v>
      </c>
    </row>
    <row r="120" spans="1:16" x14ac:dyDescent="0.25">
      <c r="A120" t="s">
        <v>67</v>
      </c>
      <c r="B120" t="s">
        <v>69</v>
      </c>
      <c r="C120">
        <v>5</v>
      </c>
      <c r="D120" t="s">
        <v>128</v>
      </c>
      <c r="E120" t="s">
        <v>115</v>
      </c>
      <c r="F120" t="s">
        <v>96</v>
      </c>
      <c r="G120">
        <v>4139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4147.7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35.339779286237771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120" s="5" cm="1">
        <f t="array" ref="O120">MIN(IF((OutputTable[GroupByKey]=OutputTable[[#This Row],[GroupByKey]]),(OutputTable[GroupByKey]=OutputTable[[#This Row],[GroupByKey]])*OutputTable[RecordedValue]))</f>
        <v>4072</v>
      </c>
      <c r="P120" s="5" cm="1">
        <f t="array" ref="P120">MAX(IF((OutputTable[GroupByKey]=OutputTable[[#This Row],[GroupByKey]]),(OutputTable[GroupByKey]=OutputTable[[#This Row],[GroupByKey]])*OutputTable[RecordedValue]))</f>
        <v>4199</v>
      </c>
    </row>
    <row r="121" spans="1:16" x14ac:dyDescent="0.25">
      <c r="A121" t="s">
        <v>67</v>
      </c>
      <c r="B121" t="s">
        <v>69</v>
      </c>
      <c r="C121">
        <v>5</v>
      </c>
      <c r="D121" t="s">
        <v>129</v>
      </c>
      <c r="E121" t="s">
        <v>117</v>
      </c>
      <c r="F121" t="s">
        <v>96</v>
      </c>
      <c r="G121">
        <v>0.86200776630730302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0.86586513532824916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7.1981559947843117E-3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121" s="5" cm="1">
        <f t="array" ref="O121">MIN(IF((OutputTable[GroupByKey]=OutputTable[[#This Row],[GroupByKey]]),(OutputTable[GroupByKey]=OutputTable[[#This Row],[GroupByKey]])*OutputTable[RecordedValue]))</f>
        <v>0.85267322894137698</v>
      </c>
      <c r="P121" s="5" cm="1">
        <f t="array" ref="P121">MAX(IF((OutputTable[GroupByKey]=OutputTable[[#This Row],[GroupByKey]]),(OutputTable[GroupByKey]=OutputTable[[#This Row],[GroupByKey]])*OutputTable[RecordedValue]))</f>
        <v>0.87300868153341904</v>
      </c>
    </row>
    <row r="122" spans="1:16" x14ac:dyDescent="0.25">
      <c r="A122" t="s">
        <v>67</v>
      </c>
      <c r="B122" t="s">
        <v>69</v>
      </c>
      <c r="C122">
        <v>5</v>
      </c>
      <c r="D122" t="s">
        <v>130</v>
      </c>
      <c r="E122" t="s">
        <v>115</v>
      </c>
      <c r="F122" t="s">
        <v>96</v>
      </c>
      <c r="G122">
        <v>4142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4145.8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38.883872692358665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122" s="5" cm="1">
        <f t="array" ref="O122">MIN(IF((OutputTable[GroupByKey]=OutputTable[[#This Row],[GroupByKey]]),(OutputTable[GroupByKey]=OutputTable[[#This Row],[GroupByKey]])*OutputTable[RecordedValue]))</f>
        <v>4076</v>
      </c>
      <c r="P122" s="5" cm="1">
        <f t="array" ref="P122">MAX(IF((OutputTable[GroupByKey]=OutputTable[[#This Row],[GroupByKey]]),(OutputTable[GroupByKey]=OutputTable[[#This Row],[GroupByKey]])*OutputTable[RecordedValue]))</f>
        <v>4184</v>
      </c>
    </row>
    <row r="123" spans="1:16" x14ac:dyDescent="0.25">
      <c r="A123" t="s">
        <v>67</v>
      </c>
      <c r="B123" t="s">
        <v>69</v>
      </c>
      <c r="C123">
        <v>5</v>
      </c>
      <c r="D123" t="s">
        <v>131</v>
      </c>
      <c r="E123" t="s">
        <v>117</v>
      </c>
      <c r="F123" t="s">
        <v>96</v>
      </c>
      <c r="G123">
        <v>0.861647163681307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0.86584756987747569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7.1198499498994544E-3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123" s="5" cm="1">
        <f t="array" ref="O123">MIN(IF((OutputTable[GroupByKey]=OutputTable[[#This Row],[GroupByKey]]),(OutputTable[GroupByKey]=OutputTable[[#This Row],[GroupByKey]])*OutputTable[RecordedValue]))</f>
        <v>0.85312589705184705</v>
      </c>
      <c r="P123" s="5" cm="1">
        <f t="array" ref="P123">MAX(IF((OutputTable[GroupByKey]=OutputTable[[#This Row],[GroupByKey]]),(OutputTable[GroupByKey]=OutputTable[[#This Row],[GroupByKey]])*OutputTable[RecordedValue]))</f>
        <v>0.87436351179675398</v>
      </c>
    </row>
    <row r="124" spans="1:16" x14ac:dyDescent="0.25">
      <c r="A124" t="s">
        <v>67</v>
      </c>
      <c r="B124" t="s">
        <v>69</v>
      </c>
      <c r="C124">
        <v>5</v>
      </c>
      <c r="D124" t="s">
        <v>132</v>
      </c>
      <c r="E124" t="s">
        <v>125</v>
      </c>
      <c r="F124" t="s">
        <v>133</v>
      </c>
      <c r="G124">
        <v>12429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ProjectSystem.NumberOutNumber OutSystem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12441.9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109.66965548105516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124" s="5" cm="1">
        <f t="array" ref="O124">MIN(IF((OutputTable[GroupByKey]=OutputTable[[#This Row],[GroupByKey]]),(OutputTable[GroupByKey]=OutputTable[[#This Row],[GroupByKey]])*OutputTable[RecordedValue]))</f>
        <v>12224</v>
      </c>
      <c r="P124" s="5" cm="1">
        <f t="array" ref="P124">MAX(IF((OutputTable[GroupByKey]=OutputTable[[#This Row],[GroupByKey]]),(OutputTable[GroupByKey]=OutputTable[[#This Row],[GroupByKey]])*OutputTable[RecordedValue]))</f>
        <v>12584</v>
      </c>
    </row>
    <row r="125" spans="1:16" x14ac:dyDescent="0.25">
      <c r="A125" t="s">
        <v>67</v>
      </c>
      <c r="B125" t="s">
        <v>69</v>
      </c>
      <c r="C125">
        <v>5</v>
      </c>
      <c r="D125" t="s">
        <v>134</v>
      </c>
      <c r="E125" t="s">
        <v>115</v>
      </c>
      <c r="F125" t="s">
        <v>96</v>
      </c>
      <c r="G125">
        <v>14170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14003.5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154.71640723164001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125" s="5" cm="1">
        <f t="array" ref="O125">MIN(IF((OutputTable[GroupByKey]=OutputTable[[#This Row],[GroupByKey]]),(OutputTable[GroupByKey]=OutputTable[[#This Row],[GroupByKey]])*OutputTable[RecordedValue]))</f>
        <v>13729</v>
      </c>
      <c r="P125" s="5" cm="1">
        <f t="array" ref="P125">MAX(IF((OutputTable[GroupByKey]=OutputTable[[#This Row],[GroupByKey]]),(OutputTable[GroupByKey]=OutputTable[[#This Row],[GroupByKey]])*OutputTable[RecordedValue]))</f>
        <v>14205</v>
      </c>
    </row>
    <row r="126" spans="1:16" x14ac:dyDescent="0.25">
      <c r="A126" t="s">
        <v>67</v>
      </c>
      <c r="B126" t="s">
        <v>69</v>
      </c>
      <c r="C126">
        <v>5</v>
      </c>
      <c r="D126" t="s">
        <v>135</v>
      </c>
      <c r="E126" t="s">
        <v>117</v>
      </c>
      <c r="F126" t="s">
        <v>96</v>
      </c>
      <c r="G126">
        <v>0.86369048734499199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0.85369868202434152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9.4705605009894993E-3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126" s="5" cm="1">
        <f t="array" ref="O126">MIN(IF((OutputTable[GroupByKey]=OutputTable[[#This Row],[GroupByKey]]),(OutputTable[GroupByKey]=OutputTable[[#This Row],[GroupByKey]])*OutputTable[RecordedValue]))</f>
        <v>0.83618943731414597</v>
      </c>
      <c r="P126" s="5" cm="1">
        <f t="array" ref="P126">MAX(IF((OutputTable[GroupByKey]=OutputTable[[#This Row],[GroupByKey]]),(OutputTable[GroupByKey]=OutputTable[[#This Row],[GroupByKey]])*OutputTable[RecordedValue]))</f>
        <v>0.86586763783419696</v>
      </c>
    </row>
    <row r="127" spans="1:16" x14ac:dyDescent="0.25">
      <c r="A127" t="s">
        <v>67</v>
      </c>
      <c r="B127" t="s">
        <v>69</v>
      </c>
      <c r="C127">
        <v>5</v>
      </c>
      <c r="D127" t="s">
        <v>136</v>
      </c>
      <c r="E127" t="s">
        <v>115</v>
      </c>
      <c r="F127" t="s">
        <v>96</v>
      </c>
      <c r="G127">
        <v>9192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9367.5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139.5916664179253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27" s="5" cm="1">
        <f t="array" ref="O127">MIN(IF((OutputTable[GroupByKey]=OutputTable[[#This Row],[GroupByKey]]),(OutputTable[GroupByKey]=OutputTable[[#This Row],[GroupByKey]])*OutputTable[RecordedValue]))</f>
        <v>9192</v>
      </c>
      <c r="P127" s="5" cm="1">
        <f t="array" ref="P127">MAX(IF((OutputTable[GroupByKey]=OutputTable[[#This Row],[GroupByKey]]),(OutputTable[GroupByKey]=OutputTable[[#This Row],[GroupByKey]])*OutputTable[RecordedValue]))</f>
        <v>9577</v>
      </c>
    </row>
    <row r="128" spans="1:16" x14ac:dyDescent="0.25">
      <c r="A128" t="s">
        <v>67</v>
      </c>
      <c r="B128" t="s">
        <v>69</v>
      </c>
      <c r="C128">
        <v>5</v>
      </c>
      <c r="D128" t="s">
        <v>137</v>
      </c>
      <c r="E128" t="s">
        <v>117</v>
      </c>
      <c r="F128" t="s">
        <v>96</v>
      </c>
      <c r="G128">
        <v>0.75864843854708297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0.77500127942574837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1.1134375758682289E-2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128" s="5" cm="1">
        <f t="array" ref="O128">MIN(IF((OutputTable[GroupByKey]=OutputTable[[#This Row],[GroupByKey]]),(OutputTable[GroupByKey]=OutputTable[[#This Row],[GroupByKey]])*OutputTable[RecordedValue]))</f>
        <v>0.75864843854708297</v>
      </c>
      <c r="P128" s="5" cm="1">
        <f t="array" ref="P128">MAX(IF((OutputTable[GroupByKey]=OutputTable[[#This Row],[GroupByKey]]),(OutputTable[GroupByKey]=OutputTable[[#This Row],[GroupByKey]])*OutputTable[RecordedValue]))</f>
        <v>0.79252596119945096</v>
      </c>
    </row>
    <row r="129" spans="1:16" x14ac:dyDescent="0.25">
      <c r="A129" t="s">
        <v>67</v>
      </c>
      <c r="B129" t="s">
        <v>69</v>
      </c>
      <c r="C129">
        <v>5</v>
      </c>
      <c r="D129" t="s">
        <v>138</v>
      </c>
      <c r="E129" t="s">
        <v>115</v>
      </c>
      <c r="F129" t="s">
        <v>96</v>
      </c>
      <c r="G129">
        <v>12439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12449.2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108.68691017985765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129" s="5" cm="1">
        <f t="array" ref="O129">MIN(IF((OutputTable[GroupByKey]=OutputTable[[#This Row],[GroupByKey]]),(OutputTable[GroupByKey]=OutputTable[[#This Row],[GroupByKey]])*OutputTable[RecordedValue]))</f>
        <v>12231</v>
      </c>
      <c r="P129" s="5" cm="1">
        <f t="array" ref="P129">MAX(IF((OutputTable[GroupByKey]=OutputTable[[#This Row],[GroupByKey]]),(OutputTable[GroupByKey]=OutputTable[[#This Row],[GroupByKey]])*OutputTable[RecordedValue]))</f>
        <v>12589</v>
      </c>
    </row>
    <row r="130" spans="1:16" x14ac:dyDescent="0.25">
      <c r="A130" t="s">
        <v>67</v>
      </c>
      <c r="B130" t="s">
        <v>69</v>
      </c>
      <c r="C130">
        <v>5</v>
      </c>
      <c r="D130" t="s">
        <v>139</v>
      </c>
      <c r="E130" t="s">
        <v>117</v>
      </c>
      <c r="F130" t="s">
        <v>96</v>
      </c>
      <c r="G130">
        <v>0.85209028396297504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0.85958220767724303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8.2249879280646958E-3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130" s="5" cm="1">
        <f t="array" ref="O130">MIN(IF((OutputTable[GroupByKey]=OutputTable[[#This Row],[GroupByKey]]),(OutputTable[GroupByKey]=OutputTable[[#This Row],[GroupByKey]])*OutputTable[RecordedValue]))</f>
        <v>0.84465777371794004</v>
      </c>
      <c r="P130" s="5" cm="1">
        <f t="array" ref="P130">MAX(IF((OutputTable[GroupByKey]=OutputTable[[#This Row],[GroupByKey]]),(OutputTable[GroupByKey]=OutputTable[[#This Row],[GroupByKey]])*OutputTable[RecordedValue]))</f>
        <v>0.87000527345659695</v>
      </c>
    </row>
    <row r="131" spans="1:16" x14ac:dyDescent="0.25">
      <c r="A131" t="s">
        <v>67</v>
      </c>
      <c r="B131" t="s">
        <v>69</v>
      </c>
      <c r="C131">
        <v>5</v>
      </c>
      <c r="D131" t="s">
        <v>140</v>
      </c>
      <c r="E131" t="s">
        <v>115</v>
      </c>
      <c r="F131" t="s">
        <v>96</v>
      </c>
      <c r="G131">
        <v>14170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14003.5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154.71640723164001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131" s="5" cm="1">
        <f t="array" ref="O131">MIN(IF((OutputTable[GroupByKey]=OutputTable[[#This Row],[GroupByKey]]),(OutputTable[GroupByKey]=OutputTable[[#This Row],[GroupByKey]])*OutputTable[RecordedValue]))</f>
        <v>13729</v>
      </c>
      <c r="P131" s="5" cm="1">
        <f t="array" ref="P131">MAX(IF((OutputTable[GroupByKey]=OutputTable[[#This Row],[GroupByKey]]),(OutputTable[GroupByKey]=OutputTable[[#This Row],[GroupByKey]])*OutputTable[RecordedValue]))</f>
        <v>14205</v>
      </c>
    </row>
    <row r="132" spans="1:16" x14ac:dyDescent="0.25">
      <c r="A132" t="s">
        <v>67</v>
      </c>
      <c r="B132" t="s">
        <v>69</v>
      </c>
      <c r="C132">
        <v>5</v>
      </c>
      <c r="D132" t="s">
        <v>141</v>
      </c>
      <c r="E132" t="s">
        <v>117</v>
      </c>
      <c r="F132" t="s">
        <v>96</v>
      </c>
      <c r="G132">
        <v>0.86369048734499199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s="5" cm="1">
        <f t="array" ref="K132">IFERROR(AVERAGE(IF((OutputTable[GroupByKey]=OutputTable[[#This Row],[GroupByKey]]),(OutputTable[GroupByKey]=OutputTable[[#This Row],[GroupByKey]])*OutputTable[RecordedValue])),0)</f>
        <v>0.85369868202434152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9.4705605009894993E-3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132" s="5" cm="1">
        <f t="array" ref="O132">MIN(IF((OutputTable[GroupByKey]=OutputTable[[#This Row],[GroupByKey]]),(OutputTable[GroupByKey]=OutputTable[[#This Row],[GroupByKey]])*OutputTable[RecordedValue]))</f>
        <v>0.83618943731414597</v>
      </c>
      <c r="P132" s="5" cm="1">
        <f t="array" ref="P132">MAX(IF((OutputTable[GroupByKey]=OutputTable[[#This Row],[GroupByKey]]),(OutputTable[GroupByKey]=OutputTable[[#This Row],[GroupByKey]])*OutputTable[RecordedValue]))</f>
        <v>0.86586763783419696</v>
      </c>
    </row>
    <row r="133" spans="1:16" x14ac:dyDescent="0.25">
      <c r="A133" t="s">
        <v>67</v>
      </c>
      <c r="B133" t="s">
        <v>69</v>
      </c>
      <c r="C133">
        <v>5</v>
      </c>
      <c r="D133" t="s">
        <v>142</v>
      </c>
      <c r="E133" t="s">
        <v>115</v>
      </c>
      <c r="F133" t="s">
        <v>96</v>
      </c>
      <c r="G133">
        <v>9192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s="5" cm="1">
        <f t="array" ref="K133">IFERROR(AVERAGE(IF((OutputTable[GroupByKey]=OutputTable[[#This Row],[GroupByKey]]),(OutputTable[GroupByKey]=OutputTable[[#This Row],[GroupByKey]])*OutputTable[RecordedValue])),0)</f>
        <v>9367.5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139.5916664179253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33" s="5" cm="1">
        <f t="array" ref="O133">MIN(IF((OutputTable[GroupByKey]=OutputTable[[#This Row],[GroupByKey]]),(OutputTable[GroupByKey]=OutputTable[[#This Row],[GroupByKey]])*OutputTable[RecordedValue]))</f>
        <v>9192</v>
      </c>
      <c r="P133" s="5" cm="1">
        <f t="array" ref="P133">MAX(IF((OutputTable[GroupByKey]=OutputTable[[#This Row],[GroupByKey]]),(OutputTable[GroupByKey]=OutputTable[[#This Row],[GroupByKey]])*OutputTable[RecordedValue]))</f>
        <v>9577</v>
      </c>
    </row>
    <row r="134" spans="1:16" x14ac:dyDescent="0.25">
      <c r="A134" t="s">
        <v>67</v>
      </c>
      <c r="B134" t="s">
        <v>69</v>
      </c>
      <c r="C134">
        <v>5</v>
      </c>
      <c r="D134" t="s">
        <v>143</v>
      </c>
      <c r="E134" t="s">
        <v>117</v>
      </c>
      <c r="F134" t="s">
        <v>96</v>
      </c>
      <c r="G134">
        <v>0.75864843854708297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s="5" cm="1">
        <f t="array" ref="K134">IFERROR(AVERAGE(IF((OutputTable[GroupByKey]=OutputTable[[#This Row],[GroupByKey]]),(OutputTable[GroupByKey]=OutputTable[[#This Row],[GroupByKey]])*OutputTable[RecordedValue])),0)</f>
        <v>0.77500127942574837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1.1134375758682289E-2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134" s="5" cm="1">
        <f t="array" ref="O134">MIN(IF((OutputTable[GroupByKey]=OutputTable[[#This Row],[GroupByKey]]),(OutputTable[GroupByKey]=OutputTable[[#This Row],[GroupByKey]])*OutputTable[RecordedValue]))</f>
        <v>0.75864843854708297</v>
      </c>
      <c r="P134" s="5" cm="1">
        <f t="array" ref="P134">MAX(IF((OutputTable[GroupByKey]=OutputTable[[#This Row],[GroupByKey]]),(OutputTable[GroupByKey]=OutputTable[[#This Row],[GroupByKey]])*OutputTable[RecordedValue]))</f>
        <v>0.79252596119945096</v>
      </c>
    </row>
    <row r="135" spans="1:16" x14ac:dyDescent="0.25">
      <c r="A135" t="s">
        <v>67</v>
      </c>
      <c r="B135" t="s">
        <v>69</v>
      </c>
      <c r="C135">
        <v>5</v>
      </c>
      <c r="D135" t="s">
        <v>144</v>
      </c>
      <c r="E135" t="s">
        <v>115</v>
      </c>
      <c r="F135" t="s">
        <v>96</v>
      </c>
      <c r="G135">
        <v>12439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s="5" cm="1">
        <f t="array" ref="K135">IFERROR(AVERAGE(IF((OutputTable[GroupByKey]=OutputTable[[#This Row],[GroupByKey]]),(OutputTable[GroupByKey]=OutputTable[[#This Row],[GroupByKey]])*OutputTable[RecordedValue])),0)</f>
        <v>12449.2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108.68691017985765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135" s="5" cm="1">
        <f t="array" ref="O135">MIN(IF((OutputTable[GroupByKey]=OutputTable[[#This Row],[GroupByKey]]),(OutputTable[GroupByKey]=OutputTable[[#This Row],[GroupByKey]])*OutputTable[RecordedValue]))</f>
        <v>12231</v>
      </c>
      <c r="P135" s="5" cm="1">
        <f t="array" ref="P135">MAX(IF((OutputTable[GroupByKey]=OutputTable[[#This Row],[GroupByKey]]),(OutputTable[GroupByKey]=OutputTable[[#This Row],[GroupByKey]])*OutputTable[RecordedValue]))</f>
        <v>12589</v>
      </c>
    </row>
    <row r="136" spans="1:16" x14ac:dyDescent="0.25">
      <c r="A136" t="s">
        <v>67</v>
      </c>
      <c r="B136" t="s">
        <v>69</v>
      </c>
      <c r="C136">
        <v>5</v>
      </c>
      <c r="D136" t="s">
        <v>145</v>
      </c>
      <c r="E136" t="s">
        <v>117</v>
      </c>
      <c r="F136" t="s">
        <v>96</v>
      </c>
      <c r="G136">
        <v>0.85209028396297504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s="5" cm="1">
        <f t="array" ref="K136">IFERROR(AVERAGE(IF((OutputTable[GroupByKey]=OutputTable[[#This Row],[GroupByKey]]),(OutputTable[GroupByKey]=OutputTable[[#This Row],[GroupByKey]])*OutputTable[RecordedValue])),0)</f>
        <v>0.85958220767724303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8.2249879280646958E-3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136" s="5" cm="1">
        <f t="array" ref="O136">MIN(IF((OutputTable[GroupByKey]=OutputTable[[#This Row],[GroupByKey]]),(OutputTable[GroupByKey]=OutputTable[[#This Row],[GroupByKey]])*OutputTable[RecordedValue]))</f>
        <v>0.84465777371794004</v>
      </c>
      <c r="P136" s="5" cm="1">
        <f t="array" ref="P136">MAX(IF((OutputTable[GroupByKey]=OutputTable[[#This Row],[GroupByKey]]),(OutputTable[GroupByKey]=OutputTable[[#This Row],[GroupByKey]])*OutputTable[RecordedValue]))</f>
        <v>0.87000527345659695</v>
      </c>
    </row>
    <row r="137" spans="1:16" x14ac:dyDescent="0.25">
      <c r="A137" t="s">
        <v>67</v>
      </c>
      <c r="B137" t="s">
        <v>69</v>
      </c>
      <c r="C137">
        <v>6</v>
      </c>
      <c r="D137" t="s">
        <v>114</v>
      </c>
      <c r="E137" t="s">
        <v>115</v>
      </c>
      <c r="F137" t="s">
        <v>96</v>
      </c>
      <c r="G137">
        <v>12505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s="5" cm="1">
        <f t="array" ref="K137">IFERROR(AVERAGE(IF((OutputTable[GroupByKey]=OutputTable[[#This Row],[GroupByKey]]),(OutputTable[GroupByKey]=OutputTable[[#This Row],[GroupByKey]])*OutputTable[RecordedValue])),0)</f>
        <v>12454.5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108.84979456929526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137" s="5" cm="1">
        <f t="array" ref="O137">MIN(IF((OutputTable[GroupByKey]=OutputTable[[#This Row],[GroupByKey]]),(OutputTable[GroupByKey]=OutputTable[[#This Row],[GroupByKey]])*OutputTable[RecordedValue]))</f>
        <v>12234</v>
      </c>
      <c r="P137" s="5" cm="1">
        <f t="array" ref="P137">MAX(IF((OutputTable[GroupByKey]=OutputTable[[#This Row],[GroupByKey]]),(OutputTable[GroupByKey]=OutputTable[[#This Row],[GroupByKey]])*OutputTable[RecordedValue]))</f>
        <v>12593</v>
      </c>
    </row>
    <row r="138" spans="1:16" x14ac:dyDescent="0.25">
      <c r="A138" t="s">
        <v>67</v>
      </c>
      <c r="B138" t="s">
        <v>69</v>
      </c>
      <c r="C138">
        <v>6</v>
      </c>
      <c r="D138" t="s">
        <v>116</v>
      </c>
      <c r="E138" t="s">
        <v>117</v>
      </c>
      <c r="F138" t="s">
        <v>96</v>
      </c>
      <c r="G138">
        <v>0.74965905136190403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s="5" cm="1">
        <f t="array" ref="K138">IFERROR(AVERAGE(IF((OutputTable[GroupByKey]=OutputTable[[#This Row],[GroupByKey]]),(OutputTable[GroupByKey]=OutputTable[[#This Row],[GroupByKey]])*OutputTable[RecordedValue])),0)</f>
        <v>0.75203828164859643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9.2748854731057942E-3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138" s="5" cm="1">
        <f t="array" ref="O138">MIN(IF((OutputTable[GroupByKey]=OutputTable[[#This Row],[GroupByKey]]),(OutputTable[GroupByKey]=OutputTable[[#This Row],[GroupByKey]])*OutputTable[RecordedValue]))</f>
        <v>0.73578099184835299</v>
      </c>
      <c r="P138" s="5" cm="1">
        <f t="array" ref="P138">MAX(IF((OutputTable[GroupByKey]=OutputTable[[#This Row],[GroupByKey]]),(OutputTable[GroupByKey]=OutputTable[[#This Row],[GroupByKey]])*OutputTable[RecordedValue]))</f>
        <v>0.76817992377286104</v>
      </c>
    </row>
    <row r="139" spans="1:16" x14ac:dyDescent="0.25">
      <c r="A139" t="s">
        <v>67</v>
      </c>
      <c r="B139" t="s">
        <v>69</v>
      </c>
      <c r="C139">
        <v>6</v>
      </c>
      <c r="D139" t="s">
        <v>118</v>
      </c>
      <c r="E139" t="s">
        <v>115</v>
      </c>
      <c r="F139" t="s">
        <v>96</v>
      </c>
      <c r="G139">
        <v>6323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s="5" cm="1">
        <f t="array" ref="K139">IFERROR(AVERAGE(IF((OutputTable[GroupByKey]=OutputTable[[#This Row],[GroupByKey]]),(OutputTable[GroupByKey]=OutputTable[[#This Row],[GroupByKey]])*OutputTable[RecordedValue])),0)</f>
        <v>6223.9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93.753162909608307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139" s="5" cm="1">
        <f t="array" ref="O139">MIN(IF((OutputTable[GroupByKey]=OutputTable[[#This Row],[GroupByKey]]),(OutputTable[GroupByKey]=OutputTable[[#This Row],[GroupByKey]])*OutputTable[RecordedValue]))</f>
        <v>6030</v>
      </c>
      <c r="P139" s="5" cm="1">
        <f t="array" ref="P139">MAX(IF((OutputTable[GroupByKey]=OutputTable[[#This Row],[GroupByKey]]),(OutputTable[GroupByKey]=OutputTable[[#This Row],[GroupByKey]])*OutputTable[RecordedValue]))</f>
        <v>6330</v>
      </c>
    </row>
    <row r="140" spans="1:16" x14ac:dyDescent="0.25">
      <c r="A140" t="s">
        <v>67</v>
      </c>
      <c r="B140" t="s">
        <v>69</v>
      </c>
      <c r="C140">
        <v>6</v>
      </c>
      <c r="D140" t="s">
        <v>119</v>
      </c>
      <c r="E140" t="s">
        <v>117</v>
      </c>
      <c r="F140" t="s">
        <v>96</v>
      </c>
      <c r="G140">
        <v>0.74471063897842105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s="5" cm="1">
        <f t="array" ref="K140">IFERROR(AVERAGE(IF((OutputTable[GroupByKey]=OutputTable[[#This Row],[GroupByKey]]),(OutputTable[GroupByKey]=OutputTable[[#This Row],[GroupByKey]])*OutputTable[RecordedValue])),0)</f>
        <v>0.75111586075292547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9.1926752531366566E-3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140" s="5" cm="1">
        <f t="array" ref="O140">MIN(IF((OutputTable[GroupByKey]=OutputTable[[#This Row],[GroupByKey]]),(OutputTable[GroupByKey]=OutputTable[[#This Row],[GroupByKey]])*OutputTable[RecordedValue]))</f>
        <v>0.73777590022083495</v>
      </c>
      <c r="P140" s="5" cm="1">
        <f t="array" ref="P140">MAX(IF((OutputTable[GroupByKey]=OutputTable[[#This Row],[GroupByKey]]),(OutputTable[GroupByKey]=OutputTable[[#This Row],[GroupByKey]])*OutputTable[RecordedValue]))</f>
        <v>0.76666045600624</v>
      </c>
    </row>
    <row r="141" spans="1:16" x14ac:dyDescent="0.25">
      <c r="A141" t="s">
        <v>67</v>
      </c>
      <c r="B141" t="s">
        <v>69</v>
      </c>
      <c r="C141">
        <v>6</v>
      </c>
      <c r="D141" t="s">
        <v>120</v>
      </c>
      <c r="E141" t="s">
        <v>115</v>
      </c>
      <c r="F141" t="s">
        <v>96</v>
      </c>
      <c r="G141">
        <v>6182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s="5" cm="1">
        <f t="array" ref="K141">IFERROR(AVERAGE(IF((OutputTable[GroupByKey]=OutputTable[[#This Row],[GroupByKey]]),(OutputTable[GroupByKey]=OutputTable[[#This Row],[GroupByKey]])*OutputTable[RecordedValue])),0)</f>
        <v>6230.6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52.995177977707456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141" s="5" cm="1">
        <f t="array" ref="O141">MIN(IF((OutputTable[GroupByKey]=OutputTable[[#This Row],[GroupByKey]]),(OutputTable[GroupByKey]=OutputTable[[#This Row],[GroupByKey]])*OutputTable[RecordedValue]))</f>
        <v>6182</v>
      </c>
      <c r="P141" s="5" cm="1">
        <f t="array" ref="P141">MAX(IF((OutputTable[GroupByKey]=OutputTable[[#This Row],[GroupByKey]]),(OutputTable[GroupByKey]=OutputTable[[#This Row],[GroupByKey]])*OutputTable[RecordedValue]))</f>
        <v>6338</v>
      </c>
    </row>
    <row r="142" spans="1:16" x14ac:dyDescent="0.25">
      <c r="A142" t="s">
        <v>67</v>
      </c>
      <c r="B142" t="s">
        <v>69</v>
      </c>
      <c r="C142">
        <v>6</v>
      </c>
      <c r="D142" t="s">
        <v>121</v>
      </c>
      <c r="E142" t="s">
        <v>117</v>
      </c>
      <c r="F142" t="s">
        <v>96</v>
      </c>
      <c r="G142">
        <v>0.75460746374537901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10</v>
      </c>
      <c r="K142" s="5" cm="1">
        <f t="array" ref="K142">IFERROR(AVERAGE(IF((OutputTable[GroupByKey]=OutputTable[[#This Row],[GroupByKey]]),(OutputTable[GroupByKey]=OutputTable[[#This Row],[GroupByKey]])*OutputTable[RecordedValue])),0)</f>
        <v>0.75296070254426462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1.0201996050203582E-2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142" s="5" cm="1">
        <f t="array" ref="O142">MIN(IF((OutputTable[GroupByKey]=OutputTable[[#This Row],[GroupByKey]]),(OutputTable[GroupByKey]=OutputTable[[#This Row],[GroupByKey]])*OutputTable[RecordedValue]))</f>
        <v>0.73378608347586405</v>
      </c>
      <c r="P142" s="5" cm="1">
        <f t="array" ref="P142">MAX(IF((OutputTable[GroupByKey]=OutputTable[[#This Row],[GroupByKey]]),(OutputTable[GroupByKey]=OutputTable[[#This Row],[GroupByKey]])*OutputTable[RecordedValue]))</f>
        <v>0.76969939153947697</v>
      </c>
    </row>
    <row r="143" spans="1:16" x14ac:dyDescent="0.25">
      <c r="A143" t="s">
        <v>67</v>
      </c>
      <c r="B143" t="s">
        <v>69</v>
      </c>
      <c r="C143">
        <v>6</v>
      </c>
      <c r="D143" t="s">
        <v>122</v>
      </c>
      <c r="E143" t="s">
        <v>123</v>
      </c>
      <c r="F143" t="s">
        <v>75</v>
      </c>
      <c r="G143">
        <v>12508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ProjectEntity 1.NumberInNumber InEntity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10</v>
      </c>
      <c r="K143" s="5" cm="1">
        <f t="array" ref="K143">IFERROR(AVERAGE(IF((OutputTable[GroupByKey]=OutputTable[[#This Row],[GroupByKey]]),(OutputTable[GroupByKey]=OutputTable[[#This Row],[GroupByKey]])*OutputTable[RecordedValue])),0)</f>
        <v>12455.3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109.29577606964813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143" s="5" cm="1">
        <f t="array" ref="O143">MIN(IF((OutputTable[GroupByKey]=OutputTable[[#This Row],[GroupByKey]]),(OutputTable[GroupByKey]=OutputTable[[#This Row],[GroupByKey]])*OutputTable[RecordedValue]))</f>
        <v>12234</v>
      </c>
      <c r="P143" s="5" cm="1">
        <f t="array" ref="P143">MAX(IF((OutputTable[GroupByKey]=OutputTable[[#This Row],[GroupByKey]]),(OutputTable[GroupByKey]=OutputTable[[#This Row],[GroupByKey]])*OutputTable[RecordedValue]))</f>
        <v>12594</v>
      </c>
    </row>
    <row r="144" spans="1:16" x14ac:dyDescent="0.25">
      <c r="A144" t="s">
        <v>67</v>
      </c>
      <c r="B144" t="s">
        <v>69</v>
      </c>
      <c r="C144">
        <v>6</v>
      </c>
      <c r="D144" t="s">
        <v>124</v>
      </c>
      <c r="E144" t="s">
        <v>125</v>
      </c>
      <c r="F144" t="s">
        <v>75</v>
      </c>
      <c r="G144">
        <v>12500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ProjectEntity 1.NumberOutNumber OutEntity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10</v>
      </c>
      <c r="K144" s="5" cm="1">
        <f t="array" ref="K144">IFERROR(AVERAGE(IF((OutputTable[GroupByKey]=OutputTable[[#This Row],[GroupByKey]]),(OutputTable[GroupByKey]=OutputTable[[#This Row],[GroupByKey]])*OutputTable[RecordedValue])),0)</f>
        <v>12441.9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109.66965548105516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144" s="5" cm="1">
        <f t="array" ref="O144">MIN(IF((OutputTable[GroupByKey]=OutputTable[[#This Row],[GroupByKey]]),(OutputTable[GroupByKey]=OutputTable[[#This Row],[GroupByKey]])*OutputTable[RecordedValue]))</f>
        <v>12224</v>
      </c>
      <c r="P144" s="5" cm="1">
        <f t="array" ref="P144">MAX(IF((OutputTable[GroupByKey]=OutputTable[[#This Row],[GroupByKey]]),(OutputTable[GroupByKey]=OutputTable[[#This Row],[GroupByKey]])*OutputTable[RecordedValue]))</f>
        <v>12584</v>
      </c>
    </row>
    <row r="145" spans="1:16" x14ac:dyDescent="0.25">
      <c r="A145" t="s">
        <v>67</v>
      </c>
      <c r="B145" t="s">
        <v>69</v>
      </c>
      <c r="C145">
        <v>6</v>
      </c>
      <c r="D145" t="s">
        <v>126</v>
      </c>
      <c r="E145" t="s">
        <v>115</v>
      </c>
      <c r="F145" t="s">
        <v>96</v>
      </c>
      <c r="G145">
        <v>4164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10</v>
      </c>
      <c r="K145" s="5" cm="1">
        <f t="array" ref="K145">IFERROR(AVERAGE(IF((OutputTable[GroupByKey]=OutputTable[[#This Row],[GroupByKey]]),(OutputTable[GroupByKey]=OutputTable[[#This Row],[GroupByKey]])*OutputTable[RecordedValue])),0)</f>
        <v>4151.1000000000004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38.420046850570081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145" s="5" cm="1">
        <f t="array" ref="O145">MIN(IF((OutputTable[GroupByKey]=OutputTable[[#This Row],[GroupByKey]]),(OutputTable[GroupByKey]=OutputTable[[#This Row],[GroupByKey]])*OutputTable[RecordedValue]))</f>
        <v>4077</v>
      </c>
      <c r="P145" s="5" cm="1">
        <f t="array" ref="P145">MAX(IF((OutputTable[GroupByKey]=OutputTable[[#This Row],[GroupByKey]]),(OutputTable[GroupByKey]=OutputTable[[#This Row],[GroupByKey]])*OutputTable[RecordedValue]))</f>
        <v>4202</v>
      </c>
    </row>
    <row r="146" spans="1:16" x14ac:dyDescent="0.25">
      <c r="A146" t="s">
        <v>67</v>
      </c>
      <c r="B146" t="s">
        <v>69</v>
      </c>
      <c r="C146">
        <v>6</v>
      </c>
      <c r="D146" t="s">
        <v>127</v>
      </c>
      <c r="E146" t="s">
        <v>117</v>
      </c>
      <c r="F146" t="s">
        <v>96</v>
      </c>
      <c r="G146">
        <v>0.87216602172258495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10</v>
      </c>
      <c r="K146" s="5" cm="1">
        <f t="array" ref="K146">IFERROR(AVERAGE(IF((OutputTable[GroupByKey]=OutputTable[[#This Row],[GroupByKey]]),(OutputTable[GroupByKey]=OutputTable[[#This Row],[GroupByKey]])*OutputTable[RecordedValue])),0)</f>
        <v>0.86617223927529052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7.3264677567561349E-3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146" s="5" cm="1">
        <f t="array" ref="O146">MIN(IF((OutputTable[GroupByKey]=OutputTable[[#This Row],[GroupByKey]]),(OutputTable[GroupByKey]=OutputTable[[#This Row],[GroupByKey]])*OutputTable[RecordedValue]))</f>
        <v>0.85300206766602205</v>
      </c>
      <c r="P146" s="5" cm="1">
        <f t="array" ref="P146">MAX(IF((OutputTable[GroupByKey]=OutputTable[[#This Row],[GroupByKey]]),(OutputTable[GroupByKey]=OutputTable[[#This Row],[GroupByKey]])*OutputTable[RecordedValue]))</f>
        <v>0.87632698102425799</v>
      </c>
    </row>
    <row r="147" spans="1:16" x14ac:dyDescent="0.25">
      <c r="A147" t="s">
        <v>67</v>
      </c>
      <c r="B147" t="s">
        <v>69</v>
      </c>
      <c r="C147">
        <v>6</v>
      </c>
      <c r="D147" t="s">
        <v>128</v>
      </c>
      <c r="E147" t="s">
        <v>115</v>
      </c>
      <c r="F147" t="s">
        <v>96</v>
      </c>
      <c r="G147">
        <v>4160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10</v>
      </c>
      <c r="K147" s="5" cm="1">
        <f t="array" ref="K147">IFERROR(AVERAGE(IF((OutputTable[GroupByKey]=OutputTable[[#This Row],[GroupByKey]]),(OutputTable[GroupByKey]=OutputTable[[#This Row],[GroupByKey]])*OutputTable[RecordedValue])),0)</f>
        <v>4147.7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35.339779286237771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147" s="5" cm="1">
        <f t="array" ref="O147">MIN(IF((OutputTable[GroupByKey]=OutputTable[[#This Row],[GroupByKey]]),(OutputTable[GroupByKey]=OutputTable[[#This Row],[GroupByKey]])*OutputTable[RecordedValue]))</f>
        <v>4072</v>
      </c>
      <c r="P147" s="5" cm="1">
        <f t="array" ref="P147">MAX(IF((OutputTable[GroupByKey]=OutputTable[[#This Row],[GroupByKey]]),(OutputTable[GroupByKey]=OutputTable[[#This Row],[GroupByKey]])*OutputTable[RecordedValue]))</f>
        <v>4199</v>
      </c>
    </row>
    <row r="148" spans="1:16" x14ac:dyDescent="0.25">
      <c r="A148" t="s">
        <v>67</v>
      </c>
      <c r="B148" t="s">
        <v>69</v>
      </c>
      <c r="C148">
        <v>6</v>
      </c>
      <c r="D148" t="s">
        <v>129</v>
      </c>
      <c r="E148" t="s">
        <v>117</v>
      </c>
      <c r="F148" t="s">
        <v>96</v>
      </c>
      <c r="G148">
        <v>0.87300868153341904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10</v>
      </c>
      <c r="K148" s="5" cm="1">
        <f t="array" ref="K148">IFERROR(AVERAGE(IF((OutputTable[GroupByKey]=OutputTable[[#This Row],[GroupByKey]]),(OutputTable[GroupByKey]=OutputTable[[#This Row],[GroupByKey]])*OutputTable[RecordedValue])),0)</f>
        <v>0.86586513532824916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7.1981559947843117E-3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148" s="5" cm="1">
        <f t="array" ref="O148">MIN(IF((OutputTable[GroupByKey]=OutputTable[[#This Row],[GroupByKey]]),(OutputTable[GroupByKey]=OutputTable[[#This Row],[GroupByKey]])*OutputTable[RecordedValue]))</f>
        <v>0.85267322894137698</v>
      </c>
      <c r="P148" s="5" cm="1">
        <f t="array" ref="P148">MAX(IF((OutputTable[GroupByKey]=OutputTable[[#This Row],[GroupByKey]]),(OutputTable[GroupByKey]=OutputTable[[#This Row],[GroupByKey]])*OutputTable[RecordedValue]))</f>
        <v>0.87300868153341904</v>
      </c>
    </row>
    <row r="149" spans="1:16" x14ac:dyDescent="0.25">
      <c r="A149" t="s">
        <v>67</v>
      </c>
      <c r="B149" t="s">
        <v>69</v>
      </c>
      <c r="C149">
        <v>6</v>
      </c>
      <c r="D149" t="s">
        <v>130</v>
      </c>
      <c r="E149" t="s">
        <v>115</v>
      </c>
      <c r="F149" t="s">
        <v>96</v>
      </c>
      <c r="G149">
        <v>4178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10</v>
      </c>
      <c r="K149" s="5" cm="1">
        <f t="array" ref="K149">IFERROR(AVERAGE(IF((OutputTable[GroupByKey]=OutputTable[[#This Row],[GroupByKey]]),(OutputTable[GroupByKey]=OutputTable[[#This Row],[GroupByKey]])*OutputTable[RecordedValue])),0)</f>
        <v>4145.8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38.883872692358665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149" s="5" cm="1">
        <f t="array" ref="O149">MIN(IF((OutputTable[GroupByKey]=OutputTable[[#This Row],[GroupByKey]]),(OutputTable[GroupByKey]=OutputTable[[#This Row],[GroupByKey]])*OutputTable[RecordedValue]))</f>
        <v>4076</v>
      </c>
      <c r="P149" s="5" cm="1">
        <f t="array" ref="P149">MAX(IF((OutputTable[GroupByKey]=OutputTable[[#This Row],[GroupByKey]]),(OutputTable[GroupByKey]=OutputTable[[#This Row],[GroupByKey]])*OutputTable[RecordedValue]))</f>
        <v>4184</v>
      </c>
    </row>
    <row r="150" spans="1:16" x14ac:dyDescent="0.25">
      <c r="A150" t="s">
        <v>67</v>
      </c>
      <c r="B150" t="s">
        <v>69</v>
      </c>
      <c r="C150">
        <v>6</v>
      </c>
      <c r="D150" t="s">
        <v>131</v>
      </c>
      <c r="E150" t="s">
        <v>117</v>
      </c>
      <c r="F150" t="s">
        <v>96</v>
      </c>
      <c r="G150">
        <v>0.87317695175457599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10</v>
      </c>
      <c r="K150" s="5" cm="1">
        <f t="array" ref="K150">IFERROR(AVERAGE(IF((OutputTable[GroupByKey]=OutputTable[[#This Row],[GroupByKey]]),(OutputTable[GroupByKey]=OutputTable[[#This Row],[GroupByKey]])*OutputTable[RecordedValue])),0)</f>
        <v>0.86584756987747569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7.1198499498994544E-3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150" s="5" cm="1">
        <f t="array" ref="O150">MIN(IF((OutputTable[GroupByKey]=OutputTable[[#This Row],[GroupByKey]]),(OutputTable[GroupByKey]=OutputTable[[#This Row],[GroupByKey]])*OutputTable[RecordedValue]))</f>
        <v>0.85312589705184705</v>
      </c>
      <c r="P150" s="5" cm="1">
        <f t="array" ref="P150">MAX(IF((OutputTable[GroupByKey]=OutputTable[[#This Row],[GroupByKey]]),(OutputTable[GroupByKey]=OutputTable[[#This Row],[GroupByKey]])*OutputTable[RecordedValue]))</f>
        <v>0.87436351179675398</v>
      </c>
    </row>
    <row r="151" spans="1:16" x14ac:dyDescent="0.25">
      <c r="A151" t="s">
        <v>67</v>
      </c>
      <c r="B151" t="s">
        <v>69</v>
      </c>
      <c r="C151">
        <v>6</v>
      </c>
      <c r="D151" t="s">
        <v>132</v>
      </c>
      <c r="E151" t="s">
        <v>125</v>
      </c>
      <c r="F151" t="s">
        <v>133</v>
      </c>
      <c r="G151">
        <v>12500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10</v>
      </c>
      <c r="K151" s="5" cm="1">
        <f t="array" ref="K151">IFERROR(AVERAGE(IF((OutputTable[GroupByKey]=OutputTable[[#This Row],[GroupByKey]]),(OutputTable[GroupByKey]=OutputTable[[#This Row],[GroupByKey]])*OutputTable[RecordedValue])),0)</f>
        <v>12441.9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109.66965548105516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151" s="5" cm="1">
        <f t="array" ref="O151">MIN(IF((OutputTable[GroupByKey]=OutputTable[[#This Row],[GroupByKey]]),(OutputTable[GroupByKey]=OutputTable[[#This Row],[GroupByKey]])*OutputTable[RecordedValue]))</f>
        <v>12224</v>
      </c>
      <c r="P151" s="5" cm="1">
        <f t="array" ref="P151">MAX(IF((OutputTable[GroupByKey]=OutputTable[[#This Row],[GroupByKey]]),(OutputTable[GroupByKey]=OutputTable[[#This Row],[GroupByKey]])*OutputTable[RecordedValue]))</f>
        <v>12584</v>
      </c>
    </row>
    <row r="152" spans="1:16" x14ac:dyDescent="0.25">
      <c r="A152" t="s">
        <v>67</v>
      </c>
      <c r="B152" t="s">
        <v>69</v>
      </c>
      <c r="C152">
        <v>6</v>
      </c>
      <c r="D152" t="s">
        <v>134</v>
      </c>
      <c r="E152" t="s">
        <v>115</v>
      </c>
      <c r="F152" t="s">
        <v>96</v>
      </c>
      <c r="G152">
        <v>13958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10</v>
      </c>
      <c r="K152" s="5" cm="1">
        <f t="array" ref="K152">IFERROR(AVERAGE(IF((OutputTable[GroupByKey]=OutputTable[[#This Row],[GroupByKey]]),(OutputTable[GroupByKey]=OutputTable[[#This Row],[GroupByKey]])*OutputTable[RecordedValue])),0)</f>
        <v>14003.5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154.71640723164001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152" s="5" cm="1">
        <f t="array" ref="O152">MIN(IF((OutputTable[GroupByKey]=OutputTable[[#This Row],[GroupByKey]]),(OutputTable[GroupByKey]=OutputTable[[#This Row],[GroupByKey]])*OutputTable[RecordedValue]))</f>
        <v>13729</v>
      </c>
      <c r="P152" s="5" cm="1">
        <f t="array" ref="P152">MAX(IF((OutputTable[GroupByKey]=OutputTable[[#This Row],[GroupByKey]]),(OutputTable[GroupByKey]=OutputTable[[#This Row],[GroupByKey]])*OutputTable[RecordedValue]))</f>
        <v>14205</v>
      </c>
    </row>
    <row r="153" spans="1:16" x14ac:dyDescent="0.25">
      <c r="A153" t="s">
        <v>67</v>
      </c>
      <c r="B153" t="s">
        <v>69</v>
      </c>
      <c r="C153">
        <v>6</v>
      </c>
      <c r="D153" t="s">
        <v>135</v>
      </c>
      <c r="E153" t="s">
        <v>117</v>
      </c>
      <c r="F153" t="s">
        <v>96</v>
      </c>
      <c r="G153">
        <v>0.853824879418559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10</v>
      </c>
      <c r="K153" s="5" cm="1">
        <f t="array" ref="K153">IFERROR(AVERAGE(IF((OutputTable[GroupByKey]=OutputTable[[#This Row],[GroupByKey]]),(OutputTable[GroupByKey]=OutputTable[[#This Row],[GroupByKey]])*OutputTable[RecordedValue])),0)</f>
        <v>0.85369868202434152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9.4705605009894993E-3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153" s="5" cm="1">
        <f t="array" ref="O153">MIN(IF((OutputTable[GroupByKey]=OutputTable[[#This Row],[GroupByKey]]),(OutputTable[GroupByKey]=OutputTable[[#This Row],[GroupByKey]])*OutputTable[RecordedValue]))</f>
        <v>0.83618943731414597</v>
      </c>
      <c r="P153" s="5" cm="1">
        <f t="array" ref="P153">MAX(IF((OutputTable[GroupByKey]=OutputTable[[#This Row],[GroupByKey]]),(OutputTable[GroupByKey]=OutputTable[[#This Row],[GroupByKey]])*OutputTable[RecordedValue]))</f>
        <v>0.86586763783419696</v>
      </c>
    </row>
    <row r="154" spans="1:16" x14ac:dyDescent="0.25">
      <c r="A154" t="s">
        <v>67</v>
      </c>
      <c r="B154" t="s">
        <v>69</v>
      </c>
      <c r="C154">
        <v>6</v>
      </c>
      <c r="D154" t="s">
        <v>136</v>
      </c>
      <c r="E154" t="s">
        <v>115</v>
      </c>
      <c r="F154" t="s">
        <v>96</v>
      </c>
      <c r="G154">
        <v>9577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10</v>
      </c>
      <c r="K154" s="5" cm="1">
        <f t="array" ref="K154">IFERROR(AVERAGE(IF((OutputTable[GroupByKey]=OutputTable[[#This Row],[GroupByKey]]),(OutputTable[GroupByKey]=OutputTable[[#This Row],[GroupByKey]])*OutputTable[RecordedValue])),0)</f>
        <v>9367.5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139.5916664179253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54" s="5" cm="1">
        <f t="array" ref="O154">MIN(IF((OutputTable[GroupByKey]=OutputTable[[#This Row],[GroupByKey]]),(OutputTable[GroupByKey]=OutputTable[[#This Row],[GroupByKey]])*OutputTable[RecordedValue]))</f>
        <v>9192</v>
      </c>
      <c r="P154" s="5" cm="1">
        <f t="array" ref="P154">MAX(IF((OutputTable[GroupByKey]=OutputTable[[#This Row],[GroupByKey]]),(OutputTable[GroupByKey]=OutputTable[[#This Row],[GroupByKey]])*OutputTable[RecordedValue]))</f>
        <v>9577</v>
      </c>
    </row>
    <row r="155" spans="1:16" x14ac:dyDescent="0.25">
      <c r="A155" t="s">
        <v>67</v>
      </c>
      <c r="B155" t="s">
        <v>69</v>
      </c>
      <c r="C155">
        <v>6</v>
      </c>
      <c r="D155" t="s">
        <v>137</v>
      </c>
      <c r="E155" t="s">
        <v>117</v>
      </c>
      <c r="F155" t="s">
        <v>96</v>
      </c>
      <c r="G155">
        <v>0.79252596119945096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10</v>
      </c>
      <c r="K155" s="5" cm="1">
        <f t="array" ref="K155">IFERROR(AVERAGE(IF((OutputTable[GroupByKey]=OutputTable[[#This Row],[GroupByKey]]),(OutputTable[GroupByKey]=OutputTable[[#This Row],[GroupByKey]])*OutputTable[RecordedValue])),0)</f>
        <v>0.77500127942574837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1.1134375758682289E-2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155" s="5" cm="1">
        <f t="array" ref="O155">MIN(IF((OutputTable[GroupByKey]=OutputTable[[#This Row],[GroupByKey]]),(OutputTable[GroupByKey]=OutputTable[[#This Row],[GroupByKey]])*OutputTable[RecordedValue]))</f>
        <v>0.75864843854708297</v>
      </c>
      <c r="P155" s="5" cm="1">
        <f t="array" ref="P155">MAX(IF((OutputTable[GroupByKey]=OutputTable[[#This Row],[GroupByKey]]),(OutputTable[GroupByKey]=OutputTable[[#This Row],[GroupByKey]])*OutputTable[RecordedValue]))</f>
        <v>0.79252596119945096</v>
      </c>
    </row>
    <row r="156" spans="1:16" x14ac:dyDescent="0.25">
      <c r="A156" t="s">
        <v>67</v>
      </c>
      <c r="B156" t="s">
        <v>69</v>
      </c>
      <c r="C156">
        <v>6</v>
      </c>
      <c r="D156" t="s">
        <v>138</v>
      </c>
      <c r="E156" t="s">
        <v>115</v>
      </c>
      <c r="F156" t="s">
        <v>96</v>
      </c>
      <c r="G156">
        <v>12503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10</v>
      </c>
      <c r="K156" s="5" cm="1">
        <f t="array" ref="K156">IFERROR(AVERAGE(IF((OutputTable[GroupByKey]=OutputTable[[#This Row],[GroupByKey]]),(OutputTable[GroupByKey]=OutputTable[[#This Row],[GroupByKey]])*OutputTable[RecordedValue])),0)</f>
        <v>12449.2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108.68691017985765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156" s="5" cm="1">
        <f t="array" ref="O156">MIN(IF((OutputTable[GroupByKey]=OutputTable[[#This Row],[GroupByKey]]),(OutputTable[GroupByKey]=OutputTable[[#This Row],[GroupByKey]])*OutputTable[RecordedValue]))</f>
        <v>12231</v>
      </c>
      <c r="P156" s="5" cm="1">
        <f t="array" ref="P156">MAX(IF((OutputTable[GroupByKey]=OutputTable[[#This Row],[GroupByKey]]),(OutputTable[GroupByKey]=OutputTable[[#This Row],[GroupByKey]])*OutputTable[RecordedValue]))</f>
        <v>12589</v>
      </c>
    </row>
    <row r="157" spans="1:16" x14ac:dyDescent="0.25">
      <c r="A157" t="s">
        <v>67</v>
      </c>
      <c r="B157" t="s">
        <v>69</v>
      </c>
      <c r="C157">
        <v>6</v>
      </c>
      <c r="D157" t="s">
        <v>139</v>
      </c>
      <c r="E157" t="s">
        <v>117</v>
      </c>
      <c r="F157" t="s">
        <v>96</v>
      </c>
      <c r="G157">
        <v>0.86288297680484805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10</v>
      </c>
      <c r="K157" s="5" cm="1">
        <f t="array" ref="K157">IFERROR(AVERAGE(IF((OutputTable[GroupByKey]=OutputTable[[#This Row],[GroupByKey]]),(OutputTable[GroupByKey]=OutputTable[[#This Row],[GroupByKey]])*OutputTable[RecordedValue])),0)</f>
        <v>0.85958220767724303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8.2249879280646958E-3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157" s="5" cm="1">
        <f t="array" ref="O157">MIN(IF((OutputTable[GroupByKey]=OutputTable[[#This Row],[GroupByKey]]),(OutputTable[GroupByKey]=OutputTable[[#This Row],[GroupByKey]])*OutputTable[RecordedValue]))</f>
        <v>0.84465777371794004</v>
      </c>
      <c r="P157" s="5" cm="1">
        <f t="array" ref="P157">MAX(IF((OutputTable[GroupByKey]=OutputTable[[#This Row],[GroupByKey]]),(OutputTable[GroupByKey]=OutputTable[[#This Row],[GroupByKey]])*OutputTable[RecordedValue]))</f>
        <v>0.87000527345659695</v>
      </c>
    </row>
    <row r="158" spans="1:16" x14ac:dyDescent="0.25">
      <c r="A158" t="s">
        <v>67</v>
      </c>
      <c r="B158" t="s">
        <v>69</v>
      </c>
      <c r="C158">
        <v>6</v>
      </c>
      <c r="D158" t="s">
        <v>140</v>
      </c>
      <c r="E158" t="s">
        <v>115</v>
      </c>
      <c r="F158" t="s">
        <v>96</v>
      </c>
      <c r="G158">
        <v>13958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10</v>
      </c>
      <c r="K158" s="5" cm="1">
        <f t="array" ref="K158">IFERROR(AVERAGE(IF((OutputTable[GroupByKey]=OutputTable[[#This Row],[GroupByKey]]),(OutputTable[GroupByKey]=OutputTable[[#This Row],[GroupByKey]])*OutputTable[RecordedValue])),0)</f>
        <v>14003.5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154.71640723164001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158" s="5" cm="1">
        <f t="array" ref="O158">MIN(IF((OutputTable[GroupByKey]=OutputTable[[#This Row],[GroupByKey]]),(OutputTable[GroupByKey]=OutputTable[[#This Row],[GroupByKey]])*OutputTable[RecordedValue]))</f>
        <v>13729</v>
      </c>
      <c r="P158" s="5" cm="1">
        <f t="array" ref="P158">MAX(IF((OutputTable[GroupByKey]=OutputTable[[#This Row],[GroupByKey]]),(OutputTable[GroupByKey]=OutputTable[[#This Row],[GroupByKey]])*OutputTable[RecordedValue]))</f>
        <v>14205</v>
      </c>
    </row>
    <row r="159" spans="1:16" x14ac:dyDescent="0.25">
      <c r="A159" t="s">
        <v>67</v>
      </c>
      <c r="B159" t="s">
        <v>69</v>
      </c>
      <c r="C159">
        <v>6</v>
      </c>
      <c r="D159" t="s">
        <v>141</v>
      </c>
      <c r="E159" t="s">
        <v>117</v>
      </c>
      <c r="F159" t="s">
        <v>96</v>
      </c>
      <c r="G159">
        <v>0.853824879418559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10</v>
      </c>
      <c r="K159" s="5" cm="1">
        <f t="array" ref="K159">IFERROR(AVERAGE(IF((OutputTable[GroupByKey]=OutputTable[[#This Row],[GroupByKey]]),(OutputTable[GroupByKey]=OutputTable[[#This Row],[GroupByKey]])*OutputTable[RecordedValue])),0)</f>
        <v>0.85369868202434152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9.4705605009894993E-3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159" s="5" cm="1">
        <f t="array" ref="O159">MIN(IF((OutputTable[GroupByKey]=OutputTable[[#This Row],[GroupByKey]]),(OutputTable[GroupByKey]=OutputTable[[#This Row],[GroupByKey]])*OutputTable[RecordedValue]))</f>
        <v>0.83618943731414597</v>
      </c>
      <c r="P159" s="5" cm="1">
        <f t="array" ref="P159">MAX(IF((OutputTable[GroupByKey]=OutputTable[[#This Row],[GroupByKey]]),(OutputTable[GroupByKey]=OutputTable[[#This Row],[GroupByKey]])*OutputTable[RecordedValue]))</f>
        <v>0.86586763783419696</v>
      </c>
    </row>
    <row r="160" spans="1:16" x14ac:dyDescent="0.25">
      <c r="A160" t="s">
        <v>67</v>
      </c>
      <c r="B160" t="s">
        <v>69</v>
      </c>
      <c r="C160">
        <v>6</v>
      </c>
      <c r="D160" t="s">
        <v>142</v>
      </c>
      <c r="E160" t="s">
        <v>115</v>
      </c>
      <c r="F160" t="s">
        <v>96</v>
      </c>
      <c r="G160">
        <v>9577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10</v>
      </c>
      <c r="K160" s="5" cm="1">
        <f t="array" ref="K160">IFERROR(AVERAGE(IF((OutputTable[GroupByKey]=OutputTable[[#This Row],[GroupByKey]]),(OutputTable[GroupByKey]=OutputTable[[#This Row],[GroupByKey]])*OutputTable[RecordedValue])),0)</f>
        <v>9367.5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139.5916664179253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60" s="5" cm="1">
        <f t="array" ref="O160">MIN(IF((OutputTable[GroupByKey]=OutputTable[[#This Row],[GroupByKey]]),(OutputTable[GroupByKey]=OutputTable[[#This Row],[GroupByKey]])*OutputTable[RecordedValue]))</f>
        <v>9192</v>
      </c>
      <c r="P160" s="5" cm="1">
        <f t="array" ref="P160">MAX(IF((OutputTable[GroupByKey]=OutputTable[[#This Row],[GroupByKey]]),(OutputTable[GroupByKey]=OutputTable[[#This Row],[GroupByKey]])*OutputTable[RecordedValue]))</f>
        <v>9577</v>
      </c>
    </row>
    <row r="161" spans="1:16" x14ac:dyDescent="0.25">
      <c r="A161" t="s">
        <v>67</v>
      </c>
      <c r="B161" t="s">
        <v>69</v>
      </c>
      <c r="C161">
        <v>6</v>
      </c>
      <c r="D161" t="s">
        <v>143</v>
      </c>
      <c r="E161" t="s">
        <v>117</v>
      </c>
      <c r="F161" t="s">
        <v>96</v>
      </c>
      <c r="G161">
        <v>0.79252596119945096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10</v>
      </c>
      <c r="K161" s="5" cm="1">
        <f t="array" ref="K161">IFERROR(AVERAGE(IF((OutputTable[GroupByKey]=OutputTable[[#This Row],[GroupByKey]]),(OutputTable[GroupByKey]=OutputTable[[#This Row],[GroupByKey]])*OutputTable[RecordedValue])),0)</f>
        <v>0.77500127942574837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1.1134375758682289E-2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161" s="5" cm="1">
        <f t="array" ref="O161">MIN(IF((OutputTable[GroupByKey]=OutputTable[[#This Row],[GroupByKey]]),(OutputTable[GroupByKey]=OutputTable[[#This Row],[GroupByKey]])*OutputTable[RecordedValue]))</f>
        <v>0.75864843854708297</v>
      </c>
      <c r="P161" s="5" cm="1">
        <f t="array" ref="P161">MAX(IF((OutputTable[GroupByKey]=OutputTable[[#This Row],[GroupByKey]]),(OutputTable[GroupByKey]=OutputTable[[#This Row],[GroupByKey]])*OutputTable[RecordedValue]))</f>
        <v>0.79252596119945096</v>
      </c>
    </row>
    <row r="162" spans="1:16" x14ac:dyDescent="0.25">
      <c r="A162" t="s">
        <v>67</v>
      </c>
      <c r="B162" t="s">
        <v>69</v>
      </c>
      <c r="C162">
        <v>6</v>
      </c>
      <c r="D162" t="s">
        <v>144</v>
      </c>
      <c r="E162" t="s">
        <v>115</v>
      </c>
      <c r="F162" t="s">
        <v>96</v>
      </c>
      <c r="G162">
        <v>12503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10</v>
      </c>
      <c r="K162" s="5" cm="1">
        <f t="array" ref="K162">IFERROR(AVERAGE(IF((OutputTable[GroupByKey]=OutputTable[[#This Row],[GroupByKey]]),(OutputTable[GroupByKey]=OutputTable[[#This Row],[GroupByKey]])*OutputTable[RecordedValue])),0)</f>
        <v>12449.2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108.68691017985765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162" s="5" cm="1">
        <f t="array" ref="O162">MIN(IF((OutputTable[GroupByKey]=OutputTable[[#This Row],[GroupByKey]]),(OutputTable[GroupByKey]=OutputTable[[#This Row],[GroupByKey]])*OutputTable[RecordedValue]))</f>
        <v>12231</v>
      </c>
      <c r="P162" s="5" cm="1">
        <f t="array" ref="P162">MAX(IF((OutputTable[GroupByKey]=OutputTable[[#This Row],[GroupByKey]]),(OutputTable[GroupByKey]=OutputTable[[#This Row],[GroupByKey]])*OutputTable[RecordedValue]))</f>
        <v>12589</v>
      </c>
    </row>
    <row r="163" spans="1:16" x14ac:dyDescent="0.25">
      <c r="A163" t="s">
        <v>67</v>
      </c>
      <c r="B163" t="s">
        <v>69</v>
      </c>
      <c r="C163">
        <v>6</v>
      </c>
      <c r="D163" t="s">
        <v>145</v>
      </c>
      <c r="E163" t="s">
        <v>117</v>
      </c>
      <c r="F163" t="s">
        <v>96</v>
      </c>
      <c r="G163">
        <v>0.86288297680484805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10</v>
      </c>
      <c r="K163" s="5" cm="1">
        <f t="array" ref="K163">IFERROR(AVERAGE(IF((OutputTable[GroupByKey]=OutputTable[[#This Row],[GroupByKey]]),(OutputTable[GroupByKey]=OutputTable[[#This Row],[GroupByKey]])*OutputTable[RecordedValue])),0)</f>
        <v>0.85958220767724303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8.2249879280646958E-3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163" s="5" cm="1">
        <f t="array" ref="O163">MIN(IF((OutputTable[GroupByKey]=OutputTable[[#This Row],[GroupByKey]]),(OutputTable[GroupByKey]=OutputTable[[#This Row],[GroupByKey]])*OutputTable[RecordedValue]))</f>
        <v>0.84465777371794004</v>
      </c>
      <c r="P163" s="5" cm="1">
        <f t="array" ref="P163">MAX(IF((OutputTable[GroupByKey]=OutputTable[[#This Row],[GroupByKey]]),(OutputTable[GroupByKey]=OutputTable[[#This Row],[GroupByKey]])*OutputTable[RecordedValue]))</f>
        <v>0.87000527345659695</v>
      </c>
    </row>
    <row r="164" spans="1:16" x14ac:dyDescent="0.25">
      <c r="A164" t="s">
        <v>67</v>
      </c>
      <c r="B164" t="s">
        <v>69</v>
      </c>
      <c r="C164">
        <v>7</v>
      </c>
      <c r="D164" t="s">
        <v>114</v>
      </c>
      <c r="E164" t="s">
        <v>115</v>
      </c>
      <c r="F164" t="s">
        <v>96</v>
      </c>
      <c r="G164">
        <v>12489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10</v>
      </c>
      <c r="K164" s="5" cm="1">
        <f t="array" ref="K164">IFERROR(AVERAGE(IF((OutputTable[GroupByKey]=OutputTable[[#This Row],[GroupByKey]]),(OutputTable[GroupByKey]=OutputTable[[#This Row],[GroupByKey]])*OutputTable[RecordedValue])),0)</f>
        <v>12454.5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108.84979456929526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164" s="5" cm="1">
        <f t="array" ref="O164">MIN(IF((OutputTable[GroupByKey]=OutputTable[[#This Row],[GroupByKey]]),(OutputTable[GroupByKey]=OutputTable[[#This Row],[GroupByKey]])*OutputTable[RecordedValue]))</f>
        <v>12234</v>
      </c>
      <c r="P164" s="5" cm="1">
        <f t="array" ref="P164">MAX(IF((OutputTable[GroupByKey]=OutputTable[[#This Row],[GroupByKey]]),(OutputTable[GroupByKey]=OutputTable[[#This Row],[GroupByKey]])*OutputTable[RecordedValue]))</f>
        <v>12593</v>
      </c>
    </row>
    <row r="165" spans="1:16" x14ac:dyDescent="0.25">
      <c r="A165" t="s">
        <v>67</v>
      </c>
      <c r="B165" t="s">
        <v>69</v>
      </c>
      <c r="C165">
        <v>7</v>
      </c>
      <c r="D165" t="s">
        <v>116</v>
      </c>
      <c r="E165" t="s">
        <v>117</v>
      </c>
      <c r="F165" t="s">
        <v>96</v>
      </c>
      <c r="G165">
        <v>0.75246506567812199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10</v>
      </c>
      <c r="K165" s="5" cm="1">
        <f t="array" ref="K165">IFERROR(AVERAGE(IF((OutputTable[GroupByKey]=OutputTable[[#This Row],[GroupByKey]]),(OutputTable[GroupByKey]=OutputTable[[#This Row],[GroupByKey]])*OutputTable[RecordedValue])),0)</f>
        <v>0.75203828164859643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9.2748854731057942E-3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165" s="5" cm="1">
        <f t="array" ref="O165">MIN(IF((OutputTable[GroupByKey]=OutputTable[[#This Row],[GroupByKey]]),(OutputTable[GroupByKey]=OutputTable[[#This Row],[GroupByKey]])*OutputTable[RecordedValue]))</f>
        <v>0.73578099184835299</v>
      </c>
      <c r="P165" s="5" cm="1">
        <f t="array" ref="P165">MAX(IF((OutputTable[GroupByKey]=OutputTable[[#This Row],[GroupByKey]]),(OutputTable[GroupByKey]=OutputTable[[#This Row],[GroupByKey]])*OutputTable[RecordedValue]))</f>
        <v>0.76817992377286104</v>
      </c>
    </row>
    <row r="166" spans="1:16" x14ac:dyDescent="0.25">
      <c r="A166" t="s">
        <v>67</v>
      </c>
      <c r="B166" t="s">
        <v>69</v>
      </c>
      <c r="C166">
        <v>7</v>
      </c>
      <c r="D166" t="s">
        <v>118</v>
      </c>
      <c r="E166" t="s">
        <v>115</v>
      </c>
      <c r="F166" t="s">
        <v>96</v>
      </c>
      <c r="G166">
        <v>6254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10</v>
      </c>
      <c r="K166" s="5" cm="1">
        <f t="array" ref="K166">IFERROR(AVERAGE(IF((OutputTable[GroupByKey]=OutputTable[[#This Row],[GroupByKey]]),(OutputTable[GroupByKey]=OutputTable[[#This Row],[GroupByKey]])*OutputTable[RecordedValue])),0)</f>
        <v>6223.9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93.753162909608307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166" s="5" cm="1">
        <f t="array" ref="O166">MIN(IF((OutputTable[GroupByKey]=OutputTable[[#This Row],[GroupByKey]]),(OutputTable[GroupByKey]=OutputTable[[#This Row],[GroupByKey]])*OutputTable[RecordedValue]))</f>
        <v>6030</v>
      </c>
      <c r="P166" s="5" cm="1">
        <f t="array" ref="P166">MAX(IF((OutputTable[GroupByKey]=OutputTable[[#This Row],[GroupByKey]]),(OutputTable[GroupByKey]=OutputTable[[#This Row],[GroupByKey]])*OutputTable[RecordedValue]))</f>
        <v>6330</v>
      </c>
    </row>
    <row r="167" spans="1:16" x14ac:dyDescent="0.25">
      <c r="A167" t="s">
        <v>67</v>
      </c>
      <c r="B167" t="s">
        <v>69</v>
      </c>
      <c r="C167">
        <v>7</v>
      </c>
      <c r="D167" t="s">
        <v>119</v>
      </c>
      <c r="E167" t="s">
        <v>117</v>
      </c>
      <c r="F167" t="s">
        <v>96</v>
      </c>
      <c r="G167">
        <v>0.75336591751958304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10</v>
      </c>
      <c r="K167" s="5" cm="1">
        <f t="array" ref="K167">IFERROR(AVERAGE(IF((OutputTable[GroupByKey]=OutputTable[[#This Row],[GroupByKey]]),(OutputTable[GroupByKey]=OutputTable[[#This Row],[GroupByKey]])*OutputTable[RecordedValue])),0)</f>
        <v>0.75111586075292547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9.1926752531366566E-3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167" s="5" cm="1">
        <f t="array" ref="O167">MIN(IF((OutputTable[GroupByKey]=OutputTable[[#This Row],[GroupByKey]]),(OutputTable[GroupByKey]=OutputTable[[#This Row],[GroupByKey]])*OutputTable[RecordedValue]))</f>
        <v>0.73777590022083495</v>
      </c>
      <c r="P167" s="5" cm="1">
        <f t="array" ref="P167">MAX(IF((OutputTable[GroupByKey]=OutputTable[[#This Row],[GroupByKey]]),(OutputTable[GroupByKey]=OutputTable[[#This Row],[GroupByKey]])*OutputTable[RecordedValue]))</f>
        <v>0.76666045600624</v>
      </c>
    </row>
    <row r="168" spans="1:16" x14ac:dyDescent="0.25">
      <c r="A168" t="s">
        <v>67</v>
      </c>
      <c r="B168" t="s">
        <v>69</v>
      </c>
      <c r="C168">
        <v>7</v>
      </c>
      <c r="D168" t="s">
        <v>120</v>
      </c>
      <c r="E168" t="s">
        <v>115</v>
      </c>
      <c r="F168" t="s">
        <v>96</v>
      </c>
      <c r="G168">
        <v>6235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10</v>
      </c>
      <c r="K168" s="5" cm="1">
        <f t="array" ref="K168">IFERROR(AVERAGE(IF((OutputTable[GroupByKey]=OutputTable[[#This Row],[GroupByKey]]),(OutputTable[GroupByKey]=OutputTable[[#This Row],[GroupByKey]])*OutputTable[RecordedValue])),0)</f>
        <v>6230.6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52.995177977707456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168" s="5" cm="1">
        <f t="array" ref="O168">MIN(IF((OutputTable[GroupByKey]=OutputTable[[#This Row],[GroupByKey]]),(OutputTable[GroupByKey]=OutputTable[[#This Row],[GroupByKey]])*OutputTable[RecordedValue]))</f>
        <v>6182</v>
      </c>
      <c r="P168" s="5" cm="1">
        <f t="array" ref="P168">MAX(IF((OutputTable[GroupByKey]=OutputTable[[#This Row],[GroupByKey]]),(OutputTable[GroupByKey]=OutputTable[[#This Row],[GroupByKey]])*OutputTable[RecordedValue]))</f>
        <v>6338</v>
      </c>
    </row>
    <row r="169" spans="1:16" x14ac:dyDescent="0.25">
      <c r="A169" t="s">
        <v>67</v>
      </c>
      <c r="B169" t="s">
        <v>69</v>
      </c>
      <c r="C169">
        <v>7</v>
      </c>
      <c r="D169" t="s">
        <v>121</v>
      </c>
      <c r="E169" t="s">
        <v>117</v>
      </c>
      <c r="F169" t="s">
        <v>96</v>
      </c>
      <c r="G169">
        <v>0.75156421383665595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10</v>
      </c>
      <c r="K169" s="5" cm="1">
        <f t="array" ref="K169">IFERROR(AVERAGE(IF((OutputTable[GroupByKey]=OutputTable[[#This Row],[GroupByKey]]),(OutputTable[GroupByKey]=OutputTable[[#This Row],[GroupByKey]])*OutputTable[RecordedValue])),0)</f>
        <v>0.75296070254426462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1.0201996050203582E-2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169" s="5" cm="1">
        <f t="array" ref="O169">MIN(IF((OutputTable[GroupByKey]=OutputTable[[#This Row],[GroupByKey]]),(OutputTable[GroupByKey]=OutputTable[[#This Row],[GroupByKey]])*OutputTable[RecordedValue]))</f>
        <v>0.73378608347586405</v>
      </c>
      <c r="P169" s="5" cm="1">
        <f t="array" ref="P169">MAX(IF((OutputTable[GroupByKey]=OutputTable[[#This Row],[GroupByKey]]),(OutputTable[GroupByKey]=OutputTable[[#This Row],[GroupByKey]])*OutputTable[RecordedValue]))</f>
        <v>0.76969939153947697</v>
      </c>
    </row>
    <row r="170" spans="1:16" x14ac:dyDescent="0.25">
      <c r="A170" t="s">
        <v>67</v>
      </c>
      <c r="B170" t="s">
        <v>69</v>
      </c>
      <c r="C170">
        <v>7</v>
      </c>
      <c r="D170" t="s">
        <v>122</v>
      </c>
      <c r="E170" t="s">
        <v>123</v>
      </c>
      <c r="F170" t="s">
        <v>75</v>
      </c>
      <c r="G170">
        <v>12489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ProjectEntity 1.NumberInNumber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10</v>
      </c>
      <c r="K170" s="5" cm="1">
        <f t="array" ref="K170">IFERROR(AVERAGE(IF((OutputTable[GroupByKey]=OutputTable[[#This Row],[GroupByKey]]),(OutputTable[GroupByKey]=OutputTable[[#This Row],[GroupByKey]])*OutputTable[RecordedValue])),0)</f>
        <v>12455.3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109.29577606964813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170" s="5" cm="1">
        <f t="array" ref="O170">MIN(IF((OutputTable[GroupByKey]=OutputTable[[#This Row],[GroupByKey]]),(OutputTable[GroupByKey]=OutputTable[[#This Row],[GroupByKey]])*OutputTable[RecordedValue]))</f>
        <v>12234</v>
      </c>
      <c r="P170" s="5" cm="1">
        <f t="array" ref="P170">MAX(IF((OutputTable[GroupByKey]=OutputTable[[#This Row],[GroupByKey]]),(OutputTable[GroupByKey]=OutputTable[[#This Row],[GroupByKey]])*OutputTable[RecordedValue]))</f>
        <v>12594</v>
      </c>
    </row>
    <row r="171" spans="1:16" x14ac:dyDescent="0.25">
      <c r="A171" t="s">
        <v>67</v>
      </c>
      <c r="B171" t="s">
        <v>69</v>
      </c>
      <c r="C171">
        <v>7</v>
      </c>
      <c r="D171" t="s">
        <v>124</v>
      </c>
      <c r="E171" t="s">
        <v>125</v>
      </c>
      <c r="F171" t="s">
        <v>75</v>
      </c>
      <c r="G171">
        <v>12474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ProjectEntity 1.NumberOutNumber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10</v>
      </c>
      <c r="K171" s="5" cm="1">
        <f t="array" ref="K171">IFERROR(AVERAGE(IF((OutputTable[GroupByKey]=OutputTable[[#This Row],[GroupByKey]]),(OutputTable[GroupByKey]=OutputTable[[#This Row],[GroupByKey]])*OutputTable[RecordedValue])),0)</f>
        <v>12441.9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109.66965548105516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171" s="5" cm="1">
        <f t="array" ref="O171">MIN(IF((OutputTable[GroupByKey]=OutputTable[[#This Row],[GroupByKey]]),(OutputTable[GroupByKey]=OutputTable[[#This Row],[GroupByKey]])*OutputTable[RecordedValue]))</f>
        <v>12224</v>
      </c>
      <c r="P171" s="5" cm="1">
        <f t="array" ref="P171">MAX(IF((OutputTable[GroupByKey]=OutputTable[[#This Row],[GroupByKey]]),(OutputTable[GroupByKey]=OutputTable[[#This Row],[GroupByKey]])*OutputTable[RecordedValue]))</f>
        <v>12584</v>
      </c>
    </row>
    <row r="172" spans="1:16" x14ac:dyDescent="0.25">
      <c r="A172" t="s">
        <v>67</v>
      </c>
      <c r="B172" t="s">
        <v>69</v>
      </c>
      <c r="C172">
        <v>7</v>
      </c>
      <c r="D172" t="s">
        <v>126</v>
      </c>
      <c r="E172" t="s">
        <v>115</v>
      </c>
      <c r="F172" t="s">
        <v>96</v>
      </c>
      <c r="G172">
        <v>4151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10</v>
      </c>
      <c r="K172" s="5" cm="1">
        <f t="array" ref="K172">IFERROR(AVERAGE(IF((OutputTable[GroupByKey]=OutputTable[[#This Row],[GroupByKey]]),(OutputTable[GroupByKey]=OutputTable[[#This Row],[GroupByKey]])*OutputTable[RecordedValue])),0)</f>
        <v>4151.1000000000004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38.420046850570081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172" s="5" cm="1">
        <f t="array" ref="O172">MIN(IF((OutputTable[GroupByKey]=OutputTable[[#This Row],[GroupByKey]]),(OutputTable[GroupByKey]=OutputTable[[#This Row],[GroupByKey]])*OutputTable[RecordedValue]))</f>
        <v>4077</v>
      </c>
      <c r="P172" s="5" cm="1">
        <f t="array" ref="P172">MAX(IF((OutputTable[GroupByKey]=OutputTable[[#This Row],[GroupByKey]]),(OutputTable[GroupByKey]=OutputTable[[#This Row],[GroupByKey]])*OutputTable[RecordedValue]))</f>
        <v>4202</v>
      </c>
    </row>
    <row r="173" spans="1:16" x14ac:dyDescent="0.25">
      <c r="A173" t="s">
        <v>67</v>
      </c>
      <c r="B173" t="s">
        <v>69</v>
      </c>
      <c r="C173">
        <v>7</v>
      </c>
      <c r="D173" t="s">
        <v>127</v>
      </c>
      <c r="E173" t="s">
        <v>117</v>
      </c>
      <c r="F173" t="s">
        <v>96</v>
      </c>
      <c r="G173">
        <v>0.86520324271807203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10</v>
      </c>
      <c r="K173" s="5" cm="1">
        <f t="array" ref="K173">IFERROR(AVERAGE(IF((OutputTable[GroupByKey]=OutputTable[[#This Row],[GroupByKey]]),(OutputTable[GroupByKey]=OutputTable[[#This Row],[GroupByKey]])*OutputTable[RecordedValue])),0)</f>
        <v>0.86617223927529052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7.3264677567561349E-3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173" s="5" cm="1">
        <f t="array" ref="O173">MIN(IF((OutputTable[GroupByKey]=OutputTable[[#This Row],[GroupByKey]]),(OutputTable[GroupByKey]=OutputTable[[#This Row],[GroupByKey]])*OutputTable[RecordedValue]))</f>
        <v>0.85300206766602205</v>
      </c>
      <c r="P173" s="5" cm="1">
        <f t="array" ref="P173">MAX(IF((OutputTable[GroupByKey]=OutputTable[[#This Row],[GroupByKey]]),(OutputTable[GroupByKey]=OutputTable[[#This Row],[GroupByKey]])*OutputTable[RecordedValue]))</f>
        <v>0.87632698102425799</v>
      </c>
    </row>
    <row r="174" spans="1:16" x14ac:dyDescent="0.25">
      <c r="A174" t="s">
        <v>67</v>
      </c>
      <c r="B174" t="s">
        <v>69</v>
      </c>
      <c r="C174">
        <v>7</v>
      </c>
      <c r="D174" t="s">
        <v>128</v>
      </c>
      <c r="E174" t="s">
        <v>115</v>
      </c>
      <c r="F174" t="s">
        <v>96</v>
      </c>
      <c r="G174">
        <v>4159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10</v>
      </c>
      <c r="K174" s="5" cm="1">
        <f t="array" ref="K174">IFERROR(AVERAGE(IF((OutputTable[GroupByKey]=OutputTable[[#This Row],[GroupByKey]]),(OutputTable[GroupByKey]=OutputTable[[#This Row],[GroupByKey]])*OutputTable[RecordedValue])),0)</f>
        <v>4147.7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35.339779286237771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174" s="5" cm="1">
        <f t="array" ref="O174">MIN(IF((OutputTable[GroupByKey]=OutputTable[[#This Row],[GroupByKey]]),(OutputTable[GroupByKey]=OutputTable[[#This Row],[GroupByKey]])*OutputTable[RecordedValue]))</f>
        <v>4072</v>
      </c>
      <c r="P174" s="5" cm="1">
        <f t="array" ref="P174">MAX(IF((OutputTable[GroupByKey]=OutputTable[[#This Row],[GroupByKey]]),(OutputTable[GroupByKey]=OutputTable[[#This Row],[GroupByKey]])*OutputTable[RecordedValue]))</f>
        <v>4199</v>
      </c>
    </row>
    <row r="175" spans="1:16" x14ac:dyDescent="0.25">
      <c r="A175" t="s">
        <v>67</v>
      </c>
      <c r="B175" t="s">
        <v>69</v>
      </c>
      <c r="C175">
        <v>7</v>
      </c>
      <c r="D175" t="s">
        <v>129</v>
      </c>
      <c r="E175" t="s">
        <v>117</v>
      </c>
      <c r="F175" t="s">
        <v>96</v>
      </c>
      <c r="G175">
        <v>0.86433324884785501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10</v>
      </c>
      <c r="K175" s="5" cm="1">
        <f t="array" ref="K175">IFERROR(AVERAGE(IF((OutputTable[GroupByKey]=OutputTable[[#This Row],[GroupByKey]]),(OutputTable[GroupByKey]=OutputTable[[#This Row],[GroupByKey]])*OutputTable[RecordedValue])),0)</f>
        <v>0.86586513532824916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7.1981559947843117E-3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175" s="5" cm="1">
        <f t="array" ref="O175">MIN(IF((OutputTable[GroupByKey]=OutputTable[[#This Row],[GroupByKey]]),(OutputTable[GroupByKey]=OutputTable[[#This Row],[GroupByKey]])*OutputTable[RecordedValue]))</f>
        <v>0.85267322894137698</v>
      </c>
      <c r="P175" s="5" cm="1">
        <f t="array" ref="P175">MAX(IF((OutputTable[GroupByKey]=OutputTable[[#This Row],[GroupByKey]]),(OutputTable[GroupByKey]=OutputTable[[#This Row],[GroupByKey]])*OutputTable[RecordedValue]))</f>
        <v>0.87300868153341904</v>
      </c>
    </row>
    <row r="176" spans="1:16" x14ac:dyDescent="0.25">
      <c r="A176" t="s">
        <v>67</v>
      </c>
      <c r="B176" t="s">
        <v>69</v>
      </c>
      <c r="C176">
        <v>7</v>
      </c>
      <c r="D176" t="s">
        <v>130</v>
      </c>
      <c r="E176" t="s">
        <v>115</v>
      </c>
      <c r="F176" t="s">
        <v>96</v>
      </c>
      <c r="G176">
        <v>4167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10</v>
      </c>
      <c r="K176" s="5" cm="1">
        <f t="array" ref="K176">IFERROR(AVERAGE(IF((OutputTable[GroupByKey]=OutputTable[[#This Row],[GroupByKey]]),(OutputTable[GroupByKey]=OutputTable[[#This Row],[GroupByKey]])*OutputTable[RecordedValue])),0)</f>
        <v>4145.8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38.883872692358665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176" s="5" cm="1">
        <f t="array" ref="O176">MIN(IF((OutputTable[GroupByKey]=OutputTable[[#This Row],[GroupByKey]]),(OutputTable[GroupByKey]=OutputTable[[#This Row],[GroupByKey]])*OutputTable[RecordedValue]))</f>
        <v>4076</v>
      </c>
      <c r="P176" s="5" cm="1">
        <f t="array" ref="P176">MAX(IF((OutputTable[GroupByKey]=OutputTable[[#This Row],[GroupByKey]]),(OutputTable[GroupByKey]=OutputTable[[#This Row],[GroupByKey]])*OutputTable[RecordedValue]))</f>
        <v>4184</v>
      </c>
    </row>
    <row r="177" spans="1:16" x14ac:dyDescent="0.25">
      <c r="A177" t="s">
        <v>67</v>
      </c>
      <c r="B177" t="s">
        <v>69</v>
      </c>
      <c r="C177">
        <v>7</v>
      </c>
      <c r="D177" t="s">
        <v>131</v>
      </c>
      <c r="E177" t="s">
        <v>117</v>
      </c>
      <c r="F177" t="s">
        <v>96</v>
      </c>
      <c r="G177">
        <v>0.86706983833653595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10</v>
      </c>
      <c r="K177" s="5" cm="1">
        <f t="array" ref="K177">IFERROR(AVERAGE(IF((OutputTable[GroupByKey]=OutputTable[[#This Row],[GroupByKey]]),(OutputTable[GroupByKey]=OutputTable[[#This Row],[GroupByKey]])*OutputTable[RecordedValue])),0)</f>
        <v>0.86584756987747569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7.1198499498994544E-3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177" s="5" cm="1">
        <f t="array" ref="O177">MIN(IF((OutputTable[GroupByKey]=OutputTable[[#This Row],[GroupByKey]]),(OutputTable[GroupByKey]=OutputTable[[#This Row],[GroupByKey]])*OutputTable[RecordedValue]))</f>
        <v>0.85312589705184705</v>
      </c>
      <c r="P177" s="5" cm="1">
        <f t="array" ref="P177">MAX(IF((OutputTable[GroupByKey]=OutputTable[[#This Row],[GroupByKey]]),(OutputTable[GroupByKey]=OutputTable[[#This Row],[GroupByKey]])*OutputTable[RecordedValue]))</f>
        <v>0.87436351179675398</v>
      </c>
    </row>
    <row r="178" spans="1:16" x14ac:dyDescent="0.25">
      <c r="A178" t="s">
        <v>67</v>
      </c>
      <c r="B178" t="s">
        <v>69</v>
      </c>
      <c r="C178">
        <v>7</v>
      </c>
      <c r="D178" t="s">
        <v>132</v>
      </c>
      <c r="E178" t="s">
        <v>125</v>
      </c>
      <c r="F178" t="s">
        <v>133</v>
      </c>
      <c r="G178">
        <v>12474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ProjectSystem.NumberOutNumber OutSystem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10</v>
      </c>
      <c r="K178" s="5" cm="1">
        <f t="array" ref="K178">IFERROR(AVERAGE(IF((OutputTable[GroupByKey]=OutputTable[[#This Row],[GroupByKey]]),(OutputTable[GroupByKey]=OutputTable[[#This Row],[GroupByKey]])*OutputTable[RecordedValue])),0)</f>
        <v>12441.9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109.66965548105516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178" s="5" cm="1">
        <f t="array" ref="O178">MIN(IF((OutputTable[GroupByKey]=OutputTable[[#This Row],[GroupByKey]]),(OutputTable[GroupByKey]=OutputTable[[#This Row],[GroupByKey]])*OutputTable[RecordedValue]))</f>
        <v>12224</v>
      </c>
      <c r="P178" s="5" cm="1">
        <f t="array" ref="P178">MAX(IF((OutputTable[GroupByKey]=OutputTable[[#This Row],[GroupByKey]]),(OutputTable[GroupByKey]=OutputTable[[#This Row],[GroupByKey]])*OutputTable[RecordedValue]))</f>
        <v>12584</v>
      </c>
    </row>
    <row r="179" spans="1:16" x14ac:dyDescent="0.25">
      <c r="A179" t="s">
        <v>67</v>
      </c>
      <c r="B179" t="s">
        <v>69</v>
      </c>
      <c r="C179">
        <v>7</v>
      </c>
      <c r="D179" t="s">
        <v>134</v>
      </c>
      <c r="E179" t="s">
        <v>115</v>
      </c>
      <c r="F179" t="s">
        <v>96</v>
      </c>
      <c r="G179">
        <v>14112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10</v>
      </c>
      <c r="K179" s="5" cm="1">
        <f t="array" ref="K179">IFERROR(AVERAGE(IF((OutputTable[GroupByKey]=OutputTable[[#This Row],[GroupByKey]]),(OutputTable[GroupByKey]=OutputTable[[#This Row],[GroupByKey]])*OutputTable[RecordedValue])),0)</f>
        <v>14003.5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154.71640723164001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179" s="5" cm="1">
        <f t="array" ref="O179">MIN(IF((OutputTable[GroupByKey]=OutputTable[[#This Row],[GroupByKey]]),(OutputTable[GroupByKey]=OutputTable[[#This Row],[GroupByKey]])*OutputTable[RecordedValue]))</f>
        <v>13729</v>
      </c>
      <c r="P179" s="5" cm="1">
        <f t="array" ref="P179">MAX(IF((OutputTable[GroupByKey]=OutputTable[[#This Row],[GroupByKey]]),(OutputTable[GroupByKey]=OutputTable[[#This Row],[GroupByKey]])*OutputTable[RecordedValue]))</f>
        <v>14205</v>
      </c>
    </row>
    <row r="180" spans="1:16" x14ac:dyDescent="0.25">
      <c r="A180" t="s">
        <v>67</v>
      </c>
      <c r="B180" t="s">
        <v>69</v>
      </c>
      <c r="C180">
        <v>7</v>
      </c>
      <c r="D180" t="s">
        <v>135</v>
      </c>
      <c r="E180" t="s">
        <v>117</v>
      </c>
      <c r="F180" t="s">
        <v>96</v>
      </c>
      <c r="G180">
        <v>0.86051993601772503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10</v>
      </c>
      <c r="K180" s="5" cm="1">
        <f t="array" ref="K180">IFERROR(AVERAGE(IF((OutputTable[GroupByKey]=OutputTable[[#This Row],[GroupByKey]]),(OutputTable[GroupByKey]=OutputTable[[#This Row],[GroupByKey]])*OutputTable[RecordedValue])),0)</f>
        <v>0.85369868202434152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9.4705605009894993E-3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180" s="5" cm="1">
        <f t="array" ref="O180">MIN(IF((OutputTable[GroupByKey]=OutputTable[[#This Row],[GroupByKey]]),(OutputTable[GroupByKey]=OutputTable[[#This Row],[GroupByKey]])*OutputTable[RecordedValue]))</f>
        <v>0.83618943731414597</v>
      </c>
      <c r="P180" s="5" cm="1">
        <f t="array" ref="P180">MAX(IF((OutputTable[GroupByKey]=OutputTable[[#This Row],[GroupByKey]]),(OutputTable[GroupByKey]=OutputTable[[#This Row],[GroupByKey]])*OutputTable[RecordedValue]))</f>
        <v>0.86586763783419696</v>
      </c>
    </row>
    <row r="181" spans="1:16" x14ac:dyDescent="0.25">
      <c r="A181" t="s">
        <v>67</v>
      </c>
      <c r="B181" t="s">
        <v>69</v>
      </c>
      <c r="C181">
        <v>7</v>
      </c>
      <c r="D181" t="s">
        <v>136</v>
      </c>
      <c r="E181" t="s">
        <v>115</v>
      </c>
      <c r="F181" t="s">
        <v>96</v>
      </c>
      <c r="G181">
        <v>9360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10</v>
      </c>
      <c r="K181" s="5" cm="1">
        <f t="array" ref="K181">IFERROR(AVERAGE(IF((OutputTable[GroupByKey]=OutputTable[[#This Row],[GroupByKey]]),(OutputTable[GroupByKey]=OutputTable[[#This Row],[GroupByKey]])*OutputTable[RecordedValue])),0)</f>
        <v>9367.5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139.5916664179253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81" s="5" cm="1">
        <f t="array" ref="O181">MIN(IF((OutputTable[GroupByKey]=OutputTable[[#This Row],[GroupByKey]]),(OutputTable[GroupByKey]=OutputTable[[#This Row],[GroupByKey]])*OutputTable[RecordedValue]))</f>
        <v>9192</v>
      </c>
      <c r="P181" s="5" cm="1">
        <f t="array" ref="P181">MAX(IF((OutputTable[GroupByKey]=OutputTable[[#This Row],[GroupByKey]]),(OutputTable[GroupByKey]=OutputTable[[#This Row],[GroupByKey]])*OutputTable[RecordedValue]))</f>
        <v>9577</v>
      </c>
    </row>
    <row r="182" spans="1:16" x14ac:dyDescent="0.25">
      <c r="A182" t="s">
        <v>67</v>
      </c>
      <c r="B182" t="s">
        <v>69</v>
      </c>
      <c r="C182">
        <v>7</v>
      </c>
      <c r="D182" t="s">
        <v>137</v>
      </c>
      <c r="E182" t="s">
        <v>117</v>
      </c>
      <c r="F182" t="s">
        <v>96</v>
      </c>
      <c r="G182">
        <v>0.77453073283245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10</v>
      </c>
      <c r="K182" s="5" cm="1">
        <f t="array" ref="K182">IFERROR(AVERAGE(IF((OutputTable[GroupByKey]=OutputTable[[#This Row],[GroupByKey]]),(OutputTable[GroupByKey]=OutputTable[[#This Row],[GroupByKey]])*OutputTable[RecordedValue])),0)</f>
        <v>0.77500127942574837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1.1134375758682289E-2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182" s="5" cm="1">
        <f t="array" ref="O182">MIN(IF((OutputTable[GroupByKey]=OutputTable[[#This Row],[GroupByKey]]),(OutputTable[GroupByKey]=OutputTable[[#This Row],[GroupByKey]])*OutputTable[RecordedValue]))</f>
        <v>0.75864843854708297</v>
      </c>
      <c r="P182" s="5" cm="1">
        <f t="array" ref="P182">MAX(IF((OutputTable[GroupByKey]=OutputTable[[#This Row],[GroupByKey]]),(OutputTable[GroupByKey]=OutputTable[[#This Row],[GroupByKey]])*OutputTable[RecordedValue]))</f>
        <v>0.79252596119945096</v>
      </c>
    </row>
    <row r="183" spans="1:16" x14ac:dyDescent="0.25">
      <c r="A183" t="s">
        <v>67</v>
      </c>
      <c r="B183" t="s">
        <v>69</v>
      </c>
      <c r="C183">
        <v>7</v>
      </c>
      <c r="D183" t="s">
        <v>138</v>
      </c>
      <c r="E183" t="s">
        <v>115</v>
      </c>
      <c r="F183" t="s">
        <v>96</v>
      </c>
      <c r="G183">
        <v>12481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10</v>
      </c>
      <c r="K183" s="5" cm="1">
        <f t="array" ref="K183">IFERROR(AVERAGE(IF((OutputTable[GroupByKey]=OutputTable[[#This Row],[GroupByKey]]),(OutputTable[GroupByKey]=OutputTable[[#This Row],[GroupByKey]])*OutputTable[RecordedValue])),0)</f>
        <v>12449.2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108.68691017985765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183" s="5" cm="1">
        <f t="array" ref="O183">MIN(IF((OutputTable[GroupByKey]=OutputTable[[#This Row],[GroupByKey]]),(OutputTable[GroupByKey]=OutputTable[[#This Row],[GroupByKey]])*OutputTable[RecordedValue]))</f>
        <v>12231</v>
      </c>
      <c r="P183" s="5" cm="1">
        <f t="array" ref="P183">MAX(IF((OutputTable[GroupByKey]=OutputTable[[#This Row],[GroupByKey]]),(OutputTable[GroupByKey]=OutputTable[[#This Row],[GroupByKey]])*OutputTable[RecordedValue]))</f>
        <v>12589</v>
      </c>
    </row>
    <row r="184" spans="1:16" x14ac:dyDescent="0.25">
      <c r="A184" t="s">
        <v>67</v>
      </c>
      <c r="B184" t="s">
        <v>69</v>
      </c>
      <c r="C184">
        <v>7</v>
      </c>
      <c r="D184" t="s">
        <v>139</v>
      </c>
      <c r="E184" t="s">
        <v>117</v>
      </c>
      <c r="F184" t="s">
        <v>96</v>
      </c>
      <c r="G184">
        <v>0.86170103121833397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10</v>
      </c>
      <c r="K184" s="5" cm="1">
        <f t="array" ref="K184">IFERROR(AVERAGE(IF((OutputTable[GroupByKey]=OutputTable[[#This Row],[GroupByKey]]),(OutputTable[GroupByKey]=OutputTable[[#This Row],[GroupByKey]])*OutputTable[RecordedValue])),0)</f>
        <v>0.85958220767724303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8.2249879280646958E-3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184" s="5" cm="1">
        <f t="array" ref="O184">MIN(IF((OutputTable[GroupByKey]=OutputTable[[#This Row],[GroupByKey]]),(OutputTable[GroupByKey]=OutputTable[[#This Row],[GroupByKey]])*OutputTable[RecordedValue]))</f>
        <v>0.84465777371794004</v>
      </c>
      <c r="P184" s="5" cm="1">
        <f t="array" ref="P184">MAX(IF((OutputTable[GroupByKey]=OutputTable[[#This Row],[GroupByKey]]),(OutputTable[GroupByKey]=OutputTable[[#This Row],[GroupByKey]])*OutputTable[RecordedValue]))</f>
        <v>0.87000527345659695</v>
      </c>
    </row>
    <row r="185" spans="1:16" x14ac:dyDescent="0.25">
      <c r="A185" t="s">
        <v>67</v>
      </c>
      <c r="B185" t="s">
        <v>69</v>
      </c>
      <c r="C185">
        <v>7</v>
      </c>
      <c r="D185" t="s">
        <v>140</v>
      </c>
      <c r="E185" t="s">
        <v>115</v>
      </c>
      <c r="F185" t="s">
        <v>96</v>
      </c>
      <c r="G185">
        <v>14112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10</v>
      </c>
      <c r="K185" s="5" cm="1">
        <f t="array" ref="K185">IFERROR(AVERAGE(IF((OutputTable[GroupByKey]=OutputTable[[#This Row],[GroupByKey]]),(OutputTable[GroupByKey]=OutputTable[[#This Row],[GroupByKey]])*OutputTable[RecordedValue])),0)</f>
        <v>14003.5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154.71640723164001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185" s="5" cm="1">
        <f t="array" ref="O185">MIN(IF((OutputTable[GroupByKey]=OutputTable[[#This Row],[GroupByKey]]),(OutputTable[GroupByKey]=OutputTable[[#This Row],[GroupByKey]])*OutputTable[RecordedValue]))</f>
        <v>13729</v>
      </c>
      <c r="P185" s="5" cm="1">
        <f t="array" ref="P185">MAX(IF((OutputTable[GroupByKey]=OutputTable[[#This Row],[GroupByKey]]),(OutputTable[GroupByKey]=OutputTable[[#This Row],[GroupByKey]])*OutputTable[RecordedValue]))</f>
        <v>14205</v>
      </c>
    </row>
    <row r="186" spans="1:16" x14ac:dyDescent="0.25">
      <c r="A186" t="s">
        <v>67</v>
      </c>
      <c r="B186" t="s">
        <v>69</v>
      </c>
      <c r="C186">
        <v>7</v>
      </c>
      <c r="D186" t="s">
        <v>141</v>
      </c>
      <c r="E186" t="s">
        <v>117</v>
      </c>
      <c r="F186" t="s">
        <v>96</v>
      </c>
      <c r="G186">
        <v>0.86051993601772503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10</v>
      </c>
      <c r="K186" s="5" cm="1">
        <f t="array" ref="K186">IFERROR(AVERAGE(IF((OutputTable[GroupByKey]=OutputTable[[#This Row],[GroupByKey]]),(OutputTable[GroupByKey]=OutputTable[[#This Row],[GroupByKey]])*OutputTable[RecordedValue])),0)</f>
        <v>0.85369868202434152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9.4705605009894993E-3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186" s="5" cm="1">
        <f t="array" ref="O186">MIN(IF((OutputTable[GroupByKey]=OutputTable[[#This Row],[GroupByKey]]),(OutputTable[GroupByKey]=OutputTable[[#This Row],[GroupByKey]])*OutputTable[RecordedValue]))</f>
        <v>0.83618943731414597</v>
      </c>
      <c r="P186" s="5" cm="1">
        <f t="array" ref="P186">MAX(IF((OutputTable[GroupByKey]=OutputTable[[#This Row],[GroupByKey]]),(OutputTable[GroupByKey]=OutputTable[[#This Row],[GroupByKey]])*OutputTable[RecordedValue]))</f>
        <v>0.86586763783419696</v>
      </c>
    </row>
    <row r="187" spans="1:16" x14ac:dyDescent="0.25">
      <c r="A187" t="s">
        <v>67</v>
      </c>
      <c r="B187" t="s">
        <v>69</v>
      </c>
      <c r="C187">
        <v>7</v>
      </c>
      <c r="D187" t="s">
        <v>142</v>
      </c>
      <c r="E187" t="s">
        <v>115</v>
      </c>
      <c r="F187" t="s">
        <v>96</v>
      </c>
      <c r="G187">
        <v>9360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10</v>
      </c>
      <c r="K187" s="5" cm="1">
        <f t="array" ref="K187">IFERROR(AVERAGE(IF((OutputTable[GroupByKey]=OutputTable[[#This Row],[GroupByKey]]),(OutputTable[GroupByKey]=OutputTable[[#This Row],[GroupByKey]])*OutputTable[RecordedValue])),0)</f>
        <v>9367.5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139.5916664179253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187" s="5" cm="1">
        <f t="array" ref="O187">MIN(IF((OutputTable[GroupByKey]=OutputTable[[#This Row],[GroupByKey]]),(OutputTable[GroupByKey]=OutputTable[[#This Row],[GroupByKey]])*OutputTable[RecordedValue]))</f>
        <v>9192</v>
      </c>
      <c r="P187" s="5" cm="1">
        <f t="array" ref="P187">MAX(IF((OutputTable[GroupByKey]=OutputTable[[#This Row],[GroupByKey]]),(OutputTable[GroupByKey]=OutputTable[[#This Row],[GroupByKey]])*OutputTable[RecordedValue]))</f>
        <v>9577</v>
      </c>
    </row>
    <row r="188" spans="1:16" x14ac:dyDescent="0.25">
      <c r="A188" t="s">
        <v>67</v>
      </c>
      <c r="B188" t="s">
        <v>69</v>
      </c>
      <c r="C188">
        <v>7</v>
      </c>
      <c r="D188" t="s">
        <v>143</v>
      </c>
      <c r="E188" t="s">
        <v>117</v>
      </c>
      <c r="F188" t="s">
        <v>96</v>
      </c>
      <c r="G188">
        <v>0.77453073283245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10</v>
      </c>
      <c r="K188" s="5" cm="1">
        <f t="array" ref="K188">IFERROR(AVERAGE(IF((OutputTable[GroupByKey]=OutputTable[[#This Row],[GroupByKey]]),(OutputTable[GroupByKey]=OutputTable[[#This Row],[GroupByKey]])*OutputTable[RecordedValue])),0)</f>
        <v>0.77500127942574837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1.1134375758682289E-2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188" s="5" cm="1">
        <f t="array" ref="O188">MIN(IF((OutputTable[GroupByKey]=OutputTable[[#This Row],[GroupByKey]]),(OutputTable[GroupByKey]=OutputTable[[#This Row],[GroupByKey]])*OutputTable[RecordedValue]))</f>
        <v>0.75864843854708297</v>
      </c>
      <c r="P188" s="5" cm="1">
        <f t="array" ref="P188">MAX(IF((OutputTable[GroupByKey]=OutputTable[[#This Row],[GroupByKey]]),(OutputTable[GroupByKey]=OutputTable[[#This Row],[GroupByKey]])*OutputTable[RecordedValue]))</f>
        <v>0.79252596119945096</v>
      </c>
    </row>
    <row r="189" spans="1:16" x14ac:dyDescent="0.25">
      <c r="A189" t="s">
        <v>67</v>
      </c>
      <c r="B189" t="s">
        <v>69</v>
      </c>
      <c r="C189">
        <v>7</v>
      </c>
      <c r="D189" t="s">
        <v>144</v>
      </c>
      <c r="E189" t="s">
        <v>115</v>
      </c>
      <c r="F189" t="s">
        <v>96</v>
      </c>
      <c r="G189">
        <v>12481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10</v>
      </c>
      <c r="K189" s="5" cm="1">
        <f t="array" ref="K189">IFERROR(AVERAGE(IF((OutputTable[GroupByKey]=OutputTable[[#This Row],[GroupByKey]]),(OutputTable[GroupByKey]=OutputTable[[#This Row],[GroupByKey]])*OutputTable[RecordedValue])),0)</f>
        <v>12449.2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108.68691017985765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189" s="5" cm="1">
        <f t="array" ref="O189">MIN(IF((OutputTable[GroupByKey]=OutputTable[[#This Row],[GroupByKey]]),(OutputTable[GroupByKey]=OutputTable[[#This Row],[GroupByKey]])*OutputTable[RecordedValue]))</f>
        <v>12231</v>
      </c>
      <c r="P189" s="5" cm="1">
        <f t="array" ref="P189">MAX(IF((OutputTable[GroupByKey]=OutputTable[[#This Row],[GroupByKey]]),(OutputTable[GroupByKey]=OutputTable[[#This Row],[GroupByKey]])*OutputTable[RecordedValue]))</f>
        <v>12589</v>
      </c>
    </row>
    <row r="190" spans="1:16" x14ac:dyDescent="0.25">
      <c r="A190" t="s">
        <v>67</v>
      </c>
      <c r="B190" t="s">
        <v>69</v>
      </c>
      <c r="C190">
        <v>7</v>
      </c>
      <c r="D190" t="s">
        <v>145</v>
      </c>
      <c r="E190" t="s">
        <v>117</v>
      </c>
      <c r="F190" t="s">
        <v>96</v>
      </c>
      <c r="G190">
        <v>0.86170103121833397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10</v>
      </c>
      <c r="K190" s="5" cm="1">
        <f t="array" ref="K190">IFERROR(AVERAGE(IF((OutputTable[GroupByKey]=OutputTable[[#This Row],[GroupByKey]]),(OutputTable[GroupByKey]=OutputTable[[#This Row],[GroupByKey]])*OutputTable[RecordedValue])),0)</f>
        <v>0.85958220767724303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8.2249879280646958E-3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190" s="5" cm="1">
        <f t="array" ref="O190">MIN(IF((OutputTable[GroupByKey]=OutputTable[[#This Row],[GroupByKey]]),(OutputTable[GroupByKey]=OutputTable[[#This Row],[GroupByKey]])*OutputTable[RecordedValue]))</f>
        <v>0.84465777371794004</v>
      </c>
      <c r="P190" s="5" cm="1">
        <f t="array" ref="P190">MAX(IF((OutputTable[GroupByKey]=OutputTable[[#This Row],[GroupByKey]]),(OutputTable[GroupByKey]=OutputTable[[#This Row],[GroupByKey]])*OutputTable[RecordedValue]))</f>
        <v>0.87000527345659695</v>
      </c>
    </row>
    <row r="191" spans="1:16" x14ac:dyDescent="0.25">
      <c r="A191" t="s">
        <v>67</v>
      </c>
      <c r="B191" t="s">
        <v>69</v>
      </c>
      <c r="C191">
        <v>8</v>
      </c>
      <c r="D191" t="s">
        <v>114</v>
      </c>
      <c r="E191" t="s">
        <v>115</v>
      </c>
      <c r="F191" t="s">
        <v>96</v>
      </c>
      <c r="G191">
        <v>12306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10</v>
      </c>
      <c r="K191" s="5" cm="1">
        <f t="array" ref="K191">IFERROR(AVERAGE(IF((OutputTable[GroupByKey]=OutputTable[[#This Row],[GroupByKey]]),(OutputTable[GroupByKey]=OutputTable[[#This Row],[GroupByKey]])*OutputTable[RecordedValue])),0)</f>
        <v>12454.5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108.84979456929526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191" s="5" cm="1">
        <f t="array" ref="O191">MIN(IF((OutputTable[GroupByKey]=OutputTable[[#This Row],[GroupByKey]]),(OutputTable[GroupByKey]=OutputTable[[#This Row],[GroupByKey]])*OutputTable[RecordedValue]))</f>
        <v>12234</v>
      </c>
      <c r="P191" s="5" cm="1">
        <f t="array" ref="P191">MAX(IF((OutputTable[GroupByKey]=OutputTable[[#This Row],[GroupByKey]]),(OutputTable[GroupByKey]=OutputTable[[#This Row],[GroupByKey]])*OutputTable[RecordedValue]))</f>
        <v>12593</v>
      </c>
    </row>
    <row r="192" spans="1:16" x14ac:dyDescent="0.25">
      <c r="A192" t="s">
        <v>67</v>
      </c>
      <c r="B192" t="s">
        <v>69</v>
      </c>
      <c r="C192">
        <v>8</v>
      </c>
      <c r="D192" t="s">
        <v>116</v>
      </c>
      <c r="E192" t="s">
        <v>117</v>
      </c>
      <c r="F192" t="s">
        <v>96</v>
      </c>
      <c r="G192">
        <v>0.74217058052644902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10</v>
      </c>
      <c r="K192" s="5" cm="1">
        <f t="array" ref="K192">IFERROR(AVERAGE(IF((OutputTable[GroupByKey]=OutputTable[[#This Row],[GroupByKey]]),(OutputTable[GroupByKey]=OutputTable[[#This Row],[GroupByKey]])*OutputTable[RecordedValue])),0)</f>
        <v>0.75203828164859643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9.2748854731057942E-3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192" s="5" cm="1">
        <f t="array" ref="O192">MIN(IF((OutputTable[GroupByKey]=OutputTable[[#This Row],[GroupByKey]]),(OutputTable[GroupByKey]=OutputTable[[#This Row],[GroupByKey]])*OutputTable[RecordedValue]))</f>
        <v>0.73578099184835299</v>
      </c>
      <c r="P192" s="5" cm="1">
        <f t="array" ref="P192">MAX(IF((OutputTable[GroupByKey]=OutputTable[[#This Row],[GroupByKey]]),(OutputTable[GroupByKey]=OutputTable[[#This Row],[GroupByKey]])*OutputTable[RecordedValue]))</f>
        <v>0.76817992377286104</v>
      </c>
    </row>
    <row r="193" spans="1:16" x14ac:dyDescent="0.25">
      <c r="A193" t="s">
        <v>67</v>
      </c>
      <c r="B193" t="s">
        <v>69</v>
      </c>
      <c r="C193">
        <v>8</v>
      </c>
      <c r="D193" t="s">
        <v>118</v>
      </c>
      <c r="E193" t="s">
        <v>115</v>
      </c>
      <c r="F193" t="s">
        <v>96</v>
      </c>
      <c r="G193">
        <v>6123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10</v>
      </c>
      <c r="K193" s="5" cm="1">
        <f t="array" ref="K193">IFERROR(AVERAGE(IF((OutputTable[GroupByKey]=OutputTable[[#This Row],[GroupByKey]]),(OutputTable[GroupByKey]=OutputTable[[#This Row],[GroupByKey]])*OutputTable[RecordedValue])),0)</f>
        <v>6223.9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93.753162909608307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193" s="5" cm="1">
        <f t="array" ref="O193">MIN(IF((OutputTable[GroupByKey]=OutputTable[[#This Row],[GroupByKey]]),(OutputTable[GroupByKey]=OutputTable[[#This Row],[GroupByKey]])*OutputTable[RecordedValue]))</f>
        <v>6030</v>
      </c>
      <c r="P193" s="5" cm="1">
        <f t="array" ref="P193">MAX(IF((OutputTable[GroupByKey]=OutputTable[[#This Row],[GroupByKey]]),(OutputTable[GroupByKey]=OutputTable[[#This Row],[GroupByKey]])*OutputTable[RecordedValue]))</f>
        <v>6330</v>
      </c>
    </row>
    <row r="194" spans="1:16" x14ac:dyDescent="0.25">
      <c r="A194" t="s">
        <v>67</v>
      </c>
      <c r="B194" t="s">
        <v>69</v>
      </c>
      <c r="C194">
        <v>8</v>
      </c>
      <c r="D194" t="s">
        <v>119</v>
      </c>
      <c r="E194" t="s">
        <v>117</v>
      </c>
      <c r="F194" t="s">
        <v>96</v>
      </c>
      <c r="G194">
        <v>0.73843175708582198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10</v>
      </c>
      <c r="K194" s="5" cm="1">
        <f t="array" ref="K194">IFERROR(AVERAGE(IF((OutputTable[GroupByKey]=OutputTable[[#This Row],[GroupByKey]]),(OutputTable[GroupByKey]=OutputTable[[#This Row],[GroupByKey]])*OutputTable[RecordedValue])),0)</f>
        <v>0.75111586075292547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9.1926752531366566E-3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194" s="5" cm="1">
        <f t="array" ref="O194">MIN(IF((OutputTable[GroupByKey]=OutputTable[[#This Row],[GroupByKey]]),(OutputTable[GroupByKey]=OutputTable[[#This Row],[GroupByKey]])*OutputTable[RecordedValue]))</f>
        <v>0.73777590022083495</v>
      </c>
      <c r="P194" s="5" cm="1">
        <f t="array" ref="P194">MAX(IF((OutputTable[GroupByKey]=OutputTable[[#This Row],[GroupByKey]]),(OutputTable[GroupByKey]=OutputTable[[#This Row],[GroupByKey]])*OutputTable[RecordedValue]))</f>
        <v>0.76666045600624</v>
      </c>
    </row>
    <row r="195" spans="1:16" x14ac:dyDescent="0.25">
      <c r="A195" t="s">
        <v>67</v>
      </c>
      <c r="B195" t="s">
        <v>69</v>
      </c>
      <c r="C195">
        <v>8</v>
      </c>
      <c r="D195" t="s">
        <v>120</v>
      </c>
      <c r="E195" t="s">
        <v>115</v>
      </c>
      <c r="F195" t="s">
        <v>96</v>
      </c>
      <c r="G195">
        <v>6183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10</v>
      </c>
      <c r="K195" s="5" cm="1">
        <f t="array" ref="K195">IFERROR(AVERAGE(IF((OutputTable[GroupByKey]=OutputTable[[#This Row],[GroupByKey]]),(OutputTable[GroupByKey]=OutputTable[[#This Row],[GroupByKey]])*OutputTable[RecordedValue])),0)</f>
        <v>6230.6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52.995177977707456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195" s="5" cm="1">
        <f t="array" ref="O195">MIN(IF((OutputTable[GroupByKey]=OutputTable[[#This Row],[GroupByKey]]),(OutputTable[GroupByKey]=OutputTable[[#This Row],[GroupByKey]])*OutputTable[RecordedValue]))</f>
        <v>6182</v>
      </c>
      <c r="P195" s="5" cm="1">
        <f t="array" ref="P195">MAX(IF((OutputTable[GroupByKey]=OutputTable[[#This Row],[GroupByKey]]),(OutputTable[GroupByKey]=OutputTable[[#This Row],[GroupByKey]])*OutputTable[RecordedValue]))</f>
        <v>6338</v>
      </c>
    </row>
    <row r="196" spans="1:16" x14ac:dyDescent="0.25">
      <c r="A196" t="s">
        <v>67</v>
      </c>
      <c r="B196" t="s">
        <v>69</v>
      </c>
      <c r="C196">
        <v>8</v>
      </c>
      <c r="D196" t="s">
        <v>121</v>
      </c>
      <c r="E196" t="s">
        <v>117</v>
      </c>
      <c r="F196" t="s">
        <v>96</v>
      </c>
      <c r="G196">
        <v>0.74590940396706595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10</v>
      </c>
      <c r="K196" s="5" cm="1">
        <f t="array" ref="K196">IFERROR(AVERAGE(IF((OutputTable[GroupByKey]=OutputTable[[#This Row],[GroupByKey]]),(OutputTable[GroupByKey]=OutputTable[[#This Row],[GroupByKey]])*OutputTable[RecordedValue])),0)</f>
        <v>0.75296070254426462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1.0201996050203582E-2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196" s="5" cm="1">
        <f t="array" ref="O196">MIN(IF((OutputTable[GroupByKey]=OutputTable[[#This Row],[GroupByKey]]),(OutputTable[GroupByKey]=OutputTable[[#This Row],[GroupByKey]])*OutputTable[RecordedValue]))</f>
        <v>0.73378608347586405</v>
      </c>
      <c r="P196" s="5" cm="1">
        <f t="array" ref="P196">MAX(IF((OutputTable[GroupByKey]=OutputTable[[#This Row],[GroupByKey]]),(OutputTable[GroupByKey]=OutputTable[[#This Row],[GroupByKey]])*OutputTable[RecordedValue]))</f>
        <v>0.76969939153947697</v>
      </c>
    </row>
    <row r="197" spans="1:16" x14ac:dyDescent="0.25">
      <c r="A197" t="s">
        <v>67</v>
      </c>
      <c r="B197" t="s">
        <v>69</v>
      </c>
      <c r="C197">
        <v>8</v>
      </c>
      <c r="D197" t="s">
        <v>122</v>
      </c>
      <c r="E197" t="s">
        <v>123</v>
      </c>
      <c r="F197" t="s">
        <v>75</v>
      </c>
      <c r="G197">
        <v>12306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ProjectEntity 1.NumberInNumber InEntity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10</v>
      </c>
      <c r="K197" s="5" cm="1">
        <f t="array" ref="K197">IFERROR(AVERAGE(IF((OutputTable[GroupByKey]=OutputTable[[#This Row],[GroupByKey]]),(OutputTable[GroupByKey]=OutputTable[[#This Row],[GroupByKey]])*OutputTable[RecordedValue])),0)</f>
        <v>12455.3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109.29577606964813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197" s="5" cm="1">
        <f t="array" ref="O197">MIN(IF((OutputTable[GroupByKey]=OutputTable[[#This Row],[GroupByKey]]),(OutputTable[GroupByKey]=OutputTable[[#This Row],[GroupByKey]])*OutputTable[RecordedValue]))</f>
        <v>12234</v>
      </c>
      <c r="P197" s="5" cm="1">
        <f t="array" ref="P197">MAX(IF((OutputTable[GroupByKey]=OutputTable[[#This Row],[GroupByKey]]),(OutputTable[GroupByKey]=OutputTable[[#This Row],[GroupByKey]])*OutputTable[RecordedValue]))</f>
        <v>12594</v>
      </c>
    </row>
    <row r="198" spans="1:16" x14ac:dyDescent="0.25">
      <c r="A198" t="s">
        <v>67</v>
      </c>
      <c r="B198" t="s">
        <v>69</v>
      </c>
      <c r="C198">
        <v>8</v>
      </c>
      <c r="D198" t="s">
        <v>124</v>
      </c>
      <c r="E198" t="s">
        <v>125</v>
      </c>
      <c r="F198" t="s">
        <v>75</v>
      </c>
      <c r="G198">
        <v>12289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ProjectEntity 1.NumberOutNumber OutEntity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10</v>
      </c>
      <c r="K198" s="5" cm="1">
        <f t="array" ref="K198">IFERROR(AVERAGE(IF((OutputTable[GroupByKey]=OutputTable[[#This Row],[GroupByKey]]),(OutputTable[GroupByKey]=OutputTable[[#This Row],[GroupByKey]])*OutputTable[RecordedValue])),0)</f>
        <v>12441.9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109.66965548105516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198" s="5" cm="1">
        <f t="array" ref="O198">MIN(IF((OutputTable[GroupByKey]=OutputTable[[#This Row],[GroupByKey]]),(OutputTable[GroupByKey]=OutputTable[[#This Row],[GroupByKey]])*OutputTable[RecordedValue]))</f>
        <v>12224</v>
      </c>
      <c r="P198" s="5" cm="1">
        <f t="array" ref="P198">MAX(IF((OutputTable[GroupByKey]=OutputTable[[#This Row],[GroupByKey]]),(OutputTable[GroupByKey]=OutputTable[[#This Row],[GroupByKey]])*OutputTable[RecordedValue]))</f>
        <v>12584</v>
      </c>
    </row>
    <row r="199" spans="1:16" x14ac:dyDescent="0.25">
      <c r="A199" t="s">
        <v>67</v>
      </c>
      <c r="B199" t="s">
        <v>69</v>
      </c>
      <c r="C199">
        <v>8</v>
      </c>
      <c r="D199" t="s">
        <v>126</v>
      </c>
      <c r="E199" t="s">
        <v>115</v>
      </c>
      <c r="F199" t="s">
        <v>96</v>
      </c>
      <c r="G199">
        <v>4102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10</v>
      </c>
      <c r="K199" s="5" cm="1">
        <f t="array" ref="K199">IFERROR(AVERAGE(IF((OutputTable[GroupByKey]=OutputTable[[#This Row],[GroupByKey]]),(OutputTable[GroupByKey]=OutputTable[[#This Row],[GroupByKey]])*OutputTable[RecordedValue])),0)</f>
        <v>4151.1000000000004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38.420046850570081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199" s="5" cm="1">
        <f t="array" ref="O199">MIN(IF((OutputTable[GroupByKey]=OutputTable[[#This Row],[GroupByKey]]),(OutputTable[GroupByKey]=OutputTable[[#This Row],[GroupByKey]])*OutputTable[RecordedValue]))</f>
        <v>4077</v>
      </c>
      <c r="P199" s="5" cm="1">
        <f t="array" ref="P199">MAX(IF((OutputTable[GroupByKey]=OutputTable[[#This Row],[GroupByKey]]),(OutputTable[GroupByKey]=OutputTable[[#This Row],[GroupByKey]])*OutputTable[RecordedValue]))</f>
        <v>4202</v>
      </c>
    </row>
    <row r="200" spans="1:16" x14ac:dyDescent="0.25">
      <c r="A200" t="s">
        <v>67</v>
      </c>
      <c r="B200" t="s">
        <v>69</v>
      </c>
      <c r="C200">
        <v>8</v>
      </c>
      <c r="D200" t="s">
        <v>127</v>
      </c>
      <c r="E200" t="s">
        <v>117</v>
      </c>
      <c r="F200" t="s">
        <v>96</v>
      </c>
      <c r="G200">
        <v>0.85730277923538301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10</v>
      </c>
      <c r="K200" s="5" cm="1">
        <f t="array" ref="K200">IFERROR(AVERAGE(IF((OutputTable[GroupByKey]=OutputTable[[#This Row],[GroupByKey]]),(OutputTable[GroupByKey]=OutputTable[[#This Row],[GroupByKey]])*OutputTable[RecordedValue])),0)</f>
        <v>0.86617223927529052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7.3264677567561349E-3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200" s="5" cm="1">
        <f t="array" ref="O200">MIN(IF((OutputTable[GroupByKey]=OutputTable[[#This Row],[GroupByKey]]),(OutputTable[GroupByKey]=OutputTable[[#This Row],[GroupByKey]])*OutputTable[RecordedValue]))</f>
        <v>0.85300206766602205</v>
      </c>
      <c r="P200" s="5" cm="1">
        <f t="array" ref="P200">MAX(IF((OutputTable[GroupByKey]=OutputTable[[#This Row],[GroupByKey]]),(OutputTable[GroupByKey]=OutputTable[[#This Row],[GroupByKey]])*OutputTable[RecordedValue]))</f>
        <v>0.87632698102425799</v>
      </c>
    </row>
    <row r="201" spans="1:16" x14ac:dyDescent="0.25">
      <c r="A201" t="s">
        <v>67</v>
      </c>
      <c r="B201" t="s">
        <v>69</v>
      </c>
      <c r="C201">
        <v>8</v>
      </c>
      <c r="D201" t="s">
        <v>128</v>
      </c>
      <c r="E201" t="s">
        <v>115</v>
      </c>
      <c r="F201" t="s">
        <v>96</v>
      </c>
      <c r="G201">
        <v>4114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10</v>
      </c>
      <c r="K201" s="5" cm="1">
        <f t="array" ref="K201">IFERROR(AVERAGE(IF((OutputTable[GroupByKey]=OutputTable[[#This Row],[GroupByKey]]),(OutputTable[GroupByKey]=OutputTable[[#This Row],[GroupByKey]])*OutputTable[RecordedValue])),0)</f>
        <v>4147.7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35.339779286237771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201" s="5" cm="1">
        <f t="array" ref="O201">MIN(IF((OutputTable[GroupByKey]=OutputTable[[#This Row],[GroupByKey]]),(OutputTable[GroupByKey]=OutputTable[[#This Row],[GroupByKey]])*OutputTable[RecordedValue]))</f>
        <v>4072</v>
      </c>
      <c r="P201" s="5" cm="1">
        <f t="array" ref="P201">MAX(IF((OutputTable[GroupByKey]=OutputTable[[#This Row],[GroupByKey]]),(OutputTable[GroupByKey]=OutputTable[[#This Row],[GroupByKey]])*OutputTable[RecordedValue]))</f>
        <v>4199</v>
      </c>
    </row>
    <row r="202" spans="1:16" x14ac:dyDescent="0.25">
      <c r="A202" t="s">
        <v>67</v>
      </c>
      <c r="B202" t="s">
        <v>69</v>
      </c>
      <c r="C202">
        <v>8</v>
      </c>
      <c r="D202" t="s">
        <v>129</v>
      </c>
      <c r="E202" t="s">
        <v>117</v>
      </c>
      <c r="F202" t="s">
        <v>96</v>
      </c>
      <c r="G202">
        <v>0.85550101809076895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10</v>
      </c>
      <c r="K202" s="5" cm="1">
        <f t="array" ref="K202">IFERROR(AVERAGE(IF((OutputTable[GroupByKey]=OutputTable[[#This Row],[GroupByKey]]),(OutputTable[GroupByKey]=OutputTable[[#This Row],[GroupByKey]])*OutputTable[RecordedValue])),0)</f>
        <v>0.86586513532824916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7.1981559947843117E-3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202" s="5" cm="1">
        <f t="array" ref="O202">MIN(IF((OutputTable[GroupByKey]=OutputTable[[#This Row],[GroupByKey]]),(OutputTable[GroupByKey]=OutputTable[[#This Row],[GroupByKey]])*OutputTable[RecordedValue]))</f>
        <v>0.85267322894137698</v>
      </c>
      <c r="P202" s="5" cm="1">
        <f t="array" ref="P202">MAX(IF((OutputTable[GroupByKey]=OutputTable[[#This Row],[GroupByKey]]),(OutputTable[GroupByKey]=OutputTable[[#This Row],[GroupByKey]])*OutputTable[RecordedValue]))</f>
        <v>0.87300868153341904</v>
      </c>
    </row>
    <row r="203" spans="1:16" x14ac:dyDescent="0.25">
      <c r="A203" t="s">
        <v>67</v>
      </c>
      <c r="B203" t="s">
        <v>69</v>
      </c>
      <c r="C203">
        <v>8</v>
      </c>
      <c r="D203" t="s">
        <v>130</v>
      </c>
      <c r="E203" t="s">
        <v>115</v>
      </c>
      <c r="F203" t="s">
        <v>96</v>
      </c>
      <c r="G203">
        <v>4076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10</v>
      </c>
      <c r="K203" s="5" cm="1">
        <f t="array" ref="K203">IFERROR(AVERAGE(IF((OutputTable[GroupByKey]=OutputTable[[#This Row],[GroupByKey]]),(OutputTable[GroupByKey]=OutputTable[[#This Row],[GroupByKey]])*OutputTable[RecordedValue])),0)</f>
        <v>4145.8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38.883872692358665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203" s="5" cm="1">
        <f t="array" ref="O203">MIN(IF((OutputTable[GroupByKey]=OutputTable[[#This Row],[GroupByKey]]),(OutputTable[GroupByKey]=OutputTable[[#This Row],[GroupByKey]])*OutputTable[RecordedValue]))</f>
        <v>4076</v>
      </c>
      <c r="P203" s="5" cm="1">
        <f t="array" ref="P203">MAX(IF((OutputTable[GroupByKey]=OutputTable[[#This Row],[GroupByKey]]),(OutputTable[GroupByKey]=OutputTable[[#This Row],[GroupByKey]])*OutputTable[RecordedValue]))</f>
        <v>4184</v>
      </c>
    </row>
    <row r="204" spans="1:16" x14ac:dyDescent="0.25">
      <c r="A204" t="s">
        <v>67</v>
      </c>
      <c r="B204" t="s">
        <v>69</v>
      </c>
      <c r="C204">
        <v>8</v>
      </c>
      <c r="D204" t="s">
        <v>131</v>
      </c>
      <c r="E204" t="s">
        <v>117</v>
      </c>
      <c r="F204" t="s">
        <v>96</v>
      </c>
      <c r="G204">
        <v>0.85510768626576406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10</v>
      </c>
      <c r="K204" s="5" cm="1">
        <f t="array" ref="K204">IFERROR(AVERAGE(IF((OutputTable[GroupByKey]=OutputTable[[#This Row],[GroupByKey]]),(OutputTable[GroupByKey]=OutputTable[[#This Row],[GroupByKey]])*OutputTable[RecordedValue])),0)</f>
        <v>0.86584756987747569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7.1198499498994544E-3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204" s="5" cm="1">
        <f t="array" ref="O204">MIN(IF((OutputTable[GroupByKey]=OutputTable[[#This Row],[GroupByKey]]),(OutputTable[GroupByKey]=OutputTable[[#This Row],[GroupByKey]])*OutputTable[RecordedValue]))</f>
        <v>0.85312589705184705</v>
      </c>
      <c r="P204" s="5" cm="1">
        <f t="array" ref="P204">MAX(IF((OutputTable[GroupByKey]=OutputTable[[#This Row],[GroupByKey]]),(OutputTable[GroupByKey]=OutputTable[[#This Row],[GroupByKey]])*OutputTable[RecordedValue]))</f>
        <v>0.87436351179675398</v>
      </c>
    </row>
    <row r="205" spans="1:16" x14ac:dyDescent="0.25">
      <c r="A205" t="s">
        <v>67</v>
      </c>
      <c r="B205" t="s">
        <v>69</v>
      </c>
      <c r="C205">
        <v>8</v>
      </c>
      <c r="D205" t="s">
        <v>132</v>
      </c>
      <c r="E205" t="s">
        <v>125</v>
      </c>
      <c r="F205" t="s">
        <v>133</v>
      </c>
      <c r="G205">
        <v>12289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ProjectSystem.NumberOutNumber OutSystem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10</v>
      </c>
      <c r="K205" s="5" cm="1">
        <f t="array" ref="K205">IFERROR(AVERAGE(IF((OutputTable[GroupByKey]=OutputTable[[#This Row],[GroupByKey]]),(OutputTable[GroupByKey]=OutputTable[[#This Row],[GroupByKey]])*OutputTable[RecordedValue])),0)</f>
        <v>12441.9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109.66965548105516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205" s="5" cm="1">
        <f t="array" ref="O205">MIN(IF((OutputTable[GroupByKey]=OutputTable[[#This Row],[GroupByKey]]),(OutputTable[GroupByKey]=OutputTable[[#This Row],[GroupByKey]])*OutputTable[RecordedValue]))</f>
        <v>12224</v>
      </c>
      <c r="P205" s="5" cm="1">
        <f t="array" ref="P205">MAX(IF((OutputTable[GroupByKey]=OutputTable[[#This Row],[GroupByKey]]),(OutputTable[GroupByKey]=OutputTable[[#This Row],[GroupByKey]])*OutputTable[RecordedValue]))</f>
        <v>12584</v>
      </c>
    </row>
    <row r="206" spans="1:16" x14ac:dyDescent="0.25">
      <c r="A206" t="s">
        <v>67</v>
      </c>
      <c r="B206" t="s">
        <v>69</v>
      </c>
      <c r="C206">
        <v>8</v>
      </c>
      <c r="D206" t="s">
        <v>134</v>
      </c>
      <c r="E206" t="s">
        <v>115</v>
      </c>
      <c r="F206" t="s">
        <v>96</v>
      </c>
      <c r="G206">
        <v>13780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10</v>
      </c>
      <c r="K206" s="5" cm="1">
        <f t="array" ref="K206">IFERROR(AVERAGE(IF((OutputTable[GroupByKey]=OutputTable[[#This Row],[GroupByKey]]),(OutputTable[GroupByKey]=OutputTable[[#This Row],[GroupByKey]])*OutputTable[RecordedValue])),0)</f>
        <v>14003.5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154.71640723164001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206" s="5" cm="1">
        <f t="array" ref="O206">MIN(IF((OutputTable[GroupByKey]=OutputTable[[#This Row],[GroupByKey]]),(OutputTable[GroupByKey]=OutputTable[[#This Row],[GroupByKey]])*OutputTable[RecordedValue]))</f>
        <v>13729</v>
      </c>
      <c r="P206" s="5" cm="1">
        <f t="array" ref="P206">MAX(IF((OutputTable[GroupByKey]=OutputTable[[#This Row],[GroupByKey]]),(OutputTable[GroupByKey]=OutputTable[[#This Row],[GroupByKey]])*OutputTable[RecordedValue]))</f>
        <v>14205</v>
      </c>
    </row>
    <row r="207" spans="1:16" x14ac:dyDescent="0.25">
      <c r="A207" t="s">
        <v>67</v>
      </c>
      <c r="B207" t="s">
        <v>69</v>
      </c>
      <c r="C207">
        <v>8</v>
      </c>
      <c r="D207" t="s">
        <v>135</v>
      </c>
      <c r="E207" t="s">
        <v>117</v>
      </c>
      <c r="F207" t="s">
        <v>96</v>
      </c>
      <c r="G207">
        <v>0.84048036374453705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10</v>
      </c>
      <c r="K207" s="5" cm="1">
        <f t="array" ref="K207">IFERROR(AVERAGE(IF((OutputTable[GroupByKey]=OutputTable[[#This Row],[GroupByKey]]),(OutputTable[GroupByKey]=OutputTable[[#This Row],[GroupByKey]])*OutputTable[RecordedValue])),0)</f>
        <v>0.85369868202434152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9.4705605009894993E-3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207" s="5" cm="1">
        <f t="array" ref="O207">MIN(IF((OutputTable[GroupByKey]=OutputTable[[#This Row],[GroupByKey]]),(OutputTable[GroupByKey]=OutputTable[[#This Row],[GroupByKey]])*OutputTable[RecordedValue]))</f>
        <v>0.83618943731414597</v>
      </c>
      <c r="P207" s="5" cm="1">
        <f t="array" ref="P207">MAX(IF((OutputTable[GroupByKey]=OutputTable[[#This Row],[GroupByKey]]),(OutputTable[GroupByKey]=OutputTable[[#This Row],[GroupByKey]])*OutputTable[RecordedValue]))</f>
        <v>0.86586763783419696</v>
      </c>
    </row>
    <row r="208" spans="1:16" x14ac:dyDescent="0.25">
      <c r="A208" t="s">
        <v>67</v>
      </c>
      <c r="B208" t="s">
        <v>69</v>
      </c>
      <c r="C208">
        <v>8</v>
      </c>
      <c r="D208" t="s">
        <v>136</v>
      </c>
      <c r="E208" t="s">
        <v>115</v>
      </c>
      <c r="F208" t="s">
        <v>96</v>
      </c>
      <c r="G208">
        <v>9254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10</v>
      </c>
      <c r="K208" s="5" cm="1">
        <f t="array" ref="K208">IFERROR(AVERAGE(IF((OutputTable[GroupByKey]=OutputTable[[#This Row],[GroupByKey]]),(OutputTable[GroupByKey]=OutputTable[[#This Row],[GroupByKey]])*OutputTable[RecordedValue])),0)</f>
        <v>9367.5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139.5916664179253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208" s="5" cm="1">
        <f t="array" ref="O208">MIN(IF((OutputTable[GroupByKey]=OutputTable[[#This Row],[GroupByKey]]),(OutputTable[GroupByKey]=OutputTable[[#This Row],[GroupByKey]])*OutputTable[RecordedValue]))</f>
        <v>9192</v>
      </c>
      <c r="P208" s="5" cm="1">
        <f t="array" ref="P208">MAX(IF((OutputTable[GroupByKey]=OutputTable[[#This Row],[GroupByKey]]),(OutputTable[GroupByKey]=OutputTable[[#This Row],[GroupByKey]])*OutputTable[RecordedValue]))</f>
        <v>9577</v>
      </c>
    </row>
    <row r="209" spans="1:16" x14ac:dyDescent="0.25">
      <c r="A209" t="s">
        <v>67</v>
      </c>
      <c r="B209" t="s">
        <v>69</v>
      </c>
      <c r="C209">
        <v>8</v>
      </c>
      <c r="D209" t="s">
        <v>137</v>
      </c>
      <c r="E209" t="s">
        <v>117</v>
      </c>
      <c r="F209" t="s">
        <v>96</v>
      </c>
      <c r="G209">
        <v>0.76752965241864102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10</v>
      </c>
      <c r="K209" s="5" cm="1">
        <f t="array" ref="K209">IFERROR(AVERAGE(IF((OutputTable[GroupByKey]=OutputTable[[#This Row],[GroupByKey]]),(OutputTable[GroupByKey]=OutputTable[[#This Row],[GroupByKey]])*OutputTable[RecordedValue])),0)</f>
        <v>0.77500127942574837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1.1134375758682289E-2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209" s="5" cm="1">
        <f t="array" ref="O209">MIN(IF((OutputTable[GroupByKey]=OutputTable[[#This Row],[GroupByKey]]),(OutputTable[GroupByKey]=OutputTable[[#This Row],[GroupByKey]])*OutputTable[RecordedValue]))</f>
        <v>0.75864843854708297</v>
      </c>
      <c r="P209" s="5" cm="1">
        <f t="array" ref="P209">MAX(IF((OutputTable[GroupByKey]=OutputTable[[#This Row],[GroupByKey]]),(OutputTable[GroupByKey]=OutputTable[[#This Row],[GroupByKey]])*OutputTable[RecordedValue]))</f>
        <v>0.79252596119945096</v>
      </c>
    </row>
    <row r="210" spans="1:16" x14ac:dyDescent="0.25">
      <c r="A210" t="s">
        <v>67</v>
      </c>
      <c r="B210" t="s">
        <v>69</v>
      </c>
      <c r="C210">
        <v>8</v>
      </c>
      <c r="D210" t="s">
        <v>138</v>
      </c>
      <c r="E210" t="s">
        <v>115</v>
      </c>
      <c r="F210" t="s">
        <v>96</v>
      </c>
      <c r="G210">
        <v>12300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10</v>
      </c>
      <c r="K210" s="5" cm="1">
        <f t="array" ref="K210">IFERROR(AVERAGE(IF((OutputTable[GroupByKey]=OutputTable[[#This Row],[GroupByKey]]),(OutputTable[GroupByKey]=OutputTable[[#This Row],[GroupByKey]])*OutputTable[RecordedValue])),0)</f>
        <v>12449.2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108.68691017985765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210" s="5" cm="1">
        <f t="array" ref="O210">MIN(IF((OutputTable[GroupByKey]=OutputTable[[#This Row],[GroupByKey]]),(OutputTable[GroupByKey]=OutputTable[[#This Row],[GroupByKey]])*OutputTable[RecordedValue]))</f>
        <v>12231</v>
      </c>
      <c r="P210" s="5" cm="1">
        <f t="array" ref="P210">MAX(IF((OutputTable[GroupByKey]=OutputTable[[#This Row],[GroupByKey]]),(OutputTable[GroupByKey]=OutputTable[[#This Row],[GroupByKey]])*OutputTable[RecordedValue]))</f>
        <v>12589</v>
      </c>
    </row>
    <row r="211" spans="1:16" x14ac:dyDescent="0.25">
      <c r="A211" t="s">
        <v>67</v>
      </c>
      <c r="B211" t="s">
        <v>69</v>
      </c>
      <c r="C211">
        <v>8</v>
      </c>
      <c r="D211" t="s">
        <v>139</v>
      </c>
      <c r="E211" t="s">
        <v>117</v>
      </c>
      <c r="F211" t="s">
        <v>96</v>
      </c>
      <c r="G211">
        <v>0.85153212247057997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10</v>
      </c>
      <c r="K211" s="5" cm="1">
        <f t="array" ref="K211">IFERROR(AVERAGE(IF((OutputTable[GroupByKey]=OutputTable[[#This Row],[GroupByKey]]),(OutputTable[GroupByKey]=OutputTable[[#This Row],[GroupByKey]])*OutputTable[RecordedValue])),0)</f>
        <v>0.85958220767724303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8.2249879280646958E-3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211" s="5" cm="1">
        <f t="array" ref="O211">MIN(IF((OutputTable[GroupByKey]=OutputTable[[#This Row],[GroupByKey]]),(OutputTable[GroupByKey]=OutputTable[[#This Row],[GroupByKey]])*OutputTable[RecordedValue]))</f>
        <v>0.84465777371794004</v>
      </c>
      <c r="P211" s="5" cm="1">
        <f t="array" ref="P211">MAX(IF((OutputTable[GroupByKey]=OutputTable[[#This Row],[GroupByKey]]),(OutputTable[GroupByKey]=OutputTable[[#This Row],[GroupByKey]])*OutputTable[RecordedValue]))</f>
        <v>0.87000527345659695</v>
      </c>
    </row>
    <row r="212" spans="1:16" x14ac:dyDescent="0.25">
      <c r="A212" t="s">
        <v>67</v>
      </c>
      <c r="B212" t="s">
        <v>69</v>
      </c>
      <c r="C212">
        <v>8</v>
      </c>
      <c r="D212" t="s">
        <v>140</v>
      </c>
      <c r="E212" t="s">
        <v>115</v>
      </c>
      <c r="F212" t="s">
        <v>96</v>
      </c>
      <c r="G212">
        <v>13780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10</v>
      </c>
      <c r="K212" s="5" cm="1">
        <f t="array" ref="K212">IFERROR(AVERAGE(IF((OutputTable[GroupByKey]=OutputTable[[#This Row],[GroupByKey]]),(OutputTable[GroupByKey]=OutputTable[[#This Row],[GroupByKey]])*OutputTable[RecordedValue])),0)</f>
        <v>14003.5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154.71640723164001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212" s="5" cm="1">
        <f t="array" ref="O212">MIN(IF((OutputTable[GroupByKey]=OutputTable[[#This Row],[GroupByKey]]),(OutputTable[GroupByKey]=OutputTable[[#This Row],[GroupByKey]])*OutputTable[RecordedValue]))</f>
        <v>13729</v>
      </c>
      <c r="P212" s="5" cm="1">
        <f t="array" ref="P212">MAX(IF((OutputTable[GroupByKey]=OutputTable[[#This Row],[GroupByKey]]),(OutputTable[GroupByKey]=OutputTable[[#This Row],[GroupByKey]])*OutputTable[RecordedValue]))</f>
        <v>14205</v>
      </c>
    </row>
    <row r="213" spans="1:16" x14ac:dyDescent="0.25">
      <c r="A213" t="s">
        <v>67</v>
      </c>
      <c r="B213" t="s">
        <v>69</v>
      </c>
      <c r="C213">
        <v>8</v>
      </c>
      <c r="D213" t="s">
        <v>141</v>
      </c>
      <c r="E213" t="s">
        <v>117</v>
      </c>
      <c r="F213" t="s">
        <v>96</v>
      </c>
      <c r="G213">
        <v>0.84048036374453705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10</v>
      </c>
      <c r="K213" s="5" cm="1">
        <f t="array" ref="K213">IFERROR(AVERAGE(IF((OutputTable[GroupByKey]=OutputTable[[#This Row],[GroupByKey]]),(OutputTable[GroupByKey]=OutputTable[[#This Row],[GroupByKey]])*OutputTable[RecordedValue])),0)</f>
        <v>0.85369868202434152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9.4705605009894993E-3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213" s="5" cm="1">
        <f t="array" ref="O213">MIN(IF((OutputTable[GroupByKey]=OutputTable[[#This Row],[GroupByKey]]),(OutputTable[GroupByKey]=OutputTable[[#This Row],[GroupByKey]])*OutputTable[RecordedValue]))</f>
        <v>0.83618943731414597</v>
      </c>
      <c r="P213" s="5" cm="1">
        <f t="array" ref="P213">MAX(IF((OutputTable[GroupByKey]=OutputTable[[#This Row],[GroupByKey]]),(OutputTable[GroupByKey]=OutputTable[[#This Row],[GroupByKey]])*OutputTable[RecordedValue]))</f>
        <v>0.86586763783419696</v>
      </c>
    </row>
    <row r="214" spans="1:16" x14ac:dyDescent="0.25">
      <c r="A214" t="s">
        <v>67</v>
      </c>
      <c r="B214" t="s">
        <v>69</v>
      </c>
      <c r="C214">
        <v>8</v>
      </c>
      <c r="D214" t="s">
        <v>142</v>
      </c>
      <c r="E214" t="s">
        <v>115</v>
      </c>
      <c r="F214" t="s">
        <v>96</v>
      </c>
      <c r="G214">
        <v>9254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10</v>
      </c>
      <c r="K214" s="5" cm="1">
        <f t="array" ref="K214">IFERROR(AVERAGE(IF((OutputTable[GroupByKey]=OutputTable[[#This Row],[GroupByKey]]),(OutputTable[GroupByKey]=OutputTable[[#This Row],[GroupByKey]])*OutputTable[RecordedValue])),0)</f>
        <v>9367.5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139.5916664179253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214" s="5" cm="1">
        <f t="array" ref="O214">MIN(IF((OutputTable[GroupByKey]=OutputTable[[#This Row],[GroupByKey]]),(OutputTable[GroupByKey]=OutputTable[[#This Row],[GroupByKey]])*OutputTable[RecordedValue]))</f>
        <v>9192</v>
      </c>
      <c r="P214" s="5" cm="1">
        <f t="array" ref="P214">MAX(IF((OutputTable[GroupByKey]=OutputTable[[#This Row],[GroupByKey]]),(OutputTable[GroupByKey]=OutputTable[[#This Row],[GroupByKey]])*OutputTable[RecordedValue]))</f>
        <v>9577</v>
      </c>
    </row>
    <row r="215" spans="1:16" x14ac:dyDescent="0.25">
      <c r="A215" t="s">
        <v>67</v>
      </c>
      <c r="B215" t="s">
        <v>69</v>
      </c>
      <c r="C215">
        <v>8</v>
      </c>
      <c r="D215" t="s">
        <v>143</v>
      </c>
      <c r="E215" t="s">
        <v>117</v>
      </c>
      <c r="F215" t="s">
        <v>96</v>
      </c>
      <c r="G215">
        <v>0.76752965241864102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10</v>
      </c>
      <c r="K215" s="5" cm="1">
        <f t="array" ref="K215">IFERROR(AVERAGE(IF((OutputTable[GroupByKey]=OutputTable[[#This Row],[GroupByKey]]),(OutputTable[GroupByKey]=OutputTable[[#This Row],[GroupByKey]])*OutputTable[RecordedValue])),0)</f>
        <v>0.77500127942574837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1.1134375758682289E-2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215" s="5" cm="1">
        <f t="array" ref="O215">MIN(IF((OutputTable[GroupByKey]=OutputTable[[#This Row],[GroupByKey]]),(OutputTable[GroupByKey]=OutputTable[[#This Row],[GroupByKey]])*OutputTable[RecordedValue]))</f>
        <v>0.75864843854708297</v>
      </c>
      <c r="P215" s="5" cm="1">
        <f t="array" ref="P215">MAX(IF((OutputTable[GroupByKey]=OutputTable[[#This Row],[GroupByKey]]),(OutputTable[GroupByKey]=OutputTable[[#This Row],[GroupByKey]])*OutputTable[RecordedValue]))</f>
        <v>0.79252596119945096</v>
      </c>
    </row>
    <row r="216" spans="1:16" x14ac:dyDescent="0.25">
      <c r="A216" t="s">
        <v>67</v>
      </c>
      <c r="B216" t="s">
        <v>69</v>
      </c>
      <c r="C216">
        <v>8</v>
      </c>
      <c r="D216" t="s">
        <v>144</v>
      </c>
      <c r="E216" t="s">
        <v>115</v>
      </c>
      <c r="F216" t="s">
        <v>96</v>
      </c>
      <c r="G216">
        <v>12300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10</v>
      </c>
      <c r="K216" s="5" cm="1">
        <f t="array" ref="K216">IFERROR(AVERAGE(IF((OutputTable[GroupByKey]=OutputTable[[#This Row],[GroupByKey]]),(OutputTable[GroupByKey]=OutputTable[[#This Row],[GroupByKey]])*OutputTable[RecordedValue])),0)</f>
        <v>12449.2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108.68691017985765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216" s="5" cm="1">
        <f t="array" ref="O216">MIN(IF((OutputTable[GroupByKey]=OutputTable[[#This Row],[GroupByKey]]),(OutputTable[GroupByKey]=OutputTable[[#This Row],[GroupByKey]])*OutputTable[RecordedValue]))</f>
        <v>12231</v>
      </c>
      <c r="P216" s="5" cm="1">
        <f t="array" ref="P216">MAX(IF((OutputTable[GroupByKey]=OutputTable[[#This Row],[GroupByKey]]),(OutputTable[GroupByKey]=OutputTable[[#This Row],[GroupByKey]])*OutputTable[RecordedValue]))</f>
        <v>12589</v>
      </c>
    </row>
    <row r="217" spans="1:16" x14ac:dyDescent="0.25">
      <c r="A217" t="s">
        <v>67</v>
      </c>
      <c r="B217" t="s">
        <v>69</v>
      </c>
      <c r="C217">
        <v>8</v>
      </c>
      <c r="D217" t="s">
        <v>145</v>
      </c>
      <c r="E217" t="s">
        <v>117</v>
      </c>
      <c r="F217" t="s">
        <v>96</v>
      </c>
      <c r="G217">
        <v>0.85153212247057997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10</v>
      </c>
      <c r="K217" s="5" cm="1">
        <f t="array" ref="K217">IFERROR(AVERAGE(IF((OutputTable[GroupByKey]=OutputTable[[#This Row],[GroupByKey]]),(OutputTable[GroupByKey]=OutputTable[[#This Row],[GroupByKey]])*OutputTable[RecordedValue])),0)</f>
        <v>0.85958220767724303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8.2249879280646958E-3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217" s="5" cm="1">
        <f t="array" ref="O217">MIN(IF((OutputTable[GroupByKey]=OutputTable[[#This Row],[GroupByKey]]),(OutputTable[GroupByKey]=OutputTable[[#This Row],[GroupByKey]])*OutputTable[RecordedValue]))</f>
        <v>0.84465777371794004</v>
      </c>
      <c r="P217" s="5" cm="1">
        <f t="array" ref="P217">MAX(IF((OutputTable[GroupByKey]=OutputTable[[#This Row],[GroupByKey]]),(OutputTable[GroupByKey]=OutputTable[[#This Row],[GroupByKey]])*OutputTable[RecordedValue]))</f>
        <v>0.87000527345659695</v>
      </c>
    </row>
    <row r="218" spans="1:16" x14ac:dyDescent="0.25">
      <c r="A218" t="s">
        <v>67</v>
      </c>
      <c r="B218" t="s">
        <v>69</v>
      </c>
      <c r="C218">
        <v>9</v>
      </c>
      <c r="D218" t="s">
        <v>114</v>
      </c>
      <c r="E218" t="s">
        <v>115</v>
      </c>
      <c r="F218" t="s">
        <v>96</v>
      </c>
      <c r="G218">
        <v>12562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10</v>
      </c>
      <c r="K218" s="5" cm="1">
        <f t="array" ref="K218">IFERROR(AVERAGE(IF((OutputTable[GroupByKey]=OutputTable[[#This Row],[GroupByKey]]),(OutputTable[GroupByKey]=OutputTable[[#This Row],[GroupByKey]])*OutputTable[RecordedValue])),0)</f>
        <v>12454.5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108.84979456929526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218" s="5" cm="1">
        <f t="array" ref="O218">MIN(IF((OutputTable[GroupByKey]=OutputTable[[#This Row],[GroupByKey]]),(OutputTable[GroupByKey]=OutputTable[[#This Row],[GroupByKey]])*OutputTable[RecordedValue]))</f>
        <v>12234</v>
      </c>
      <c r="P218" s="5" cm="1">
        <f t="array" ref="P218">MAX(IF((OutputTable[GroupByKey]=OutputTable[[#This Row],[GroupByKey]]),(OutputTable[GroupByKey]=OutputTable[[#This Row],[GroupByKey]])*OutputTable[RecordedValue]))</f>
        <v>12593</v>
      </c>
    </row>
    <row r="219" spans="1:16" x14ac:dyDescent="0.25">
      <c r="A219" t="s">
        <v>67</v>
      </c>
      <c r="B219" t="s">
        <v>69</v>
      </c>
      <c r="C219">
        <v>9</v>
      </c>
      <c r="D219" t="s">
        <v>116</v>
      </c>
      <c r="E219" t="s">
        <v>117</v>
      </c>
      <c r="F219" t="s">
        <v>96</v>
      </c>
      <c r="G219">
        <v>0.75553585059543105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10</v>
      </c>
      <c r="K219" s="5" cm="1">
        <f t="array" ref="K219">IFERROR(AVERAGE(IF((OutputTable[GroupByKey]=OutputTable[[#This Row],[GroupByKey]]),(OutputTable[GroupByKey]=OutputTable[[#This Row],[GroupByKey]])*OutputTable[RecordedValue])),0)</f>
        <v>0.75203828164859643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9.2748854731057942E-3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219" s="5" cm="1">
        <f t="array" ref="O219">MIN(IF((OutputTable[GroupByKey]=OutputTable[[#This Row],[GroupByKey]]),(OutputTable[GroupByKey]=OutputTable[[#This Row],[GroupByKey]])*OutputTable[RecordedValue]))</f>
        <v>0.73578099184835299</v>
      </c>
      <c r="P219" s="5" cm="1">
        <f t="array" ref="P219">MAX(IF((OutputTable[GroupByKey]=OutputTable[[#This Row],[GroupByKey]]),(OutputTable[GroupByKey]=OutputTable[[#This Row],[GroupByKey]])*OutputTable[RecordedValue]))</f>
        <v>0.76817992377286104</v>
      </c>
    </row>
    <row r="220" spans="1:16" x14ac:dyDescent="0.25">
      <c r="A220" t="s">
        <v>67</v>
      </c>
      <c r="B220" t="s">
        <v>69</v>
      </c>
      <c r="C220">
        <v>9</v>
      </c>
      <c r="D220" t="s">
        <v>118</v>
      </c>
      <c r="E220" t="s">
        <v>115</v>
      </c>
      <c r="F220" t="s">
        <v>96</v>
      </c>
      <c r="G220">
        <v>6224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10</v>
      </c>
      <c r="K220" s="5" cm="1">
        <f t="array" ref="K220">IFERROR(AVERAGE(IF((OutputTable[GroupByKey]=OutputTable[[#This Row],[GroupByKey]]),(OutputTable[GroupByKey]=OutputTable[[#This Row],[GroupByKey]])*OutputTable[RecordedValue])),0)</f>
        <v>6223.9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93.753162909608307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220" s="5" cm="1">
        <f t="array" ref="O220">MIN(IF((OutputTable[GroupByKey]=OutputTable[[#This Row],[GroupByKey]]),(OutputTable[GroupByKey]=OutputTable[[#This Row],[GroupByKey]])*OutputTable[RecordedValue]))</f>
        <v>6030</v>
      </c>
      <c r="P220" s="5" cm="1">
        <f t="array" ref="P220">MAX(IF((OutputTable[GroupByKey]=OutputTable[[#This Row],[GroupByKey]]),(OutputTable[GroupByKey]=OutputTable[[#This Row],[GroupByKey]])*OutputTable[RecordedValue]))</f>
        <v>6330</v>
      </c>
    </row>
    <row r="221" spans="1:16" x14ac:dyDescent="0.25">
      <c r="A221" t="s">
        <v>67</v>
      </c>
      <c r="B221" t="s">
        <v>69</v>
      </c>
      <c r="C221">
        <v>9</v>
      </c>
      <c r="D221" t="s">
        <v>119</v>
      </c>
      <c r="E221" t="s">
        <v>117</v>
      </c>
      <c r="F221" t="s">
        <v>96</v>
      </c>
      <c r="G221">
        <v>0.75434550443435999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10</v>
      </c>
      <c r="K221" s="5" cm="1">
        <f t="array" ref="K221">IFERROR(AVERAGE(IF((OutputTable[GroupByKey]=OutputTable[[#This Row],[GroupByKey]]),(OutputTable[GroupByKey]=OutputTable[[#This Row],[GroupByKey]])*OutputTable[RecordedValue])),0)</f>
        <v>0.75111586075292547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9.1926752531366566E-3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221" s="5" cm="1">
        <f t="array" ref="O221">MIN(IF((OutputTable[GroupByKey]=OutputTable[[#This Row],[GroupByKey]]),(OutputTable[GroupByKey]=OutputTable[[#This Row],[GroupByKey]])*OutputTable[RecordedValue]))</f>
        <v>0.73777590022083495</v>
      </c>
      <c r="P221" s="5" cm="1">
        <f t="array" ref="P221">MAX(IF((OutputTable[GroupByKey]=OutputTable[[#This Row],[GroupByKey]]),(OutputTable[GroupByKey]=OutputTable[[#This Row],[GroupByKey]])*OutputTable[RecordedValue]))</f>
        <v>0.76666045600624</v>
      </c>
    </row>
    <row r="222" spans="1:16" x14ac:dyDescent="0.25">
      <c r="A222" t="s">
        <v>67</v>
      </c>
      <c r="B222" t="s">
        <v>69</v>
      </c>
      <c r="C222">
        <v>9</v>
      </c>
      <c r="D222" t="s">
        <v>120</v>
      </c>
      <c r="E222" t="s">
        <v>115</v>
      </c>
      <c r="F222" t="s">
        <v>96</v>
      </c>
      <c r="G222">
        <v>6338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10</v>
      </c>
      <c r="K222" s="5" cm="1">
        <f t="array" ref="K222">IFERROR(AVERAGE(IF((OutputTable[GroupByKey]=OutputTable[[#This Row],[GroupByKey]]),(OutputTable[GroupByKey]=OutputTable[[#This Row],[GroupByKey]])*OutputTable[RecordedValue])),0)</f>
        <v>6230.6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52.995177977707456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222" s="5" cm="1">
        <f t="array" ref="O222">MIN(IF((OutputTable[GroupByKey]=OutputTable[[#This Row],[GroupByKey]]),(OutputTable[GroupByKey]=OutputTable[[#This Row],[GroupByKey]])*OutputTable[RecordedValue]))</f>
        <v>6182</v>
      </c>
      <c r="P222" s="5" cm="1">
        <f t="array" ref="P222">MAX(IF((OutputTable[GroupByKey]=OutputTable[[#This Row],[GroupByKey]]),(OutputTable[GroupByKey]=OutputTable[[#This Row],[GroupByKey]])*OutputTable[RecordedValue]))</f>
        <v>6338</v>
      </c>
    </row>
    <row r="223" spans="1:16" x14ac:dyDescent="0.25">
      <c r="A223" t="s">
        <v>67</v>
      </c>
      <c r="B223" t="s">
        <v>69</v>
      </c>
      <c r="C223">
        <v>9</v>
      </c>
      <c r="D223" t="s">
        <v>121</v>
      </c>
      <c r="E223" t="s">
        <v>117</v>
      </c>
      <c r="F223" t="s">
        <v>96</v>
      </c>
      <c r="G223">
        <v>0.75672619675650699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10</v>
      </c>
      <c r="K223" s="5" cm="1">
        <f t="array" ref="K223">IFERROR(AVERAGE(IF((OutputTable[GroupByKey]=OutputTable[[#This Row],[GroupByKey]]),(OutputTable[GroupByKey]=OutputTable[[#This Row],[GroupByKey]])*OutputTable[RecordedValue])),0)</f>
        <v>0.75296070254426462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1.0201996050203582E-2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223" s="5" cm="1">
        <f t="array" ref="O223">MIN(IF((OutputTable[GroupByKey]=OutputTable[[#This Row],[GroupByKey]]),(OutputTable[GroupByKey]=OutputTable[[#This Row],[GroupByKey]])*OutputTable[RecordedValue]))</f>
        <v>0.73378608347586405</v>
      </c>
      <c r="P223" s="5" cm="1">
        <f t="array" ref="P223">MAX(IF((OutputTable[GroupByKey]=OutputTable[[#This Row],[GroupByKey]]),(OutputTable[GroupByKey]=OutputTable[[#This Row],[GroupByKey]])*OutputTable[RecordedValue]))</f>
        <v>0.76969939153947697</v>
      </c>
    </row>
    <row r="224" spans="1:16" x14ac:dyDescent="0.25">
      <c r="A224" t="s">
        <v>67</v>
      </c>
      <c r="B224" t="s">
        <v>69</v>
      </c>
      <c r="C224">
        <v>9</v>
      </c>
      <c r="D224" t="s">
        <v>122</v>
      </c>
      <c r="E224" t="s">
        <v>123</v>
      </c>
      <c r="F224" t="s">
        <v>75</v>
      </c>
      <c r="G224">
        <v>12563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ProjectEntity 1.NumberInNumber InEntity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10</v>
      </c>
      <c r="K224" s="5" cm="1">
        <f t="array" ref="K224">IFERROR(AVERAGE(IF((OutputTable[GroupByKey]=OutputTable[[#This Row],[GroupByKey]]),(OutputTable[GroupByKey]=OutputTable[[#This Row],[GroupByKey]])*OutputTable[RecordedValue])),0)</f>
        <v>12455.3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109.29577606964813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224" s="5" cm="1">
        <f t="array" ref="O224">MIN(IF((OutputTable[GroupByKey]=OutputTable[[#This Row],[GroupByKey]]),(OutputTable[GroupByKey]=OutputTable[[#This Row],[GroupByKey]])*OutputTable[RecordedValue]))</f>
        <v>12234</v>
      </c>
      <c r="P224" s="5" cm="1">
        <f t="array" ref="P224">MAX(IF((OutputTable[GroupByKey]=OutputTable[[#This Row],[GroupByKey]]),(OutputTable[GroupByKey]=OutputTable[[#This Row],[GroupByKey]])*OutputTable[RecordedValue]))</f>
        <v>12594</v>
      </c>
    </row>
    <row r="225" spans="1:16" x14ac:dyDescent="0.25">
      <c r="A225" t="s">
        <v>67</v>
      </c>
      <c r="B225" t="s">
        <v>69</v>
      </c>
      <c r="C225">
        <v>9</v>
      </c>
      <c r="D225" t="s">
        <v>124</v>
      </c>
      <c r="E225" t="s">
        <v>125</v>
      </c>
      <c r="F225" t="s">
        <v>75</v>
      </c>
      <c r="G225">
        <v>12550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ProjectEntity 1.NumberOutNumber OutEntity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10</v>
      </c>
      <c r="K225" s="5" cm="1">
        <f t="array" ref="K225">IFERROR(AVERAGE(IF((OutputTable[GroupByKey]=OutputTable[[#This Row],[GroupByKey]]),(OutputTable[GroupByKey]=OutputTable[[#This Row],[GroupByKey]])*OutputTable[RecordedValue])),0)</f>
        <v>12441.9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109.66965548105516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225" s="5" cm="1">
        <f t="array" ref="O225">MIN(IF((OutputTable[GroupByKey]=OutputTable[[#This Row],[GroupByKey]]),(OutputTable[GroupByKey]=OutputTable[[#This Row],[GroupByKey]])*OutputTable[RecordedValue]))</f>
        <v>12224</v>
      </c>
      <c r="P225" s="5" cm="1">
        <f t="array" ref="P225">MAX(IF((OutputTable[GroupByKey]=OutputTable[[#This Row],[GroupByKey]]),(OutputTable[GroupByKey]=OutputTable[[#This Row],[GroupByKey]])*OutputTable[RecordedValue]))</f>
        <v>12584</v>
      </c>
    </row>
    <row r="226" spans="1:16" x14ac:dyDescent="0.25">
      <c r="A226" t="s">
        <v>67</v>
      </c>
      <c r="B226" t="s">
        <v>69</v>
      </c>
      <c r="C226">
        <v>9</v>
      </c>
      <c r="D226" t="s">
        <v>126</v>
      </c>
      <c r="E226" t="s">
        <v>115</v>
      </c>
      <c r="F226" t="s">
        <v>96</v>
      </c>
      <c r="G226">
        <v>4198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10</v>
      </c>
      <c r="K226" s="5" cm="1">
        <f t="array" ref="K226">IFERROR(AVERAGE(IF((OutputTable[GroupByKey]=OutputTable[[#This Row],[GroupByKey]]),(OutputTable[GroupByKey]=OutputTable[[#This Row],[GroupByKey]])*OutputTable[RecordedValue])),0)</f>
        <v>4151.1000000000004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38.420046850570081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226" s="5" cm="1">
        <f t="array" ref="O226">MIN(IF((OutputTable[GroupByKey]=OutputTable[[#This Row],[GroupByKey]]),(OutputTable[GroupByKey]=OutputTable[[#This Row],[GroupByKey]])*OutputTable[RecordedValue]))</f>
        <v>4077</v>
      </c>
      <c r="P226" s="5" cm="1">
        <f t="array" ref="P226">MAX(IF((OutputTable[GroupByKey]=OutputTable[[#This Row],[GroupByKey]]),(OutputTable[GroupByKey]=OutputTable[[#This Row],[GroupByKey]])*OutputTable[RecordedValue]))</f>
        <v>4202</v>
      </c>
    </row>
    <row r="227" spans="1:16" x14ac:dyDescent="0.25">
      <c r="A227" t="s">
        <v>67</v>
      </c>
      <c r="B227" t="s">
        <v>69</v>
      </c>
      <c r="C227">
        <v>9</v>
      </c>
      <c r="D227" t="s">
        <v>127</v>
      </c>
      <c r="E227" t="s">
        <v>117</v>
      </c>
      <c r="F227" t="s">
        <v>96</v>
      </c>
      <c r="G227">
        <v>0.87632698102425799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10</v>
      </c>
      <c r="K227" s="5" cm="1">
        <f t="array" ref="K227">IFERROR(AVERAGE(IF((OutputTable[GroupByKey]=OutputTable[[#This Row],[GroupByKey]]),(OutputTable[GroupByKey]=OutputTable[[#This Row],[GroupByKey]])*OutputTable[RecordedValue])),0)</f>
        <v>0.86617223927529052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7.3264677567561349E-3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227" s="5" cm="1">
        <f t="array" ref="O227">MIN(IF((OutputTable[GroupByKey]=OutputTable[[#This Row],[GroupByKey]]),(OutputTable[GroupByKey]=OutputTable[[#This Row],[GroupByKey]])*OutputTable[RecordedValue]))</f>
        <v>0.85300206766602205</v>
      </c>
      <c r="P227" s="5" cm="1">
        <f t="array" ref="P227">MAX(IF((OutputTable[GroupByKey]=OutputTable[[#This Row],[GroupByKey]]),(OutputTable[GroupByKey]=OutputTable[[#This Row],[GroupByKey]])*OutputTable[RecordedValue]))</f>
        <v>0.87632698102425799</v>
      </c>
    </row>
    <row r="228" spans="1:16" x14ac:dyDescent="0.25">
      <c r="A228" t="s">
        <v>67</v>
      </c>
      <c r="B228" t="s">
        <v>69</v>
      </c>
      <c r="C228">
        <v>9</v>
      </c>
      <c r="D228" t="s">
        <v>128</v>
      </c>
      <c r="E228" t="s">
        <v>115</v>
      </c>
      <c r="F228" t="s">
        <v>96</v>
      </c>
      <c r="G228">
        <v>4182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10</v>
      </c>
      <c r="K228" s="5" cm="1">
        <f t="array" ref="K228">IFERROR(AVERAGE(IF((OutputTable[GroupByKey]=OutputTable[[#This Row],[GroupByKey]]),(OutputTable[GroupByKey]=OutputTable[[#This Row],[GroupByKey]])*OutputTable[RecordedValue])),0)</f>
        <v>4147.7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35.339779286237771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228" s="5" cm="1">
        <f t="array" ref="O228">MIN(IF((OutputTable[GroupByKey]=OutputTable[[#This Row],[GroupByKey]]),(OutputTable[GroupByKey]=OutputTable[[#This Row],[GroupByKey]])*OutputTable[RecordedValue]))</f>
        <v>4072</v>
      </c>
      <c r="P228" s="5" cm="1">
        <f t="array" ref="P228">MAX(IF((OutputTable[GroupByKey]=OutputTable[[#This Row],[GroupByKey]]),(OutputTable[GroupByKey]=OutputTable[[#This Row],[GroupByKey]])*OutputTable[RecordedValue]))</f>
        <v>4199</v>
      </c>
    </row>
    <row r="229" spans="1:16" x14ac:dyDescent="0.25">
      <c r="A229" t="s">
        <v>67</v>
      </c>
      <c r="B229" t="s">
        <v>69</v>
      </c>
      <c r="C229">
        <v>9</v>
      </c>
      <c r="D229" t="s">
        <v>129</v>
      </c>
      <c r="E229" t="s">
        <v>117</v>
      </c>
      <c r="F229" t="s">
        <v>96</v>
      </c>
      <c r="G229">
        <v>0.872966031274238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10</v>
      </c>
      <c r="K229" s="5" cm="1">
        <f t="array" ref="K229">IFERROR(AVERAGE(IF((OutputTable[GroupByKey]=OutputTable[[#This Row],[GroupByKey]]),(OutputTable[GroupByKey]=OutputTable[[#This Row],[GroupByKey]])*OutputTable[RecordedValue])),0)</f>
        <v>0.86586513532824916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7.1981559947843117E-3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229" s="5" cm="1">
        <f t="array" ref="O229">MIN(IF((OutputTable[GroupByKey]=OutputTable[[#This Row],[GroupByKey]]),(OutputTable[GroupByKey]=OutputTable[[#This Row],[GroupByKey]])*OutputTable[RecordedValue]))</f>
        <v>0.85267322894137698</v>
      </c>
      <c r="P229" s="5" cm="1">
        <f t="array" ref="P229">MAX(IF((OutputTable[GroupByKey]=OutputTable[[#This Row],[GroupByKey]]),(OutputTable[GroupByKey]=OutputTable[[#This Row],[GroupByKey]])*OutputTable[RecordedValue]))</f>
        <v>0.87300868153341904</v>
      </c>
    </row>
    <row r="230" spans="1:16" x14ac:dyDescent="0.25">
      <c r="A230" t="s">
        <v>67</v>
      </c>
      <c r="B230" t="s">
        <v>69</v>
      </c>
      <c r="C230">
        <v>9</v>
      </c>
      <c r="D230" t="s">
        <v>130</v>
      </c>
      <c r="E230" t="s">
        <v>115</v>
      </c>
      <c r="F230" t="s">
        <v>96</v>
      </c>
      <c r="G230">
        <v>4173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10</v>
      </c>
      <c r="K230" s="5" cm="1">
        <f t="array" ref="K230">IFERROR(AVERAGE(IF((OutputTable[GroupByKey]=OutputTable[[#This Row],[GroupByKey]]),(OutputTable[GroupByKey]=OutputTable[[#This Row],[GroupByKey]])*OutputTable[RecordedValue])),0)</f>
        <v>4145.8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38.883872692358665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230" s="5" cm="1">
        <f t="array" ref="O230">MIN(IF((OutputTable[GroupByKey]=OutputTable[[#This Row],[GroupByKey]]),(OutputTable[GroupByKey]=OutputTable[[#This Row],[GroupByKey]])*OutputTable[RecordedValue]))</f>
        <v>4076</v>
      </c>
      <c r="P230" s="5" cm="1">
        <f t="array" ref="P230">MAX(IF((OutputTable[GroupByKey]=OutputTable[[#This Row],[GroupByKey]]),(OutputTable[GroupByKey]=OutputTable[[#This Row],[GroupByKey]])*OutputTable[RecordedValue]))</f>
        <v>4184</v>
      </c>
    </row>
    <row r="231" spans="1:16" x14ac:dyDescent="0.25">
      <c r="A231" t="s">
        <v>67</v>
      </c>
      <c r="B231" t="s">
        <v>69</v>
      </c>
      <c r="C231">
        <v>9</v>
      </c>
      <c r="D231" t="s">
        <v>131</v>
      </c>
      <c r="E231" t="s">
        <v>117</v>
      </c>
      <c r="F231" t="s">
        <v>96</v>
      </c>
      <c r="G231">
        <v>0.87049911855662898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10</v>
      </c>
      <c r="K231" s="5" cm="1">
        <f t="array" ref="K231">IFERROR(AVERAGE(IF((OutputTable[GroupByKey]=OutputTable[[#This Row],[GroupByKey]]),(OutputTable[GroupByKey]=OutputTable[[#This Row],[GroupByKey]])*OutputTable[RecordedValue])),0)</f>
        <v>0.86584756987747569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7.1198499498994544E-3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231" s="5" cm="1">
        <f t="array" ref="O231">MIN(IF((OutputTable[GroupByKey]=OutputTable[[#This Row],[GroupByKey]]),(OutputTable[GroupByKey]=OutputTable[[#This Row],[GroupByKey]])*OutputTable[RecordedValue]))</f>
        <v>0.85312589705184705</v>
      </c>
      <c r="P231" s="5" cm="1">
        <f t="array" ref="P231">MAX(IF((OutputTable[GroupByKey]=OutputTable[[#This Row],[GroupByKey]]),(OutputTable[GroupByKey]=OutputTable[[#This Row],[GroupByKey]])*OutputTable[RecordedValue]))</f>
        <v>0.87436351179675398</v>
      </c>
    </row>
    <row r="232" spans="1:16" x14ac:dyDescent="0.25">
      <c r="A232" t="s">
        <v>67</v>
      </c>
      <c r="B232" t="s">
        <v>69</v>
      </c>
      <c r="C232">
        <v>9</v>
      </c>
      <c r="D232" t="s">
        <v>132</v>
      </c>
      <c r="E232" t="s">
        <v>125</v>
      </c>
      <c r="F232" t="s">
        <v>133</v>
      </c>
      <c r="G232">
        <v>12550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ProjectSystem.NumberOutNumber OutSystem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10</v>
      </c>
      <c r="K232" s="5" cm="1">
        <f t="array" ref="K232">IFERROR(AVERAGE(IF((OutputTable[GroupByKey]=OutputTable[[#This Row],[GroupByKey]]),(OutputTable[GroupByKey]=OutputTable[[#This Row],[GroupByKey]])*OutputTable[RecordedValue])),0)</f>
        <v>12441.9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109.66965548105516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232" s="5" cm="1">
        <f t="array" ref="O232">MIN(IF((OutputTable[GroupByKey]=OutputTable[[#This Row],[GroupByKey]]),(OutputTable[GroupByKey]=OutputTable[[#This Row],[GroupByKey]])*OutputTable[RecordedValue]))</f>
        <v>12224</v>
      </c>
      <c r="P232" s="5" cm="1">
        <f t="array" ref="P232">MAX(IF((OutputTable[GroupByKey]=OutputTable[[#This Row],[GroupByKey]]),(OutputTable[GroupByKey]=OutputTable[[#This Row],[GroupByKey]])*OutputTable[RecordedValue]))</f>
        <v>12584</v>
      </c>
    </row>
    <row r="233" spans="1:16" x14ac:dyDescent="0.25">
      <c r="A233" t="s">
        <v>67</v>
      </c>
      <c r="B233" t="s">
        <v>69</v>
      </c>
      <c r="C233">
        <v>9</v>
      </c>
      <c r="D233" t="s">
        <v>134</v>
      </c>
      <c r="E233" t="s">
        <v>115</v>
      </c>
      <c r="F233" t="s">
        <v>96</v>
      </c>
      <c r="G233">
        <v>14088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10</v>
      </c>
      <c r="K233" s="5" cm="1">
        <f t="array" ref="K233">IFERROR(AVERAGE(IF((OutputTable[GroupByKey]=OutputTable[[#This Row],[GroupByKey]]),(OutputTable[GroupByKey]=OutputTable[[#This Row],[GroupByKey]])*OutputTable[RecordedValue])),0)</f>
        <v>14003.5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154.71640723164001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233" s="5" cm="1">
        <f t="array" ref="O233">MIN(IF((OutputTable[GroupByKey]=OutputTable[[#This Row],[GroupByKey]]),(OutputTable[GroupByKey]=OutputTable[[#This Row],[GroupByKey]])*OutputTable[RecordedValue]))</f>
        <v>13729</v>
      </c>
      <c r="P233" s="5" cm="1">
        <f t="array" ref="P233">MAX(IF((OutputTable[GroupByKey]=OutputTable[[#This Row],[GroupByKey]]),(OutputTable[GroupByKey]=OutputTable[[#This Row],[GroupByKey]])*OutputTable[RecordedValue]))</f>
        <v>14205</v>
      </c>
    </row>
    <row r="234" spans="1:16" x14ac:dyDescent="0.25">
      <c r="A234" t="s">
        <v>67</v>
      </c>
      <c r="B234" t="s">
        <v>69</v>
      </c>
      <c r="C234">
        <v>9</v>
      </c>
      <c r="D234" t="s">
        <v>135</v>
      </c>
      <c r="E234" t="s">
        <v>117</v>
      </c>
      <c r="F234" t="s">
        <v>96</v>
      </c>
      <c r="G234">
        <v>0.85796950456786103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10</v>
      </c>
      <c r="K234" s="5" cm="1">
        <f t="array" ref="K234">IFERROR(AVERAGE(IF((OutputTable[GroupByKey]=OutputTable[[#This Row],[GroupByKey]]),(OutputTable[GroupByKey]=OutputTable[[#This Row],[GroupByKey]])*OutputTable[RecordedValue])),0)</f>
        <v>0.85369868202434152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9.4705605009894993E-3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234" s="5" cm="1">
        <f t="array" ref="O234">MIN(IF((OutputTable[GroupByKey]=OutputTable[[#This Row],[GroupByKey]]),(OutputTable[GroupByKey]=OutputTable[[#This Row],[GroupByKey]])*OutputTable[RecordedValue]))</f>
        <v>0.83618943731414597</v>
      </c>
      <c r="P234" s="5" cm="1">
        <f t="array" ref="P234">MAX(IF((OutputTable[GroupByKey]=OutputTable[[#This Row],[GroupByKey]]),(OutputTable[GroupByKey]=OutputTable[[#This Row],[GroupByKey]])*OutputTable[RecordedValue]))</f>
        <v>0.86586763783419696</v>
      </c>
    </row>
    <row r="235" spans="1:16" x14ac:dyDescent="0.25">
      <c r="A235" t="s">
        <v>67</v>
      </c>
      <c r="B235" t="s">
        <v>69</v>
      </c>
      <c r="C235">
        <v>9</v>
      </c>
      <c r="D235" t="s">
        <v>136</v>
      </c>
      <c r="E235" t="s">
        <v>115</v>
      </c>
      <c r="F235" t="s">
        <v>96</v>
      </c>
      <c r="G235">
        <v>9390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10</v>
      </c>
      <c r="K235" s="5" cm="1">
        <f t="array" ref="K235">IFERROR(AVERAGE(IF((OutputTable[GroupByKey]=OutputTable[[#This Row],[GroupByKey]]),(OutputTable[GroupByKey]=OutputTable[[#This Row],[GroupByKey]])*OutputTable[RecordedValue])),0)</f>
        <v>9367.5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139.5916664179253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235" s="5" cm="1">
        <f t="array" ref="O235">MIN(IF((OutputTable[GroupByKey]=OutputTable[[#This Row],[GroupByKey]]),(OutputTable[GroupByKey]=OutputTable[[#This Row],[GroupByKey]])*OutputTable[RecordedValue]))</f>
        <v>9192</v>
      </c>
      <c r="P235" s="5" cm="1">
        <f t="array" ref="P235">MAX(IF((OutputTable[GroupByKey]=OutputTable[[#This Row],[GroupByKey]]),(OutputTable[GroupByKey]=OutputTable[[#This Row],[GroupByKey]])*OutputTable[RecordedValue]))</f>
        <v>9577</v>
      </c>
    </row>
    <row r="236" spans="1:16" x14ac:dyDescent="0.25">
      <c r="A236" t="s">
        <v>67</v>
      </c>
      <c r="B236" t="s">
        <v>69</v>
      </c>
      <c r="C236">
        <v>9</v>
      </c>
      <c r="D236" t="s">
        <v>137</v>
      </c>
      <c r="E236" t="s">
        <v>117</v>
      </c>
      <c r="F236" t="s">
        <v>96</v>
      </c>
      <c r="G236">
        <v>0.77980236616475795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10</v>
      </c>
      <c r="K236" s="5" cm="1">
        <f t="array" ref="K236">IFERROR(AVERAGE(IF((OutputTable[GroupByKey]=OutputTable[[#This Row],[GroupByKey]]),(OutputTable[GroupByKey]=OutputTable[[#This Row],[GroupByKey]])*OutputTable[RecordedValue])),0)</f>
        <v>0.77500127942574837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1.1134375758682289E-2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236" s="5" cm="1">
        <f t="array" ref="O236">MIN(IF((OutputTable[GroupByKey]=OutputTable[[#This Row],[GroupByKey]]),(OutputTable[GroupByKey]=OutputTable[[#This Row],[GroupByKey]])*OutputTable[RecordedValue]))</f>
        <v>0.75864843854708297</v>
      </c>
      <c r="P236" s="5" cm="1">
        <f t="array" ref="P236">MAX(IF((OutputTable[GroupByKey]=OutputTable[[#This Row],[GroupByKey]]),(OutputTable[GroupByKey]=OutputTable[[#This Row],[GroupByKey]])*OutputTable[RecordedValue]))</f>
        <v>0.79252596119945096</v>
      </c>
    </row>
    <row r="237" spans="1:16" x14ac:dyDescent="0.25">
      <c r="A237" t="s">
        <v>67</v>
      </c>
      <c r="B237" t="s">
        <v>69</v>
      </c>
      <c r="C237">
        <v>9</v>
      </c>
      <c r="D237" t="s">
        <v>138</v>
      </c>
      <c r="E237" t="s">
        <v>115</v>
      </c>
      <c r="F237" t="s">
        <v>96</v>
      </c>
      <c r="G237">
        <v>12558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10</v>
      </c>
      <c r="K237" s="5" cm="1">
        <f t="array" ref="K237">IFERROR(AVERAGE(IF((OutputTable[GroupByKey]=OutputTable[[#This Row],[GroupByKey]]),(OutputTable[GroupByKey]=OutputTable[[#This Row],[GroupByKey]])*OutputTable[RecordedValue])),0)</f>
        <v>12449.2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108.68691017985765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237" s="5" cm="1">
        <f t="array" ref="O237">MIN(IF((OutputTable[GroupByKey]=OutputTable[[#This Row],[GroupByKey]]),(OutputTable[GroupByKey]=OutputTable[[#This Row],[GroupByKey]])*OutputTable[RecordedValue]))</f>
        <v>12231</v>
      </c>
      <c r="P237" s="5" cm="1">
        <f t="array" ref="P237">MAX(IF((OutputTable[GroupByKey]=OutputTable[[#This Row],[GroupByKey]]),(OutputTable[GroupByKey]=OutputTable[[#This Row],[GroupByKey]])*OutputTable[RecordedValue]))</f>
        <v>12589</v>
      </c>
    </row>
    <row r="238" spans="1:16" x14ac:dyDescent="0.25">
      <c r="A238" t="s">
        <v>67</v>
      </c>
      <c r="B238" t="s">
        <v>69</v>
      </c>
      <c r="C238">
        <v>9</v>
      </c>
      <c r="D238" t="s">
        <v>139</v>
      </c>
      <c r="E238" t="s">
        <v>117</v>
      </c>
      <c r="F238" t="s">
        <v>96</v>
      </c>
      <c r="G238">
        <v>0.87000527345659695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10</v>
      </c>
      <c r="K238" s="5" cm="1">
        <f t="array" ref="K238">IFERROR(AVERAGE(IF((OutputTable[GroupByKey]=OutputTable[[#This Row],[GroupByKey]]),(OutputTable[GroupByKey]=OutputTable[[#This Row],[GroupByKey]])*OutputTable[RecordedValue])),0)</f>
        <v>0.85958220767724303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8.2249879280646958E-3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238" s="5" cm="1">
        <f t="array" ref="O238">MIN(IF((OutputTable[GroupByKey]=OutputTable[[#This Row],[GroupByKey]]),(OutputTable[GroupByKey]=OutputTable[[#This Row],[GroupByKey]])*OutputTable[RecordedValue]))</f>
        <v>0.84465777371794004</v>
      </c>
      <c r="P238" s="5" cm="1">
        <f t="array" ref="P238">MAX(IF((OutputTable[GroupByKey]=OutputTable[[#This Row],[GroupByKey]]),(OutputTable[GroupByKey]=OutputTable[[#This Row],[GroupByKey]])*OutputTable[RecordedValue]))</f>
        <v>0.87000527345659695</v>
      </c>
    </row>
    <row r="239" spans="1:16" x14ac:dyDescent="0.25">
      <c r="A239" t="s">
        <v>67</v>
      </c>
      <c r="B239" t="s">
        <v>69</v>
      </c>
      <c r="C239">
        <v>9</v>
      </c>
      <c r="D239" t="s">
        <v>140</v>
      </c>
      <c r="E239" t="s">
        <v>115</v>
      </c>
      <c r="F239" t="s">
        <v>96</v>
      </c>
      <c r="G239">
        <v>14088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10</v>
      </c>
      <c r="K239" s="5" cm="1">
        <f t="array" ref="K239">IFERROR(AVERAGE(IF((OutputTable[GroupByKey]=OutputTable[[#This Row],[GroupByKey]]),(OutputTable[GroupByKey]=OutputTable[[#This Row],[GroupByKey]])*OutputTable[RecordedValue])),0)</f>
        <v>14003.5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154.71640723164001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239" s="5" cm="1">
        <f t="array" ref="O239">MIN(IF((OutputTable[GroupByKey]=OutputTable[[#This Row],[GroupByKey]]),(OutputTable[GroupByKey]=OutputTable[[#This Row],[GroupByKey]])*OutputTable[RecordedValue]))</f>
        <v>13729</v>
      </c>
      <c r="P239" s="5" cm="1">
        <f t="array" ref="P239">MAX(IF((OutputTable[GroupByKey]=OutputTable[[#This Row],[GroupByKey]]),(OutputTable[GroupByKey]=OutputTable[[#This Row],[GroupByKey]])*OutputTable[RecordedValue]))</f>
        <v>14205</v>
      </c>
    </row>
    <row r="240" spans="1:16" x14ac:dyDescent="0.25">
      <c r="A240" t="s">
        <v>67</v>
      </c>
      <c r="B240" t="s">
        <v>69</v>
      </c>
      <c r="C240">
        <v>9</v>
      </c>
      <c r="D240" t="s">
        <v>141</v>
      </c>
      <c r="E240" t="s">
        <v>117</v>
      </c>
      <c r="F240" t="s">
        <v>96</v>
      </c>
      <c r="G240">
        <v>0.85796950456786103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10</v>
      </c>
      <c r="K240" s="5" cm="1">
        <f t="array" ref="K240">IFERROR(AVERAGE(IF((OutputTable[GroupByKey]=OutputTable[[#This Row],[GroupByKey]]),(OutputTable[GroupByKey]=OutputTable[[#This Row],[GroupByKey]])*OutputTable[RecordedValue])),0)</f>
        <v>0.85369868202434152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9.4705605009894993E-3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240" s="5" cm="1">
        <f t="array" ref="O240">MIN(IF((OutputTable[GroupByKey]=OutputTable[[#This Row],[GroupByKey]]),(OutputTable[GroupByKey]=OutputTable[[#This Row],[GroupByKey]])*OutputTable[RecordedValue]))</f>
        <v>0.83618943731414597</v>
      </c>
      <c r="P240" s="5" cm="1">
        <f t="array" ref="P240">MAX(IF((OutputTable[GroupByKey]=OutputTable[[#This Row],[GroupByKey]]),(OutputTable[GroupByKey]=OutputTable[[#This Row],[GroupByKey]])*OutputTable[RecordedValue]))</f>
        <v>0.86586763783419696</v>
      </c>
    </row>
    <row r="241" spans="1:16" x14ac:dyDescent="0.25">
      <c r="A241" t="s">
        <v>67</v>
      </c>
      <c r="B241" t="s">
        <v>69</v>
      </c>
      <c r="C241">
        <v>9</v>
      </c>
      <c r="D241" t="s">
        <v>142</v>
      </c>
      <c r="E241" t="s">
        <v>115</v>
      </c>
      <c r="F241" t="s">
        <v>96</v>
      </c>
      <c r="G241">
        <v>9390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10</v>
      </c>
      <c r="K241" s="5" cm="1">
        <f t="array" ref="K241">IFERROR(AVERAGE(IF((OutputTable[GroupByKey]=OutputTable[[#This Row],[GroupByKey]]),(OutputTable[GroupByKey]=OutputTable[[#This Row],[GroupByKey]])*OutputTable[RecordedValue])),0)</f>
        <v>9367.5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139.5916664179253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241" s="5" cm="1">
        <f t="array" ref="O241">MIN(IF((OutputTable[GroupByKey]=OutputTable[[#This Row],[GroupByKey]]),(OutputTable[GroupByKey]=OutputTable[[#This Row],[GroupByKey]])*OutputTable[RecordedValue]))</f>
        <v>9192</v>
      </c>
      <c r="P241" s="5" cm="1">
        <f t="array" ref="P241">MAX(IF((OutputTable[GroupByKey]=OutputTable[[#This Row],[GroupByKey]]),(OutputTable[GroupByKey]=OutputTable[[#This Row],[GroupByKey]])*OutputTable[RecordedValue]))</f>
        <v>9577</v>
      </c>
    </row>
    <row r="242" spans="1:16" x14ac:dyDescent="0.25">
      <c r="A242" t="s">
        <v>67</v>
      </c>
      <c r="B242" t="s">
        <v>69</v>
      </c>
      <c r="C242">
        <v>9</v>
      </c>
      <c r="D242" t="s">
        <v>143</v>
      </c>
      <c r="E242" t="s">
        <v>117</v>
      </c>
      <c r="F242" t="s">
        <v>96</v>
      </c>
      <c r="G242">
        <v>0.77980236616475795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10</v>
      </c>
      <c r="K242" s="5" cm="1">
        <f t="array" ref="K242">IFERROR(AVERAGE(IF((OutputTable[GroupByKey]=OutputTable[[#This Row],[GroupByKey]]),(OutputTable[GroupByKey]=OutputTable[[#This Row],[GroupByKey]])*OutputTable[RecordedValue])),0)</f>
        <v>0.77500127942574837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1.1134375758682289E-2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242" s="5" cm="1">
        <f t="array" ref="O242">MIN(IF((OutputTable[GroupByKey]=OutputTable[[#This Row],[GroupByKey]]),(OutputTable[GroupByKey]=OutputTable[[#This Row],[GroupByKey]])*OutputTable[RecordedValue]))</f>
        <v>0.75864843854708297</v>
      </c>
      <c r="P242" s="5" cm="1">
        <f t="array" ref="P242">MAX(IF((OutputTable[GroupByKey]=OutputTable[[#This Row],[GroupByKey]]),(OutputTable[GroupByKey]=OutputTable[[#This Row],[GroupByKey]])*OutputTable[RecordedValue]))</f>
        <v>0.79252596119945096</v>
      </c>
    </row>
    <row r="243" spans="1:16" x14ac:dyDescent="0.25">
      <c r="A243" t="s">
        <v>67</v>
      </c>
      <c r="B243" t="s">
        <v>69</v>
      </c>
      <c r="C243">
        <v>9</v>
      </c>
      <c r="D243" t="s">
        <v>144</v>
      </c>
      <c r="E243" t="s">
        <v>115</v>
      </c>
      <c r="F243" t="s">
        <v>96</v>
      </c>
      <c r="G243">
        <v>12558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10</v>
      </c>
      <c r="K243" s="5" cm="1">
        <f t="array" ref="K243">IFERROR(AVERAGE(IF((OutputTable[GroupByKey]=OutputTable[[#This Row],[GroupByKey]]),(OutputTable[GroupByKey]=OutputTable[[#This Row],[GroupByKey]])*OutputTable[RecordedValue])),0)</f>
        <v>12449.2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108.68691017985765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243" s="5" cm="1">
        <f t="array" ref="O243">MIN(IF((OutputTable[GroupByKey]=OutputTable[[#This Row],[GroupByKey]]),(OutputTable[GroupByKey]=OutputTable[[#This Row],[GroupByKey]])*OutputTable[RecordedValue]))</f>
        <v>12231</v>
      </c>
      <c r="P243" s="5" cm="1">
        <f t="array" ref="P243">MAX(IF((OutputTable[GroupByKey]=OutputTable[[#This Row],[GroupByKey]]),(OutputTable[GroupByKey]=OutputTable[[#This Row],[GroupByKey]])*OutputTable[RecordedValue]))</f>
        <v>12589</v>
      </c>
    </row>
    <row r="244" spans="1:16" x14ac:dyDescent="0.25">
      <c r="A244" t="s">
        <v>67</v>
      </c>
      <c r="B244" t="s">
        <v>69</v>
      </c>
      <c r="C244">
        <v>9</v>
      </c>
      <c r="D244" t="s">
        <v>145</v>
      </c>
      <c r="E244" t="s">
        <v>117</v>
      </c>
      <c r="F244" t="s">
        <v>96</v>
      </c>
      <c r="G244">
        <v>0.87000527345659695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10</v>
      </c>
      <c r="K244" s="5" cm="1">
        <f t="array" ref="K244">IFERROR(AVERAGE(IF((OutputTable[GroupByKey]=OutputTable[[#This Row],[GroupByKey]]),(OutputTable[GroupByKey]=OutputTable[[#This Row],[GroupByKey]])*OutputTable[RecordedValue])),0)</f>
        <v>0.85958220767724303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8.2249879280646958E-3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244" s="5" cm="1">
        <f t="array" ref="O244">MIN(IF((OutputTable[GroupByKey]=OutputTable[[#This Row],[GroupByKey]]),(OutputTable[GroupByKey]=OutputTable[[#This Row],[GroupByKey]])*OutputTable[RecordedValue]))</f>
        <v>0.84465777371794004</v>
      </c>
      <c r="P244" s="5" cm="1">
        <f t="array" ref="P244">MAX(IF((OutputTable[GroupByKey]=OutputTable[[#This Row],[GroupByKey]]),(OutputTable[GroupByKey]=OutputTable[[#This Row],[GroupByKey]])*OutputTable[RecordedValue]))</f>
        <v>0.87000527345659695</v>
      </c>
    </row>
    <row r="245" spans="1:16" x14ac:dyDescent="0.25">
      <c r="A245" t="s">
        <v>67</v>
      </c>
      <c r="B245" t="s">
        <v>69</v>
      </c>
      <c r="C245">
        <v>10</v>
      </c>
      <c r="D245" t="s">
        <v>114</v>
      </c>
      <c r="E245" t="s">
        <v>115</v>
      </c>
      <c r="F245" t="s">
        <v>96</v>
      </c>
      <c r="G245">
        <v>12234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10</v>
      </c>
      <c r="K245" s="5" cm="1">
        <f t="array" ref="K245">IFERROR(AVERAGE(IF((OutputTable[GroupByKey]=OutputTable[[#This Row],[GroupByKey]]),(OutputTable[GroupByKey]=OutputTable[[#This Row],[GroupByKey]])*OutputTable[RecordedValue])),0)</f>
        <v>12454.5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108.84979456929526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77.866452258633501</v>
      </c>
      <c r="O245" s="5" cm="1">
        <f t="array" ref="O245">MIN(IF((OutputTable[GroupByKey]=OutputTable[[#This Row],[GroupByKey]]),(OutputTable[GroupByKey]=OutputTable[[#This Row],[GroupByKey]])*OutputTable[RecordedValue]))</f>
        <v>12234</v>
      </c>
      <c r="P245" s="5" cm="1">
        <f t="array" ref="P245">MAX(IF((OutputTable[GroupByKey]=OutputTable[[#This Row],[GroupByKey]]),(OutputTable[GroupByKey]=OutputTable[[#This Row],[GroupByKey]])*OutputTable[RecordedValue]))</f>
        <v>12593</v>
      </c>
    </row>
    <row r="246" spans="1:16" x14ac:dyDescent="0.25">
      <c r="A246" t="s">
        <v>67</v>
      </c>
      <c r="B246" t="s">
        <v>69</v>
      </c>
      <c r="C246">
        <v>10</v>
      </c>
      <c r="D246" t="s">
        <v>116</v>
      </c>
      <c r="E246" t="s">
        <v>117</v>
      </c>
      <c r="F246" t="s">
        <v>96</v>
      </c>
      <c r="G246">
        <v>0.73578099184835299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10</v>
      </c>
      <c r="K246" s="5" cm="1">
        <f t="array" ref="K246">IFERROR(AVERAGE(IF((OutputTable[GroupByKey]=OutputTable[[#This Row],[GroupByKey]]),(OutputTable[GroupByKey]=OutputTable[[#This Row],[GroupByKey]])*OutputTable[RecordedValue])),0)</f>
        <v>0.75203828164859643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9.2748854731057942E-3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6.6348533752732253E-3</v>
      </c>
      <c r="O246" s="5" cm="1">
        <f t="array" ref="O246">MIN(IF((OutputTable[GroupByKey]=OutputTable[[#This Row],[GroupByKey]]),(OutputTable[GroupByKey]=OutputTable[[#This Row],[GroupByKey]])*OutputTable[RecordedValue]))</f>
        <v>0.73578099184835299</v>
      </c>
      <c r="P246" s="5" cm="1">
        <f t="array" ref="P246">MAX(IF((OutputTable[GroupByKey]=OutputTable[[#This Row],[GroupByKey]]),(OutputTable[GroupByKey]=OutputTable[[#This Row],[GroupByKey]])*OutputTable[RecordedValue]))</f>
        <v>0.76817992377286104</v>
      </c>
    </row>
    <row r="247" spans="1:16" x14ac:dyDescent="0.25">
      <c r="A247" t="s">
        <v>67</v>
      </c>
      <c r="B247" t="s">
        <v>69</v>
      </c>
      <c r="C247">
        <v>10</v>
      </c>
      <c r="D247" t="s">
        <v>118</v>
      </c>
      <c r="E247" t="s">
        <v>115</v>
      </c>
      <c r="F247" t="s">
        <v>96</v>
      </c>
      <c r="G247">
        <v>6030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10</v>
      </c>
      <c r="K247" s="5" cm="1">
        <f t="array" ref="K247">IFERROR(AVERAGE(IF((OutputTable[GroupByKey]=OutputTable[[#This Row],[GroupByKey]]),(OutputTable[GroupByKey]=OutputTable[[#This Row],[GroupByKey]])*OutputTable[RecordedValue])),0)</f>
        <v>6223.9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93.753162909608307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67.066972543981066</v>
      </c>
      <c r="O247" s="5" cm="1">
        <f t="array" ref="O247">MIN(IF((OutputTable[GroupByKey]=OutputTable[[#This Row],[GroupByKey]]),(OutputTable[GroupByKey]=OutputTable[[#This Row],[GroupByKey]])*OutputTable[RecordedValue]))</f>
        <v>6030</v>
      </c>
      <c r="P247" s="5" cm="1">
        <f t="array" ref="P247">MAX(IF((OutputTable[GroupByKey]=OutputTable[[#This Row],[GroupByKey]]),(OutputTable[GroupByKey]=OutputTable[[#This Row],[GroupByKey]])*OutputTable[RecordedValue]))</f>
        <v>6330</v>
      </c>
    </row>
    <row r="248" spans="1:16" x14ac:dyDescent="0.25">
      <c r="A248" t="s">
        <v>67</v>
      </c>
      <c r="B248" t="s">
        <v>69</v>
      </c>
      <c r="C248">
        <v>10</v>
      </c>
      <c r="D248" t="s">
        <v>119</v>
      </c>
      <c r="E248" t="s">
        <v>117</v>
      </c>
      <c r="F248" t="s">
        <v>96</v>
      </c>
      <c r="G248">
        <v>0.73777590022083495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10</v>
      </c>
      <c r="K248" s="5" cm="1">
        <f t="array" ref="K248">IFERROR(AVERAGE(IF((OutputTable[GroupByKey]=OutputTable[[#This Row],[GroupByKey]]),(OutputTable[GroupByKey]=OutputTable[[#This Row],[GroupByKey]])*OutputTable[RecordedValue])),0)</f>
        <v>0.75111586075292547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9.1926752531366566E-3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6.5760437266769349E-3</v>
      </c>
      <c r="O248" s="5" cm="1">
        <f t="array" ref="O248">MIN(IF((OutputTable[GroupByKey]=OutputTable[[#This Row],[GroupByKey]]),(OutputTable[GroupByKey]=OutputTable[[#This Row],[GroupByKey]])*OutputTable[RecordedValue]))</f>
        <v>0.73777590022083495</v>
      </c>
      <c r="P248" s="5" cm="1">
        <f t="array" ref="P248">MAX(IF((OutputTable[GroupByKey]=OutputTable[[#This Row],[GroupByKey]]),(OutputTable[GroupByKey]=OutputTable[[#This Row],[GroupByKey]])*OutputTable[RecordedValue]))</f>
        <v>0.76666045600624</v>
      </c>
    </row>
    <row r="249" spans="1:16" x14ac:dyDescent="0.25">
      <c r="A249" t="s">
        <v>67</v>
      </c>
      <c r="B249" t="s">
        <v>69</v>
      </c>
      <c r="C249">
        <v>10</v>
      </c>
      <c r="D249" t="s">
        <v>120</v>
      </c>
      <c r="E249" t="s">
        <v>115</v>
      </c>
      <c r="F249" t="s">
        <v>96</v>
      </c>
      <c r="G249">
        <v>6204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10</v>
      </c>
      <c r="K249" s="5" cm="1">
        <f t="array" ref="K249">IFERROR(AVERAGE(IF((OutputTable[GroupByKey]=OutputTable[[#This Row],[GroupByKey]]),(OutputTable[GroupByKey]=OutputTable[[#This Row],[GroupByKey]])*OutputTable[RecordedValue])),0)</f>
        <v>6230.6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52.995177977707456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37.910466549497514</v>
      </c>
      <c r="O249" s="5" cm="1">
        <f t="array" ref="O249">MIN(IF((OutputTable[GroupByKey]=OutputTable[[#This Row],[GroupByKey]]),(OutputTable[GroupByKey]=OutputTable[[#This Row],[GroupByKey]])*OutputTable[RecordedValue]))</f>
        <v>6182</v>
      </c>
      <c r="P249" s="5" cm="1">
        <f t="array" ref="P249">MAX(IF((OutputTable[GroupByKey]=OutputTable[[#This Row],[GroupByKey]]),(OutputTable[GroupByKey]=OutputTable[[#This Row],[GroupByKey]])*OutputTable[RecordedValue]))</f>
        <v>6338</v>
      </c>
    </row>
    <row r="250" spans="1:16" x14ac:dyDescent="0.25">
      <c r="A250" t="s">
        <v>67</v>
      </c>
      <c r="B250" t="s">
        <v>69</v>
      </c>
      <c r="C250">
        <v>10</v>
      </c>
      <c r="D250" t="s">
        <v>121</v>
      </c>
      <c r="E250" t="s">
        <v>117</v>
      </c>
      <c r="F250" t="s">
        <v>96</v>
      </c>
      <c r="G250">
        <v>0.73378608347586405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10</v>
      </c>
      <c r="K250" s="5" cm="1">
        <f t="array" ref="K250">IFERROR(AVERAGE(IF((OutputTable[GroupByKey]=OutputTable[[#This Row],[GroupByKey]]),(OutputTable[GroupByKey]=OutputTable[[#This Row],[GroupByKey]])*OutputTable[RecordedValue])),0)</f>
        <v>0.75296070254426462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1.0201996050203582E-2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7.298068329198576E-3</v>
      </c>
      <c r="O250" s="5" cm="1">
        <f t="array" ref="O250">MIN(IF((OutputTable[GroupByKey]=OutputTable[[#This Row],[GroupByKey]]),(OutputTable[GroupByKey]=OutputTable[[#This Row],[GroupByKey]])*OutputTable[RecordedValue]))</f>
        <v>0.73378608347586405</v>
      </c>
      <c r="P250" s="5" cm="1">
        <f t="array" ref="P250">MAX(IF((OutputTable[GroupByKey]=OutputTable[[#This Row],[GroupByKey]]),(OutputTable[GroupByKey]=OutputTable[[#This Row],[GroupByKey]])*OutputTable[RecordedValue]))</f>
        <v>0.76969939153947697</v>
      </c>
    </row>
    <row r="251" spans="1:16" x14ac:dyDescent="0.25">
      <c r="A251" t="s">
        <v>67</v>
      </c>
      <c r="B251" t="s">
        <v>69</v>
      </c>
      <c r="C251">
        <v>10</v>
      </c>
      <c r="D251" t="s">
        <v>122</v>
      </c>
      <c r="E251" t="s">
        <v>123</v>
      </c>
      <c r="F251" t="s">
        <v>75</v>
      </c>
      <c r="G251">
        <v>12234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ProjectEntity 1.NumberInNumber InEntity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10</v>
      </c>
      <c r="K251" s="5" cm="1">
        <f t="array" ref="K251">IFERROR(AVERAGE(IF((OutputTable[GroupByKey]=OutputTable[[#This Row],[GroupByKey]]),(OutputTable[GroupByKey]=OutputTable[[#This Row],[GroupByKey]])*OutputTable[RecordedValue])),0)</f>
        <v>12455.3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109.29577606964813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78.185488204846095</v>
      </c>
      <c r="O251" s="5" cm="1">
        <f t="array" ref="O251">MIN(IF((OutputTable[GroupByKey]=OutputTable[[#This Row],[GroupByKey]]),(OutputTable[GroupByKey]=OutputTable[[#This Row],[GroupByKey]])*OutputTable[RecordedValue]))</f>
        <v>12234</v>
      </c>
      <c r="P251" s="5" cm="1">
        <f t="array" ref="P251">MAX(IF((OutputTable[GroupByKey]=OutputTable[[#This Row],[GroupByKey]]),(OutputTable[GroupByKey]=OutputTable[[#This Row],[GroupByKey]])*OutputTable[RecordedValue]))</f>
        <v>12594</v>
      </c>
    </row>
    <row r="252" spans="1:16" x14ac:dyDescent="0.25">
      <c r="A252" t="s">
        <v>67</v>
      </c>
      <c r="B252" t="s">
        <v>69</v>
      </c>
      <c r="C252">
        <v>10</v>
      </c>
      <c r="D252" t="s">
        <v>124</v>
      </c>
      <c r="E252" t="s">
        <v>125</v>
      </c>
      <c r="F252" t="s">
        <v>75</v>
      </c>
      <c r="G252">
        <v>12224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ProjectEntity 1.NumberOutNumber OutEntity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10</v>
      </c>
      <c r="K252" s="5" cm="1">
        <f t="array" ref="K252">IFERROR(AVERAGE(IF((OutputTable[GroupByKey]=OutputTable[[#This Row],[GroupByKey]]),(OutputTable[GroupByKey]=OutputTable[[#This Row],[GroupByKey]])*OutputTable[RecordedValue])),0)</f>
        <v>12441.9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109.66965548105516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252" s="5" cm="1">
        <f t="array" ref="O252">MIN(IF((OutputTable[GroupByKey]=OutputTable[[#This Row],[GroupByKey]]),(OutputTable[GroupByKey]=OutputTable[[#This Row],[GroupByKey]])*OutputTable[RecordedValue]))</f>
        <v>12224</v>
      </c>
      <c r="P252" s="5" cm="1">
        <f t="array" ref="P252">MAX(IF((OutputTable[GroupByKey]=OutputTable[[#This Row],[GroupByKey]]),(OutputTable[GroupByKey]=OutputTable[[#This Row],[GroupByKey]])*OutputTable[RecordedValue]))</f>
        <v>12584</v>
      </c>
    </row>
    <row r="253" spans="1:16" x14ac:dyDescent="0.25">
      <c r="A253" t="s">
        <v>67</v>
      </c>
      <c r="B253" t="s">
        <v>69</v>
      </c>
      <c r="C253">
        <v>10</v>
      </c>
      <c r="D253" t="s">
        <v>126</v>
      </c>
      <c r="E253" t="s">
        <v>115</v>
      </c>
      <c r="F253" t="s">
        <v>96</v>
      </c>
      <c r="G253">
        <v>4077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10</v>
      </c>
      <c r="K253" s="5" cm="1">
        <f t="array" ref="K253">IFERROR(AVERAGE(IF((OutputTable[GroupByKey]=OutputTable[[#This Row],[GroupByKey]]),(OutputTable[GroupByKey]=OutputTable[[#This Row],[GroupByKey]])*OutputTable[RecordedValue])),0)</f>
        <v>4151.1000000000004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38.420046850570081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27.48404584227179</v>
      </c>
      <c r="O253" s="5" cm="1">
        <f t="array" ref="O253">MIN(IF((OutputTable[GroupByKey]=OutputTable[[#This Row],[GroupByKey]]),(OutputTable[GroupByKey]=OutputTable[[#This Row],[GroupByKey]])*OutputTable[RecordedValue]))</f>
        <v>4077</v>
      </c>
      <c r="P253" s="5" cm="1">
        <f t="array" ref="P253">MAX(IF((OutputTable[GroupByKey]=OutputTable[[#This Row],[GroupByKey]]),(OutputTable[GroupByKey]=OutputTable[[#This Row],[GroupByKey]])*OutputTable[RecordedValue]))</f>
        <v>4202</v>
      </c>
    </row>
    <row r="254" spans="1:16" x14ac:dyDescent="0.25">
      <c r="A254" t="s">
        <v>67</v>
      </c>
      <c r="B254" t="s">
        <v>69</v>
      </c>
      <c r="C254">
        <v>10</v>
      </c>
      <c r="D254" t="s">
        <v>127</v>
      </c>
      <c r="E254" t="s">
        <v>117</v>
      </c>
      <c r="F254" t="s">
        <v>96</v>
      </c>
      <c r="G254">
        <v>0.85300206766602205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10</v>
      </c>
      <c r="K254" s="5" cm="1">
        <f t="array" ref="K254">IFERROR(AVERAGE(IF((OutputTable[GroupByKey]=OutputTable[[#This Row],[GroupByKey]]),(OutputTable[GroupByKey]=OutputTable[[#This Row],[GroupByKey]])*OutputTable[RecordedValue])),0)</f>
        <v>0.86617223927529052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7.3264677567561349E-3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5.2410393061669046E-3</v>
      </c>
      <c r="O254" s="5" cm="1">
        <f t="array" ref="O254">MIN(IF((OutputTable[GroupByKey]=OutputTable[[#This Row],[GroupByKey]]),(OutputTable[GroupByKey]=OutputTable[[#This Row],[GroupByKey]])*OutputTable[RecordedValue]))</f>
        <v>0.85300206766602205</v>
      </c>
      <c r="P254" s="5" cm="1">
        <f t="array" ref="P254">MAX(IF((OutputTable[GroupByKey]=OutputTable[[#This Row],[GroupByKey]]),(OutputTable[GroupByKey]=OutputTable[[#This Row],[GroupByKey]])*OutputTable[RecordedValue]))</f>
        <v>0.87632698102425799</v>
      </c>
    </row>
    <row r="255" spans="1:16" x14ac:dyDescent="0.25">
      <c r="A255" t="s">
        <v>67</v>
      </c>
      <c r="B255" t="s">
        <v>69</v>
      </c>
      <c r="C255">
        <v>10</v>
      </c>
      <c r="D255" t="s">
        <v>128</v>
      </c>
      <c r="E255" t="s">
        <v>115</v>
      </c>
      <c r="F255" t="s">
        <v>96</v>
      </c>
      <c r="G255">
        <v>4072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10</v>
      </c>
      <c r="K255" s="5" cm="1">
        <f t="array" ref="K255">IFERROR(AVERAGE(IF((OutputTable[GroupByKey]=OutputTable[[#This Row],[GroupByKey]]),(OutputTable[GroupByKey]=OutputTable[[#This Row],[GroupByKey]])*OutputTable[RecordedValue])),0)</f>
        <v>4147.7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35.339779286237771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25.280555167889236</v>
      </c>
      <c r="O255" s="5" cm="1">
        <f t="array" ref="O255">MIN(IF((OutputTable[GroupByKey]=OutputTable[[#This Row],[GroupByKey]]),(OutputTable[GroupByKey]=OutputTable[[#This Row],[GroupByKey]])*OutputTable[RecordedValue]))</f>
        <v>4072</v>
      </c>
      <c r="P255" s="5" cm="1">
        <f t="array" ref="P255">MAX(IF((OutputTable[GroupByKey]=OutputTable[[#This Row],[GroupByKey]]),(OutputTable[GroupByKey]=OutputTable[[#This Row],[GroupByKey]])*OutputTable[RecordedValue]))</f>
        <v>4199</v>
      </c>
    </row>
    <row r="256" spans="1:16" x14ac:dyDescent="0.25">
      <c r="A256" t="s">
        <v>67</v>
      </c>
      <c r="B256" t="s">
        <v>69</v>
      </c>
      <c r="C256">
        <v>10</v>
      </c>
      <c r="D256" t="s">
        <v>129</v>
      </c>
      <c r="E256" t="s">
        <v>117</v>
      </c>
      <c r="F256" t="s">
        <v>96</v>
      </c>
      <c r="G256">
        <v>0.85267322894137698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10</v>
      </c>
      <c r="K256" s="5" cm="1">
        <f t="array" ref="K256">IFERROR(AVERAGE(IF((OutputTable[GroupByKey]=OutputTable[[#This Row],[GroupByKey]]),(OutputTable[GroupByKey]=OutputTable[[#This Row],[GroupByKey]])*OutputTable[RecordedValue])),0)</f>
        <v>0.86586513532824916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7.1981559947843117E-3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5.1492506011230968E-3</v>
      </c>
      <c r="O256" s="5" cm="1">
        <f t="array" ref="O256">MIN(IF((OutputTable[GroupByKey]=OutputTable[[#This Row],[GroupByKey]]),(OutputTable[GroupByKey]=OutputTable[[#This Row],[GroupByKey]])*OutputTable[RecordedValue]))</f>
        <v>0.85267322894137698</v>
      </c>
      <c r="P256" s="5" cm="1">
        <f t="array" ref="P256">MAX(IF((OutputTable[GroupByKey]=OutputTable[[#This Row],[GroupByKey]]),(OutputTable[GroupByKey]=OutputTable[[#This Row],[GroupByKey]])*OutputTable[RecordedValue]))</f>
        <v>0.87300868153341904</v>
      </c>
    </row>
    <row r="257" spans="1:16" x14ac:dyDescent="0.25">
      <c r="A257" t="s">
        <v>67</v>
      </c>
      <c r="B257" t="s">
        <v>69</v>
      </c>
      <c r="C257">
        <v>10</v>
      </c>
      <c r="D257" t="s">
        <v>130</v>
      </c>
      <c r="E257" t="s">
        <v>115</v>
      </c>
      <c r="F257" t="s">
        <v>96</v>
      </c>
      <c r="G257">
        <v>4078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10</v>
      </c>
      <c r="K257" s="5" cm="1">
        <f t="array" ref="K257">IFERROR(AVERAGE(IF((OutputTable[GroupByKey]=OutputTable[[#This Row],[GroupByKey]]),(OutputTable[GroupByKey]=OutputTable[[#This Row],[GroupByKey]])*OutputTable[RecordedValue])),0)</f>
        <v>4145.8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38.883872692358665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27.81584686136291</v>
      </c>
      <c r="O257" s="5" cm="1">
        <f t="array" ref="O257">MIN(IF((OutputTable[GroupByKey]=OutputTable[[#This Row],[GroupByKey]]),(OutputTable[GroupByKey]=OutputTable[[#This Row],[GroupByKey]])*OutputTable[RecordedValue]))</f>
        <v>4076</v>
      </c>
      <c r="P257" s="5" cm="1">
        <f t="array" ref="P257">MAX(IF((OutputTable[GroupByKey]=OutputTable[[#This Row],[GroupByKey]]),(OutputTable[GroupByKey]=OutputTable[[#This Row],[GroupByKey]])*OutputTable[RecordedValue]))</f>
        <v>4184</v>
      </c>
    </row>
    <row r="258" spans="1:16" x14ac:dyDescent="0.25">
      <c r="A258" t="s">
        <v>67</v>
      </c>
      <c r="B258" t="s">
        <v>69</v>
      </c>
      <c r="C258">
        <v>10</v>
      </c>
      <c r="D258" t="s">
        <v>131</v>
      </c>
      <c r="E258" t="s">
        <v>117</v>
      </c>
      <c r="F258" t="s">
        <v>96</v>
      </c>
      <c r="G258">
        <v>0.85312589705184705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10</v>
      </c>
      <c r="K258" s="5" cm="1">
        <f t="array" ref="K258">IFERROR(AVERAGE(IF((OutputTable[GroupByKey]=OutputTable[[#This Row],[GroupByKey]]),(OutputTable[GroupByKey]=OutputTable[[#This Row],[GroupByKey]])*OutputTable[RecordedValue])),0)</f>
        <v>0.86584756987747569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7.1198499498994544E-3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5.093233831135466E-3</v>
      </c>
      <c r="O258" s="5" cm="1">
        <f t="array" ref="O258">MIN(IF((OutputTable[GroupByKey]=OutputTable[[#This Row],[GroupByKey]]),(OutputTable[GroupByKey]=OutputTable[[#This Row],[GroupByKey]])*OutputTable[RecordedValue]))</f>
        <v>0.85312589705184705</v>
      </c>
      <c r="P258" s="5" cm="1">
        <f t="array" ref="P258">MAX(IF((OutputTable[GroupByKey]=OutputTable[[#This Row],[GroupByKey]]),(OutputTable[GroupByKey]=OutputTable[[#This Row],[GroupByKey]])*OutputTable[RecordedValue]))</f>
        <v>0.87436351179675398</v>
      </c>
    </row>
    <row r="259" spans="1:16" x14ac:dyDescent="0.25">
      <c r="A259" t="s">
        <v>67</v>
      </c>
      <c r="B259" t="s">
        <v>69</v>
      </c>
      <c r="C259">
        <v>10</v>
      </c>
      <c r="D259" t="s">
        <v>132</v>
      </c>
      <c r="E259" t="s">
        <v>125</v>
      </c>
      <c r="F259" t="s">
        <v>133</v>
      </c>
      <c r="G259">
        <v>12224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ProjectSystem.NumberOutNumber OutSystem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10</v>
      </c>
      <c r="K259" s="5" cm="1">
        <f t="array" ref="K259">IFERROR(AVERAGE(IF((OutputTable[GroupByKey]=OutputTable[[#This Row],[GroupByKey]]),(OutputTable[GroupByKey]=OutputTable[[#This Row],[GroupByKey]])*OutputTable[RecordedValue])),0)</f>
        <v>12441.9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109.66965548105516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78.452945423796365</v>
      </c>
      <c r="O259" s="5" cm="1">
        <f t="array" ref="O259">MIN(IF((OutputTable[GroupByKey]=OutputTable[[#This Row],[GroupByKey]]),(OutputTable[GroupByKey]=OutputTable[[#This Row],[GroupByKey]])*OutputTable[RecordedValue]))</f>
        <v>12224</v>
      </c>
      <c r="P259" s="5" cm="1">
        <f t="array" ref="P259">MAX(IF((OutputTable[GroupByKey]=OutputTable[[#This Row],[GroupByKey]]),(OutputTable[GroupByKey]=OutputTable[[#This Row],[GroupByKey]])*OutputTable[RecordedValue]))</f>
        <v>12584</v>
      </c>
    </row>
    <row r="260" spans="1:16" x14ac:dyDescent="0.25">
      <c r="A260" t="s">
        <v>67</v>
      </c>
      <c r="B260" t="s">
        <v>69</v>
      </c>
      <c r="C260">
        <v>10</v>
      </c>
      <c r="D260" t="s">
        <v>134</v>
      </c>
      <c r="E260" t="s">
        <v>115</v>
      </c>
      <c r="F260" t="s">
        <v>96</v>
      </c>
      <c r="G260">
        <v>13729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10</v>
      </c>
      <c r="K260" s="5" cm="1">
        <f t="array" ref="K260">IFERROR(AVERAGE(IF((OutputTable[GroupByKey]=OutputTable[[#This Row],[GroupByKey]]),(OutputTable[GroupByKey]=OutputTable[[#This Row],[GroupByKey]])*OutputTable[RecordedValue])),0)</f>
        <v>14003.5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154.71640723164001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260" s="5" cm="1">
        <f t="array" ref="O260">MIN(IF((OutputTable[GroupByKey]=OutputTable[[#This Row],[GroupByKey]]),(OutputTable[GroupByKey]=OutputTable[[#This Row],[GroupByKey]])*OutputTable[RecordedValue]))</f>
        <v>13729</v>
      </c>
      <c r="P260" s="5" cm="1">
        <f t="array" ref="P260">MAX(IF((OutputTable[GroupByKey]=OutputTable[[#This Row],[GroupByKey]]),(OutputTable[GroupByKey]=OutputTable[[#This Row],[GroupByKey]])*OutputTable[RecordedValue]))</f>
        <v>14205</v>
      </c>
    </row>
    <row r="261" spans="1:16" x14ac:dyDescent="0.25">
      <c r="A261" t="s">
        <v>67</v>
      </c>
      <c r="B261" t="s">
        <v>69</v>
      </c>
      <c r="C261">
        <v>10</v>
      </c>
      <c r="D261" t="s">
        <v>135</v>
      </c>
      <c r="E261" t="s">
        <v>117</v>
      </c>
      <c r="F261" t="s">
        <v>96</v>
      </c>
      <c r="G261">
        <v>0.83618943731414597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10</v>
      </c>
      <c r="K261" s="5" cm="1">
        <f t="array" ref="K261">IFERROR(AVERAGE(IF((OutputTable[GroupByKey]=OutputTable[[#This Row],[GroupByKey]]),(OutputTable[GroupByKey]=OutputTable[[#This Row],[GroupByKey]])*OutputTable[RecordedValue])),0)</f>
        <v>0.85369868202434152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9.4705605009894993E-3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261" s="5" cm="1">
        <f t="array" ref="O261">MIN(IF((OutputTable[GroupByKey]=OutputTable[[#This Row],[GroupByKey]]),(OutputTable[GroupByKey]=OutputTable[[#This Row],[GroupByKey]])*OutputTable[RecordedValue]))</f>
        <v>0.83618943731414597</v>
      </c>
      <c r="P261" s="5" cm="1">
        <f t="array" ref="P261">MAX(IF((OutputTable[GroupByKey]=OutputTable[[#This Row],[GroupByKey]]),(OutputTable[GroupByKey]=OutputTable[[#This Row],[GroupByKey]])*OutputTable[RecordedValue]))</f>
        <v>0.86586763783419696</v>
      </c>
    </row>
    <row r="262" spans="1:16" x14ac:dyDescent="0.25">
      <c r="A262" t="s">
        <v>67</v>
      </c>
      <c r="B262" t="s">
        <v>69</v>
      </c>
      <c r="C262">
        <v>10</v>
      </c>
      <c r="D262" t="s">
        <v>136</v>
      </c>
      <c r="E262" t="s">
        <v>115</v>
      </c>
      <c r="F262" t="s">
        <v>96</v>
      </c>
      <c r="G262">
        <v>9195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10</v>
      </c>
      <c r="K262" s="5" cm="1">
        <f t="array" ref="K262">IFERROR(AVERAGE(IF((OutputTable[GroupByKey]=OutputTable[[#This Row],[GroupByKey]]),(OutputTable[GroupByKey]=OutputTable[[#This Row],[GroupByKey]])*OutputTable[RecordedValue])),0)</f>
        <v>9367.5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139.5916664179253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262" s="5" cm="1">
        <f t="array" ref="O262">MIN(IF((OutputTable[GroupByKey]=OutputTable[[#This Row],[GroupByKey]]),(OutputTable[GroupByKey]=OutputTable[[#This Row],[GroupByKey]])*OutputTable[RecordedValue]))</f>
        <v>9192</v>
      </c>
      <c r="P262" s="5" cm="1">
        <f t="array" ref="P262">MAX(IF((OutputTable[GroupByKey]=OutputTable[[#This Row],[GroupByKey]]),(OutputTable[GroupByKey]=OutputTable[[#This Row],[GroupByKey]])*OutputTable[RecordedValue]))</f>
        <v>9577</v>
      </c>
    </row>
    <row r="263" spans="1:16" x14ac:dyDescent="0.25">
      <c r="A263" t="s">
        <v>67</v>
      </c>
      <c r="B263" t="s">
        <v>69</v>
      </c>
      <c r="C263">
        <v>10</v>
      </c>
      <c r="D263" t="s">
        <v>137</v>
      </c>
      <c r="E263" t="s">
        <v>117</v>
      </c>
      <c r="F263" t="s">
        <v>96</v>
      </c>
      <c r="G263">
        <v>0.76103833180625302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10</v>
      </c>
      <c r="K263" s="5" cm="1">
        <f t="array" ref="K263">IFERROR(AVERAGE(IF((OutputTable[GroupByKey]=OutputTable[[#This Row],[GroupByKey]]),(OutputTable[GroupByKey]=OutputTable[[#This Row],[GroupByKey]])*OutputTable[RecordedValue])),0)</f>
        <v>0.77500127942574837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1.1134375758682289E-2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263" s="5" cm="1">
        <f t="array" ref="O263">MIN(IF((OutputTable[GroupByKey]=OutputTable[[#This Row],[GroupByKey]]),(OutputTable[GroupByKey]=OutputTable[[#This Row],[GroupByKey]])*OutputTable[RecordedValue]))</f>
        <v>0.75864843854708297</v>
      </c>
      <c r="P263" s="5" cm="1">
        <f t="array" ref="P263">MAX(IF((OutputTable[GroupByKey]=OutputTable[[#This Row],[GroupByKey]]),(OutputTable[GroupByKey]=OutputTable[[#This Row],[GroupByKey]])*OutputTable[RecordedValue]))</f>
        <v>0.79252596119945096</v>
      </c>
    </row>
    <row r="264" spans="1:16" x14ac:dyDescent="0.25">
      <c r="A264" t="s">
        <v>67</v>
      </c>
      <c r="B264" t="s">
        <v>69</v>
      </c>
      <c r="C264">
        <v>10</v>
      </c>
      <c r="D264" t="s">
        <v>138</v>
      </c>
      <c r="E264" t="s">
        <v>115</v>
      </c>
      <c r="F264" t="s">
        <v>96</v>
      </c>
      <c r="G264">
        <v>12231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10</v>
      </c>
      <c r="K264" s="5" cm="1">
        <f t="array" ref="K264">IFERROR(AVERAGE(IF((OutputTable[GroupByKey]=OutputTable[[#This Row],[GroupByKey]]),(OutputTable[GroupByKey]=OutputTable[[#This Row],[GroupByKey]])*OutputTable[RecordedValue])),0)</f>
        <v>12449.2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108.68691017985765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264" s="5" cm="1">
        <f t="array" ref="O264">MIN(IF((OutputTable[GroupByKey]=OutputTable[[#This Row],[GroupByKey]]),(OutputTable[GroupByKey]=OutputTable[[#This Row],[GroupByKey]])*OutputTable[RecordedValue]))</f>
        <v>12231</v>
      </c>
      <c r="P264" s="5" cm="1">
        <f t="array" ref="P264">MAX(IF((OutputTable[GroupByKey]=OutputTable[[#This Row],[GroupByKey]]),(OutputTable[GroupByKey]=OutputTable[[#This Row],[GroupByKey]])*OutputTable[RecordedValue]))</f>
        <v>12589</v>
      </c>
    </row>
    <row r="265" spans="1:16" x14ac:dyDescent="0.25">
      <c r="A265" t="s">
        <v>67</v>
      </c>
      <c r="B265" t="s">
        <v>69</v>
      </c>
      <c r="C265">
        <v>10</v>
      </c>
      <c r="D265" t="s">
        <v>139</v>
      </c>
      <c r="E265" t="s">
        <v>117</v>
      </c>
      <c r="F265" t="s">
        <v>96</v>
      </c>
      <c r="G265">
        <v>0.84465777371794004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10</v>
      </c>
      <c r="K265" s="5" cm="1">
        <f t="array" ref="K265">IFERROR(AVERAGE(IF((OutputTable[GroupByKey]=OutputTable[[#This Row],[GroupByKey]]),(OutputTable[GroupByKey]=OutputTable[[#This Row],[GroupByKey]])*OutputTable[RecordedValue])),0)</f>
        <v>0.85958220767724303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8.2249879280646958E-3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265" s="5" cm="1">
        <f t="array" ref="O265">MIN(IF((OutputTable[GroupByKey]=OutputTable[[#This Row],[GroupByKey]]),(OutputTable[GroupByKey]=OutputTable[[#This Row],[GroupByKey]])*OutputTable[RecordedValue]))</f>
        <v>0.84465777371794004</v>
      </c>
      <c r="P265" s="5" cm="1">
        <f t="array" ref="P265">MAX(IF((OutputTable[GroupByKey]=OutputTable[[#This Row],[GroupByKey]]),(OutputTable[GroupByKey]=OutputTable[[#This Row],[GroupByKey]])*OutputTable[RecordedValue]))</f>
        <v>0.87000527345659695</v>
      </c>
    </row>
    <row r="266" spans="1:16" x14ac:dyDescent="0.25">
      <c r="A266" t="s">
        <v>67</v>
      </c>
      <c r="B266" t="s">
        <v>69</v>
      </c>
      <c r="C266">
        <v>10</v>
      </c>
      <c r="D266" t="s">
        <v>140</v>
      </c>
      <c r="E266" t="s">
        <v>115</v>
      </c>
      <c r="F266" t="s">
        <v>96</v>
      </c>
      <c r="G266">
        <v>13729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10</v>
      </c>
      <c r="K266" s="5" cm="1">
        <f t="array" ref="K266">IFERROR(AVERAGE(IF((OutputTable[GroupByKey]=OutputTable[[#This Row],[GroupByKey]]),(OutputTable[GroupByKey]=OutputTable[[#This Row],[GroupByKey]])*OutputTable[RecordedValue])),0)</f>
        <v>14003.5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154.71640723164001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110.67745038012336</v>
      </c>
      <c r="O266" s="5" cm="1">
        <f t="array" ref="O266">MIN(IF((OutputTable[GroupByKey]=OutputTable[[#This Row],[GroupByKey]]),(OutputTable[GroupByKey]=OutputTable[[#This Row],[GroupByKey]])*OutputTable[RecordedValue]))</f>
        <v>13729</v>
      </c>
      <c r="P266" s="5" cm="1">
        <f t="array" ref="P266">MAX(IF((OutputTable[GroupByKey]=OutputTable[[#This Row],[GroupByKey]]),(OutputTable[GroupByKey]=OutputTable[[#This Row],[GroupByKey]])*OutputTable[RecordedValue]))</f>
        <v>14205</v>
      </c>
    </row>
    <row r="267" spans="1:16" x14ac:dyDescent="0.25">
      <c r="A267" t="s">
        <v>67</v>
      </c>
      <c r="B267" t="s">
        <v>69</v>
      </c>
      <c r="C267">
        <v>10</v>
      </c>
      <c r="D267" t="s">
        <v>141</v>
      </c>
      <c r="E267" t="s">
        <v>117</v>
      </c>
      <c r="F267" t="s">
        <v>96</v>
      </c>
      <c r="G267">
        <v>0.83618943731414597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10</v>
      </c>
      <c r="K267" s="5" cm="1">
        <f t="array" ref="K267">IFERROR(AVERAGE(IF((OutputTable[GroupByKey]=OutputTable[[#This Row],[GroupByKey]]),(OutputTable[GroupByKey]=OutputTable[[#This Row],[GroupByKey]])*OutputTable[RecordedValue])),0)</f>
        <v>0.85369868202434152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9.4705605009894993E-3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6.774830857795836E-3</v>
      </c>
      <c r="O267" s="5" cm="1">
        <f t="array" ref="O267">MIN(IF((OutputTable[GroupByKey]=OutputTable[[#This Row],[GroupByKey]]),(OutputTable[GroupByKey]=OutputTable[[#This Row],[GroupByKey]])*OutputTable[RecordedValue]))</f>
        <v>0.83618943731414597</v>
      </c>
      <c r="P267" s="5" cm="1">
        <f t="array" ref="P267">MAX(IF((OutputTable[GroupByKey]=OutputTable[[#This Row],[GroupByKey]]),(OutputTable[GroupByKey]=OutputTable[[#This Row],[GroupByKey]])*OutputTable[RecordedValue]))</f>
        <v>0.86586763783419696</v>
      </c>
    </row>
    <row r="268" spans="1:16" x14ac:dyDescent="0.25">
      <c r="A268" t="s">
        <v>67</v>
      </c>
      <c r="B268" t="s">
        <v>69</v>
      </c>
      <c r="C268">
        <v>10</v>
      </c>
      <c r="D268" t="s">
        <v>142</v>
      </c>
      <c r="E268" t="s">
        <v>115</v>
      </c>
      <c r="F268" t="s">
        <v>96</v>
      </c>
      <c r="G268">
        <v>9195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10</v>
      </c>
      <c r="K268" s="5" cm="1">
        <f t="array" ref="K268">IFERROR(AVERAGE(IF((OutputTable[GroupByKey]=OutputTable[[#This Row],[GroupByKey]]),(OutputTable[GroupByKey]=OutputTable[[#This Row],[GroupByKey]])*OutputTable[RecordedValue])),0)</f>
        <v>9367.5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139.5916664179253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99.857862588016175</v>
      </c>
      <c r="O268" s="5" cm="1">
        <f t="array" ref="O268">MIN(IF((OutputTable[GroupByKey]=OutputTable[[#This Row],[GroupByKey]]),(OutputTable[GroupByKey]=OutputTable[[#This Row],[GroupByKey]])*OutputTable[RecordedValue]))</f>
        <v>9192</v>
      </c>
      <c r="P268" s="5" cm="1">
        <f t="array" ref="P268">MAX(IF((OutputTable[GroupByKey]=OutputTable[[#This Row],[GroupByKey]]),(OutputTable[GroupByKey]=OutputTable[[#This Row],[GroupByKey]])*OutputTable[RecordedValue]))</f>
        <v>9577</v>
      </c>
    </row>
    <row r="269" spans="1:16" x14ac:dyDescent="0.25">
      <c r="A269" t="s">
        <v>67</v>
      </c>
      <c r="B269" t="s">
        <v>69</v>
      </c>
      <c r="C269">
        <v>10</v>
      </c>
      <c r="D269" t="s">
        <v>143</v>
      </c>
      <c r="E269" t="s">
        <v>117</v>
      </c>
      <c r="F269" t="s">
        <v>96</v>
      </c>
      <c r="G269">
        <v>0.76103833180625302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10</v>
      </c>
      <c r="K269" s="5" cm="1">
        <f t="array" ref="K269">IFERROR(AVERAGE(IF((OutputTable[GroupByKey]=OutputTable[[#This Row],[GroupByKey]]),(OutputTable[GroupByKey]=OutputTable[[#This Row],[GroupByKey]])*OutputTable[RecordedValue])),0)</f>
        <v>0.77500127942574837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1.1134375758682289E-2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7.9650525926457348E-3</v>
      </c>
      <c r="O269" s="5" cm="1">
        <f t="array" ref="O269">MIN(IF((OutputTable[GroupByKey]=OutputTable[[#This Row],[GroupByKey]]),(OutputTable[GroupByKey]=OutputTable[[#This Row],[GroupByKey]])*OutputTable[RecordedValue]))</f>
        <v>0.75864843854708297</v>
      </c>
      <c r="P269" s="5" cm="1">
        <f t="array" ref="P269">MAX(IF((OutputTable[GroupByKey]=OutputTable[[#This Row],[GroupByKey]]),(OutputTable[GroupByKey]=OutputTable[[#This Row],[GroupByKey]])*OutputTable[RecordedValue]))</f>
        <v>0.79252596119945096</v>
      </c>
    </row>
    <row r="270" spans="1:16" x14ac:dyDescent="0.25">
      <c r="A270" t="s">
        <v>67</v>
      </c>
      <c r="B270" t="s">
        <v>69</v>
      </c>
      <c r="C270">
        <v>10</v>
      </c>
      <c r="D270" t="s">
        <v>144</v>
      </c>
      <c r="E270" t="s">
        <v>115</v>
      </c>
      <c r="F270" t="s">
        <v>96</v>
      </c>
      <c r="G270">
        <v>12231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10</v>
      </c>
      <c r="K270" s="5" cm="1">
        <f t="array" ref="K270">IFERROR(AVERAGE(IF((OutputTable[GroupByKey]=OutputTable[[#This Row],[GroupByKey]]),(OutputTable[GroupByKey]=OutputTable[[#This Row],[GroupByKey]])*OutputTable[RecordedValue])),0)</f>
        <v>12449.2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108.68691017985765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77.749931785774507</v>
      </c>
      <c r="O270" s="5" cm="1">
        <f t="array" ref="O270">MIN(IF((OutputTable[GroupByKey]=OutputTable[[#This Row],[GroupByKey]]),(OutputTable[GroupByKey]=OutputTable[[#This Row],[GroupByKey]])*OutputTable[RecordedValue]))</f>
        <v>12231</v>
      </c>
      <c r="P270" s="5" cm="1">
        <f t="array" ref="P270">MAX(IF((OutputTable[GroupByKey]=OutputTable[[#This Row],[GroupByKey]]),(OutputTable[GroupByKey]=OutputTable[[#This Row],[GroupByKey]])*OutputTable[RecordedValue]))</f>
        <v>12589</v>
      </c>
    </row>
    <row r="271" spans="1:16" x14ac:dyDescent="0.25">
      <c r="A271" t="s">
        <v>67</v>
      </c>
      <c r="B271" t="s">
        <v>69</v>
      </c>
      <c r="C271">
        <v>10</v>
      </c>
      <c r="D271" t="s">
        <v>145</v>
      </c>
      <c r="E271" t="s">
        <v>117</v>
      </c>
      <c r="F271" t="s">
        <v>96</v>
      </c>
      <c r="G271">
        <v>0.84465777371794004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10</v>
      </c>
      <c r="K271" s="5" cm="1">
        <f t="array" ref="K271">IFERROR(AVERAGE(IF((OutputTable[GroupByKey]=OutputTable[[#This Row],[GroupByKey]]),(OutputTable[GroupByKey]=OutputTable[[#This Row],[GroupByKey]])*OutputTable[RecordedValue])),0)</f>
        <v>0.85958220767724303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8.2249879280646958E-3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5.8838019158664288E-3</v>
      </c>
      <c r="O271" s="5" cm="1">
        <f t="array" ref="O271">MIN(IF((OutputTable[GroupByKey]=OutputTable[[#This Row],[GroupByKey]]),(OutputTable[GroupByKey]=OutputTable[[#This Row],[GroupByKey]])*OutputTable[RecordedValue]))</f>
        <v>0.84465777371794004</v>
      </c>
      <c r="P271" s="5" cm="1">
        <f t="array" ref="P271">MAX(IF((OutputTable[GroupByKey]=OutputTable[[#This Row],[GroupByKey]]),(OutputTable[GroupByKey]=OutputTable[[#This Row],[GroupByKey]])*OutputTable[RecordedValue]))</f>
        <v>0.87000527345659695</v>
      </c>
    </row>
  </sheetData>
  <phoneticPr fontId="2" type="noConversion"/>
  <conditionalFormatting sqref="I2:P271">
    <cfRule type="expression" dxfId="10" priority="2">
      <formula>MOD(ROW(),2)=0</formula>
    </cfRule>
  </conditionalFormatting>
  <conditionalFormatting sqref="N2:N27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9c742c4-e61c-4fa5-be89-a3cb566a80d1}" enabled="0" method="" siteId="{79c742c4-e61c-4fa5-be89-a3cb566a80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Manuel Rossetti</cp:lastModifiedBy>
  <cp:lastPrinted>2022-03-22T10:33:10Z</cp:lastPrinted>
  <dcterms:created xsi:type="dcterms:W3CDTF">2020-06-29T21:30:31Z</dcterms:created>
  <dcterms:modified xsi:type="dcterms:W3CDTF">2026-08-31T15:11:14Z</dcterms:modified>
</cp:coreProperties>
</file>